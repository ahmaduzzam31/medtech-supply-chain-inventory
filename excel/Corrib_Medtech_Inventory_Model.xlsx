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ventory_Policy" sheetId="3" state="visible" r:id="rId3"/>
    <sheet xmlns:r="http://schemas.openxmlformats.org/officeDocument/2006/relationships" name="Supplier_Scorecard" sheetId="4" state="visible" r:id="rId4"/>
    <sheet xmlns:r="http://schemas.openxmlformats.org/officeDocument/2006/relationships" name="Budget_vs_Actual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Items" sheetId="7" state="visible" r:id="rId7"/>
    <sheet xmlns:r="http://schemas.openxmlformats.org/officeDocument/2006/relationships" name="Suppliers" sheetId="8" state="visible" r:id="rId8"/>
    <sheet xmlns:r="http://schemas.openxmlformats.org/officeDocument/2006/relationships" name="Demand" sheetId="9" state="visible" r:id="rId9"/>
    <sheet xmlns:r="http://schemas.openxmlformats.org/officeDocument/2006/relationships" name="Stock_Snapshot" sheetId="10" state="visible" r:id="rId10"/>
    <sheet xmlns:r="http://schemas.openxmlformats.org/officeDocument/2006/relationships" name="PO_Lines" sheetId="11" state="visible" r:id="rId11"/>
  </sheets>
  <definedNames>
    <definedName name="_xlnm._FilterDatabase" localSheetId="2" hidden="1">'Inventory_Policy'!$A$4:$AG$120</definedName>
    <definedName name="_xlnm._FilterDatabase" localSheetId="6" hidden="1">'Items'!$A$1:$I$117</definedName>
    <definedName name="_xlnm._FilterDatabase" localSheetId="7" hidden="1">'Suppliers'!$A$1:$C$13</definedName>
    <definedName name="_xlnm._FilterDatabase" localSheetId="8" hidden="1">'Demand'!$A$1:$Y$117</definedName>
    <definedName name="_xlnm._FilterDatabase" localSheetId="9" hidden="1">'Stock_Snapshot'!$A$1:$E$117</definedName>
    <definedName name="_xlnm._FilterDatabase" localSheetId="10" hidden="1">'PO_Lines'!$A$1:$V$2025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-mmm-yyyy"/>
    <numFmt numFmtId="166" formatCode="€#,##0;(€#,##0);&quot;-&quot;"/>
    <numFmt numFmtId="167" formatCode="0.0%;(0.0%);&quot;-&quot;"/>
    <numFmt numFmtId="168" formatCode="0.0"/>
    <numFmt numFmtId="169" formatCode="€#,##0.0000"/>
    <numFmt numFmtId="170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2514E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52514E"/>
      <sz val="9"/>
    </font>
    <font>
      <name val="Arial"/>
      <b val="1"/>
      <color rgb="001F3864"/>
      <sz val="1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DCE6F2"/>
      </patternFill>
    </fill>
    <fill>
      <patternFill patternType="solid">
        <fgColor rgb="00F2F5FA"/>
      </patternFill>
    </fill>
  </fills>
  <borders count="5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  <border>
      <left/>
      <right/>
      <top style="thin">
        <color rgb="00C3C2B7"/>
      </top>
      <bottom/>
      <diagonal/>
    </border>
    <border>
      <left/>
      <right style="thin">
        <color rgb="00C3C2B7"/>
      </right>
      <top style="thin">
        <color rgb="00C3C2B7"/>
      </top>
      <bottom/>
      <diagonal/>
    </border>
    <border>
      <left/>
      <right style="thin">
        <color rgb="00C3C2B7"/>
      </right>
      <top style="thin">
        <color rgb="00C3C2B7"/>
      </top>
      <bottom style="thin">
        <color rgb="00C3C2B7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6" borderId="0" pivotButton="0" quotePrefix="0" xfId="0"/>
    <xf numFmtId="166" fontId="8" fillId="6" borderId="0" pivotButton="0" quotePrefix="0" xfId="0"/>
    <xf numFmtId="1" fontId="8" fillId="6" borderId="0" pivotButton="0" quotePrefix="0" xfId="0"/>
    <xf numFmtId="167" fontId="8" fillId="6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2" borderId="1" pivotButton="0" quotePrefix="0" xfId="0"/>
    <xf numFmtId="1" fontId="4" fillId="0" borderId="1" pivotButton="0" quotePrefix="0" xfId="0"/>
    <xf numFmtId="167" fontId="4" fillId="0" borderId="1" pivotButton="0" quotePrefix="0" xfId="0"/>
    <xf numFmtId="0" fontId="4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0" fontId="5" fillId="3" borderId="1" pivotButton="0" quotePrefix="0" xfId="0"/>
    <xf numFmtId="166" fontId="4" fillId="0" borderId="1" pivotButton="0" quotePrefix="0" xfId="0"/>
    <xf numFmtId="0" fontId="4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170" fontId="3" fillId="0" borderId="1" pivotButton="0" quotePrefix="0" xfId="0"/>
    <xf numFmtId="168" fontId="3" fillId="0" borderId="1" pivotButton="0" quotePrefix="0" xfId="0"/>
    <xf numFmtId="1" fontId="3" fillId="0" borderId="1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9" fontId="4" fillId="0" borderId="1" pivotButton="0" quotePrefix="0" xfId="0"/>
    <xf numFmtId="170" fontId="4" fillId="0" borderId="1" pivotButton="0" quotePrefix="0" xfId="0"/>
    <xf numFmtId="2" fontId="4" fillId="0" borderId="1" pivotButton="0" quotePrefix="0" xfId="0"/>
    <xf numFmtId="168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166" fontId="3" fillId="0" borderId="1" pivotButton="0" quotePrefix="0" xfId="0"/>
    <xf numFmtId="167" fontId="3" fillId="0" borderId="1" pivotButton="0" quotePrefix="0" xfId="0"/>
    <xf numFmtId="0" fontId="3" fillId="5" borderId="0" pivotButton="0" quotePrefix="0" xfId="0"/>
    <xf numFmtId="166" fontId="5" fillId="0" borderId="1" pivotButton="0" quotePrefix="0" xfId="0"/>
    <xf numFmtId="165" fontId="5" fillId="3" borderId="1" pivotButton="0" quotePrefix="0" xfId="0"/>
    <xf numFmtId="167" fontId="5" fillId="3" borderId="1" pivotButton="0" quotePrefix="0" xfId="0"/>
    <xf numFmtId="166" fontId="5" fillId="3" borderId="1" pivotButton="0" quotePrefix="0" xfId="0"/>
    <xf numFmtId="2" fontId="5" fillId="3" borderId="1" pivotButton="0" quotePrefix="0" xfId="0"/>
    <xf numFmtId="168" fontId="5" fillId="3" borderId="1" pivotButton="0" quotePrefix="0" xfId="0"/>
    <xf numFmtId="1" fontId="5" fillId="3" borderId="1" pivotButton="0" quotePrefix="0" xfId="0"/>
    <xf numFmtId="0" fontId="5" fillId="0" borderId="0" pivotButton="0" quotePrefix="0" xfId="0"/>
    <xf numFmtId="169" fontId="5" fillId="0" borderId="0" pivotButton="0" quotePrefix="0" xfId="0"/>
    <xf numFmtId="1" fontId="5" fillId="0" borderId="0" pivotButton="0" quotePrefix="0" xfId="0"/>
    <xf numFmtId="170" fontId="5" fillId="0" borderId="0" pivotButton="0" quotePrefix="0" xfId="0"/>
    <xf numFmtId="165" fontId="5" fillId="0" borderId="0" pivotButton="0" quotePrefix="0" xfId="0"/>
    <xf numFmtId="0" fontId="6" fillId="4" borderId="1" applyAlignment="1" pivotButton="0" quotePrefix="0" xfId="0">
      <alignment horizontal="center" wrapText="1"/>
    </xf>
    <xf numFmtId="169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F8D7D7"/>
        </patternFill>
      </fill>
    </dxf>
    <dxf>
      <fill>
        <patternFill patternType="solid">
          <fgColor rgb="00FCE9C5"/>
        </patternFill>
      </fill>
    </dxf>
    <dxf>
      <fill>
        <patternFill patternType="solid">
          <fgColor rgb="00EEEEEE"/>
        </patternFill>
      </fill>
    </dxf>
    <dxf>
      <fill>
        <patternFill patternType="solid">
          <fgColor rgb="00D9F2D9"/>
        </patternFill>
      </fill>
    </dxf>
    <dxf>
      <font>
        <name val="Arial"/>
        <b val="1"/>
        <color rgb="00C00000"/>
      </font>
    </dxf>
    <dxf>
      <font>
        <name val="Arial"/>
        <color rgb="00C00000"/>
      </font>
    </dxf>
    <dxf>
      <font>
        <name val="Arial"/>
        <color rgb="00008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Supplier OTIF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'Dashboard'!B56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'Dashboard'!$A$57:$A$68</f>
            </numRef>
          </cat>
          <val>
            <numRef>
              <f>'Dashboard'!$B$57:$B$68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.5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purchasing: budget vs actual (€)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'Dashboard'!G56</f>
            </strRef>
          </tx>
          <spPr>
            <a:ln xmlns:a="http://schemas.openxmlformats.org/drawingml/2006/main" w="28000">
              <a:solidFill>
                <a:srgbClr val="89878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'Dashboard'!$F$57:$F$68</f>
            </numRef>
          </cat>
          <val>
            <numRef>
              <f>'Dashboard'!$G$57:$G$68</f>
            </numRef>
          </val>
          <smooth val="0"/>
        </ser>
        <ser>
          <idx val="1"/>
          <order val="1"/>
          <tx>
            <strRef>
              <f>'Dashboard'!H56</f>
            </strRef>
          </tx>
          <spPr>
            <a:ln xmlns:a="http://schemas.openxmlformats.org/drawingml/2006/main" w="280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'Dashboard'!$F$57:$F$68</f>
            </numRef>
          </cat>
          <val>
            <numRef>
              <f>'Dashboard'!$H$57:$H$68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€#,##0,&quot;k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SKUs vs share of spend by ABC class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solidFill xmlns:a="http://schemas.openxmlformats.org/drawingml/2006/main">
              <a:srgbClr val="86B6EF"/>
            </a:solidFill>
            <a:ln xmlns:a="http://schemas.openxmlformats.org/drawingml/2006/main">
              <a:prstDash val="solid"/>
            </a:ln>
          </spPr>
          <cat>
            <numRef>
              <f>'Dashboard'!$A$12:$A$14</f>
            </numRef>
          </cat>
          <val>
            <numRef>
              <f>'Dashboard'!$C$12:$C$14</f>
            </numRef>
          </val>
        </ser>
        <ser>
          <idx val="1"/>
          <order val="1"/>
          <tx>
            <strRef>
              <f>'Dashboard'!D11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'Dashboard'!$A$12:$A$14</f>
            </numRef>
          </cat>
          <val>
            <numRef>
              <f>'Dashboard'!$D$12:$D$14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A1" authorId="0" shapeId="0">
      <text>
        <t>Item master: one row per component SKU. unit_cost_eur = standard cost.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A1" authorId="0" shapeId="0">
      <text>
        <t>Approved supplier list.</t>
      </text>
    </comment>
  </commentList>
</comments>
</file>

<file path=xl/comments/comment3.xml><?xml version="1.0" encoding="utf-8"?>
<comments xmlns="http://schemas.openxmlformats.org/spreadsheetml/2006/main">
  <authors>
    <author>Model</author>
  </authors>
  <commentList>
    <comment ref="A1" authorId="0" shapeId="0">
      <text>
        <t>Monthly consumption (units) per SKU, from production backflush. Columns N:Y = last 12 months.</t>
      </text>
    </comment>
  </commentList>
</comments>
</file>

<file path=xl/comments/comment4.xml><?xml version="1.0" encoding="utf-8"?>
<comments xmlns="http://schemas.openxmlformats.org/spreadsheetml/2006/main">
  <authors>
    <author>Model</author>
  </authors>
  <commentList>
    <comment ref="A1" authorId="0" shapeId="0">
      <text>
        <t>Physical stock count at the snapshot date. on_order_qty = open purchase orders.</t>
      </text>
    </comment>
  </commentList>
</comments>
</file>

<file path=xl/comments/comment5.xml><?xml version="1.0" encoding="utf-8"?>
<comments xmlns="http://schemas.openxmlformats.org/spreadsheetml/2006/main">
  <authors>
    <author>Model</author>
  </authors>
  <commentList>
    <comment ref="A1" authorId="0" shapeId="0">
      <text>
        <t>Purchase order lines, Oct-2024 to Sep-2026.</t>
      </text>
    </comment>
    <comment ref="L1" authorId="0" shapeId="0">
      <text>
        <t>Columns L:V (lighter header) are formulas.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34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34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6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4" customWidth="1" min="4" max="4"/>
    <col width="3" customWidth="1" min="5" max="5"/>
    <col width="24" customWidth="1" min="6" max="6"/>
    <col width="24" customWidth="1" min="7" max="7"/>
    <col width="14" customWidth="1" min="8" max="8"/>
    <col width="14" customWidth="1" min="9" max="9"/>
    <col width="3" customWidth="1" min="10" max="10"/>
    <col width="22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Inventory &amp; Supplier Dashboard: Corrib Medical Devices</t>
        </is>
      </c>
    </row>
    <row r="2">
      <c r="A2" s="2" t="inlineStr">
        <is>
          <t>Snapshot 30-Sep-2026. All figures are live formulas; change the Assumptions sheet to run scenarios.</t>
        </is>
      </c>
    </row>
    <row r="4">
      <c r="A4" s="3" t="inlineStr">
        <is>
          <t>Inventory value</t>
        </is>
      </c>
      <c r="D4" s="3" t="inlineStr">
        <is>
          <t>Excess stock value</t>
        </is>
      </c>
      <c r="G4" s="3" t="inlineStr">
        <is>
          <t>SKUs below safety stock</t>
        </is>
      </c>
      <c r="J4" s="3" t="inlineStr">
        <is>
          <t>SKUs to reorder now</t>
        </is>
      </c>
    </row>
    <row r="5" ht="28" customHeight="1">
      <c r="A5" s="4">
        <f>SUM(Inventory_Policy!$AB$5:$AB$120)</f>
        <v/>
      </c>
      <c r="D5" s="4">
        <f>SUM(Inventory_Policy!$AC$5:$AC$120)</f>
        <v/>
      </c>
      <c r="G5" s="5">
        <f>COUNTIF(Inventory_Policy!$AA$5:$AA$120,"Below safety stock")</f>
        <v/>
      </c>
      <c r="J5" s="5">
        <f>COUNTIF(Inventory_Policy!$AA$5:$AA$120,"Reorder now")</f>
        <v/>
      </c>
    </row>
    <row r="7">
      <c r="A7" s="3" t="inlineStr">
        <is>
          <t>Supplier OTIF (weighted)</t>
        </is>
      </c>
      <c r="D7" s="3" t="inlineStr">
        <is>
          <t>FY purchase variance</t>
        </is>
      </c>
      <c r="G7" s="3" t="inlineStr">
        <is>
          <t>of which price variance</t>
        </is>
      </c>
    </row>
    <row r="8" ht="28" customHeight="1">
      <c r="A8" s="6">
        <f>Supplier_Scorecard!J17</f>
        <v/>
      </c>
      <c r="D8" s="4">
        <f>Budget_vs_Actual!D57</f>
        <v/>
      </c>
      <c r="G8" s="4">
        <f>Budget_vs_Actual!F57</f>
        <v/>
      </c>
    </row>
    <row r="10">
      <c r="A10" s="7" t="inlineStr">
        <is>
          <t>ABC classification</t>
        </is>
      </c>
      <c r="F10" s="7" t="inlineStr">
        <is>
          <t>Stock status</t>
        </is>
      </c>
      <c r="K10" s="7" t="inlineStr">
        <is>
          <t>ABC-XYZ matrix (SKU count)</t>
        </is>
      </c>
    </row>
    <row r="11">
      <c r="A11" s="8" t="inlineStr">
        <is>
          <t>Class</t>
        </is>
      </c>
      <c r="B11" s="8" t="inlineStr">
        <is>
          <t>SKUs</t>
        </is>
      </c>
      <c r="C11" s="8" t="inlineStr">
        <is>
          <t>% of SKUs</t>
        </is>
      </c>
      <c r="D11" s="8" t="inlineStr">
        <is>
          <t>% of spend</t>
        </is>
      </c>
      <c r="F11" s="9" t="inlineStr">
        <is>
          <t>Status</t>
        </is>
      </c>
      <c r="G11" s="9" t="inlineStr">
        <is>
          <t>SKUs</t>
        </is>
      </c>
      <c r="H11" s="9" t="inlineStr">
        <is>
          <t>Stock value (€)</t>
        </is>
      </c>
      <c r="I11" s="9" t="inlineStr">
        <is>
          <t>Excess (€)</t>
        </is>
      </c>
      <c r="K11" s="9" t="inlineStr">
        <is>
          <t>ABC \ XYZ</t>
        </is>
      </c>
      <c r="L11" s="9" t="inlineStr">
        <is>
          <t>X stable</t>
        </is>
      </c>
      <c r="M11" s="9" t="inlineStr">
        <is>
          <t>Y variable</t>
        </is>
      </c>
      <c r="N11" s="9" t="inlineStr">
        <is>
          <t>Z erratic</t>
        </is>
      </c>
    </row>
    <row r="12">
      <c r="A12" s="7" t="inlineStr">
        <is>
          <t>A</t>
        </is>
      </c>
      <c r="B12" s="10">
        <f>COUNTIF(Inventory_Policy!$L$5:$L$120,A12)</f>
        <v/>
      </c>
      <c r="C12" s="11">
        <f>B12/SUM($B$12:$B$14)</f>
        <v/>
      </c>
      <c r="D12" s="11">
        <f>SUMIF(Inventory_Policy!$L$5:$L$120,A12,Inventory_Policy!$J$5:$J$120)/SUM(Inventory_Policy!$J$5:$J$120)</f>
        <v/>
      </c>
      <c r="F12" s="12" t="inlineStr">
        <is>
          <t>Below safety stock</t>
        </is>
      </c>
      <c r="G12" s="13">
        <f>COUNTIF(Inventory_Policy!$AA$5:$AA$120,F12)</f>
        <v/>
      </c>
      <c r="H12" s="14">
        <f>SUMIF(Inventory_Policy!$AA$5:$AA$120,F12,Inventory_Policy!$AB$5:$AB$120)</f>
        <v/>
      </c>
      <c r="I12" s="14">
        <f>SUMIF(Inventory_Policy!$AA$5:$AA$120,F12,Inventory_Policy!$AC$5:$AC$120)</f>
        <v/>
      </c>
      <c r="K12" s="7" t="inlineStr">
        <is>
          <t>A</t>
        </is>
      </c>
      <c r="L12" s="13">
        <f>COUNTIF(Inventory_Policy!$N$5:$N$120,"AX")</f>
        <v/>
      </c>
      <c r="M12" s="13">
        <f>COUNTIF(Inventory_Policy!$N$5:$N$120,"AY")</f>
        <v/>
      </c>
      <c r="N12" s="13">
        <f>COUNTIF(Inventory_Policy!$N$5:$N$120,"AZ")</f>
        <v/>
      </c>
    </row>
    <row r="13">
      <c r="A13" s="7" t="inlineStr">
        <is>
          <t>B</t>
        </is>
      </c>
      <c r="B13" s="10">
        <f>COUNTIF(Inventory_Policy!$L$5:$L$120,A13)</f>
        <v/>
      </c>
      <c r="C13" s="11">
        <f>B13/SUM($B$12:$B$14)</f>
        <v/>
      </c>
      <c r="D13" s="11">
        <f>SUMIF(Inventory_Policy!$L$5:$L$120,A13,Inventory_Policy!$J$5:$J$120)/SUM(Inventory_Policy!$J$5:$J$120)</f>
        <v/>
      </c>
      <c r="F13" s="12" t="inlineStr">
        <is>
          <t>Reorder now</t>
        </is>
      </c>
      <c r="G13" s="13">
        <f>COUNTIF(Inventory_Policy!$AA$5:$AA$120,F13)</f>
        <v/>
      </c>
      <c r="H13" s="14">
        <f>SUMIF(Inventory_Policy!$AA$5:$AA$120,F13,Inventory_Policy!$AB$5:$AB$120)</f>
        <v/>
      </c>
      <c r="I13" s="14">
        <f>SUMIF(Inventory_Policy!$AA$5:$AA$120,F13,Inventory_Policy!$AC$5:$AC$120)</f>
        <v/>
      </c>
      <c r="K13" s="7" t="inlineStr">
        <is>
          <t>B</t>
        </is>
      </c>
      <c r="L13" s="13">
        <f>COUNTIF(Inventory_Policy!$N$5:$N$120,"BX")</f>
        <v/>
      </c>
      <c r="M13" s="13">
        <f>COUNTIF(Inventory_Policy!$N$5:$N$120,"BY")</f>
        <v/>
      </c>
      <c r="N13" s="13">
        <f>COUNTIF(Inventory_Policy!$N$5:$N$120,"BZ")</f>
        <v/>
      </c>
    </row>
    <row r="14">
      <c r="A14" s="7" t="inlineStr">
        <is>
          <t>C</t>
        </is>
      </c>
      <c r="B14" s="10">
        <f>COUNTIF(Inventory_Policy!$L$5:$L$120,A14)</f>
        <v/>
      </c>
      <c r="C14" s="11">
        <f>B14/SUM($B$12:$B$14)</f>
        <v/>
      </c>
      <c r="D14" s="11">
        <f>SUMIF(Inventory_Policy!$L$5:$L$120,A14,Inventory_Policy!$J$5:$J$120)/SUM(Inventory_Policy!$J$5:$J$120)</f>
        <v/>
      </c>
      <c r="F14" s="12" t="inlineStr">
        <is>
          <t>Healthy</t>
        </is>
      </c>
      <c r="G14" s="13">
        <f>COUNTIF(Inventory_Policy!$AA$5:$AA$120,F14)</f>
        <v/>
      </c>
      <c r="H14" s="14">
        <f>SUMIF(Inventory_Policy!$AA$5:$AA$120,F14,Inventory_Policy!$AB$5:$AB$120)</f>
        <v/>
      </c>
      <c r="I14" s="14">
        <f>SUMIF(Inventory_Policy!$AA$5:$AA$120,F14,Inventory_Policy!$AC$5:$AC$120)</f>
        <v/>
      </c>
      <c r="K14" s="7" t="inlineStr">
        <is>
          <t>C</t>
        </is>
      </c>
      <c r="L14" s="13">
        <f>COUNTIF(Inventory_Policy!$N$5:$N$120,"CX")</f>
        <v/>
      </c>
      <c r="M14" s="13">
        <f>COUNTIF(Inventory_Policy!$N$5:$N$120,"CY")</f>
        <v/>
      </c>
      <c r="N14" s="13">
        <f>COUNTIF(Inventory_Policy!$N$5:$N$120,"CZ")</f>
        <v/>
      </c>
    </row>
    <row r="15">
      <c r="F15" s="12" t="inlineStr">
        <is>
          <t>Excess</t>
        </is>
      </c>
      <c r="G15" s="13">
        <f>COUNTIF(Inventory_Policy!$AA$5:$AA$120,F15)</f>
        <v/>
      </c>
      <c r="H15" s="14">
        <f>SUMIF(Inventory_Policy!$AA$5:$AA$120,F15,Inventory_Policy!$AB$5:$AB$120)</f>
        <v/>
      </c>
      <c r="I15" s="14">
        <f>SUMIF(Inventory_Policy!$AA$5:$AA$120,F15,Inventory_Policy!$AC$5:$AC$120)</f>
        <v/>
      </c>
    </row>
    <row r="17">
      <c r="A17" s="7" t="inlineStr">
        <is>
          <t>Top 10 excess stock (€)</t>
        </is>
      </c>
      <c r="F17" s="7" t="inlineStr">
        <is>
          <t>Top 10 shortfall vs reorder point (€)</t>
        </is>
      </c>
      <c r="K17" s="7" t="inlineStr">
        <is>
          <t>SKU lookup: pick a SKU</t>
        </is>
      </c>
    </row>
    <row r="18">
      <c r="A18" s="9" t="inlineStr">
        <is>
          <t>SKU</t>
        </is>
      </c>
      <c r="B18" s="9" t="inlineStr">
        <is>
          <t>Description</t>
        </is>
      </c>
      <c r="C18" s="9" t="inlineStr">
        <is>
          <t>Supplier</t>
        </is>
      </c>
      <c r="D18" s="9" t="inlineStr">
        <is>
          <t>Value (€)</t>
        </is>
      </c>
      <c r="F18" s="9" t="inlineStr">
        <is>
          <t>SKU</t>
        </is>
      </c>
      <c r="G18" s="9" t="inlineStr">
        <is>
          <t>Description</t>
        </is>
      </c>
      <c r="H18" s="9" t="inlineStr">
        <is>
          <t>Supplier</t>
        </is>
      </c>
      <c r="I18" s="9" t="inlineStr">
        <is>
          <t>Value (€)</t>
        </is>
      </c>
      <c r="K18" s="7" t="inlineStr">
        <is>
          <t>Selected SKU</t>
        </is>
      </c>
      <c r="L18" s="15" t="inlineStr">
        <is>
          <t>CMD-0001</t>
        </is>
      </c>
    </row>
    <row r="19">
      <c r="A19" s="12">
        <f>IF(D19=0,"",INDEX(Inventory_Policy!$A$5:$A$120,MATCH(D19,Inventory_Policy!$AC$5:$AC$120,0)))</f>
        <v/>
      </c>
      <c r="B19" s="12">
        <f>IF(D19=0,"",INDEX(Inventory_Policy!$B$5:$B$120,MATCH(D19,Inventory_Policy!$AC$5:$AC$120,0)))</f>
        <v/>
      </c>
      <c r="C19" s="12">
        <f>IF(D19=0,"",INDEX(Inventory_Policy!$D$5:$D$120,MATCH(D19,Inventory_Policy!$AC$5:$AC$120,0)))</f>
        <v/>
      </c>
      <c r="D19" s="16">
        <f>LARGE(Inventory_Policy!$AC$5:$AC$120,1)</f>
        <v/>
      </c>
      <c r="F19" s="12">
        <f>IF(I19=0,"",INDEX(Inventory_Policy!$A$5:$A$120,MATCH(I19,Inventory_Policy!$AE$5:$AE$120,0)))</f>
        <v/>
      </c>
      <c r="G19" s="12">
        <f>IF(I19=0,"",INDEX(Inventory_Policy!$B$5:$B$120,MATCH(I19,Inventory_Policy!$AE$5:$AE$120,0)))</f>
        <v/>
      </c>
      <c r="H19" s="12">
        <f>IF(I19=0,"",INDEX(Inventory_Policy!$D$5:$D$120,MATCH(I19,Inventory_Policy!$AE$5:$AE$120,0)))</f>
        <v/>
      </c>
      <c r="I19" s="16">
        <f>LARGE(Inventory_Policy!$AE$5:$AE$120,1)</f>
        <v/>
      </c>
      <c r="K19" s="17" t="inlineStr">
        <is>
          <t>Description</t>
        </is>
      </c>
      <c r="L19" s="18">
        <f>INDEX(Inventory_Policy!$B$5:$B$120,MATCH($L$18,Inventory_Policy!$A$5:$A$120,0))</f>
        <v/>
      </c>
      <c r="M19" s="19" t="n"/>
    </row>
    <row r="20">
      <c r="A20" s="12">
        <f>IF(D20=0,"",INDEX(Inventory_Policy!$A$5:$A$120,MATCH(D20,Inventory_Policy!$AC$5:$AC$120,0)))</f>
        <v/>
      </c>
      <c r="B20" s="12">
        <f>IF(D20=0,"",INDEX(Inventory_Policy!$B$5:$B$120,MATCH(D20,Inventory_Policy!$AC$5:$AC$120,0)))</f>
        <v/>
      </c>
      <c r="C20" s="12">
        <f>IF(D20=0,"",INDEX(Inventory_Policy!$D$5:$D$120,MATCH(D20,Inventory_Policy!$AC$5:$AC$120,0)))</f>
        <v/>
      </c>
      <c r="D20" s="16">
        <f>LARGE(Inventory_Policy!$AC$5:$AC$120,2)</f>
        <v/>
      </c>
      <c r="F20" s="12">
        <f>IF(I20=0,"",INDEX(Inventory_Policy!$A$5:$A$120,MATCH(I20,Inventory_Policy!$AE$5:$AE$120,0)))</f>
        <v/>
      </c>
      <c r="G20" s="12">
        <f>IF(I20=0,"",INDEX(Inventory_Policy!$B$5:$B$120,MATCH(I20,Inventory_Policy!$AE$5:$AE$120,0)))</f>
        <v/>
      </c>
      <c r="H20" s="12">
        <f>IF(I20=0,"",INDEX(Inventory_Policy!$D$5:$D$120,MATCH(I20,Inventory_Policy!$AE$5:$AE$120,0)))</f>
        <v/>
      </c>
      <c r="I20" s="16">
        <f>LARGE(Inventory_Policy!$AE$5:$AE$120,2)</f>
        <v/>
      </c>
      <c r="K20" s="17" t="inlineStr">
        <is>
          <t>Category</t>
        </is>
      </c>
      <c r="L20" s="18">
        <f>INDEX(Inventory_Policy!$C$5:$C$120,MATCH($L$18,Inventory_Policy!$A$5:$A$120,0))</f>
        <v/>
      </c>
      <c r="M20" s="19" t="n"/>
    </row>
    <row r="21">
      <c r="A21" s="12">
        <f>IF(D21=0,"",INDEX(Inventory_Policy!$A$5:$A$120,MATCH(D21,Inventory_Policy!$AC$5:$AC$120,0)))</f>
        <v/>
      </c>
      <c r="B21" s="12">
        <f>IF(D21=0,"",INDEX(Inventory_Policy!$B$5:$B$120,MATCH(D21,Inventory_Policy!$AC$5:$AC$120,0)))</f>
        <v/>
      </c>
      <c r="C21" s="12">
        <f>IF(D21=0,"",INDEX(Inventory_Policy!$D$5:$D$120,MATCH(D21,Inventory_Policy!$AC$5:$AC$120,0)))</f>
        <v/>
      </c>
      <c r="D21" s="16">
        <f>LARGE(Inventory_Policy!$AC$5:$AC$120,3)</f>
        <v/>
      </c>
      <c r="F21" s="12">
        <f>IF(I21=0,"",INDEX(Inventory_Policy!$A$5:$A$120,MATCH(I21,Inventory_Policy!$AE$5:$AE$120,0)))</f>
        <v/>
      </c>
      <c r="G21" s="12">
        <f>IF(I21=0,"",INDEX(Inventory_Policy!$B$5:$B$120,MATCH(I21,Inventory_Policy!$AE$5:$AE$120,0)))</f>
        <v/>
      </c>
      <c r="H21" s="12">
        <f>IF(I21=0,"",INDEX(Inventory_Policy!$D$5:$D$120,MATCH(I21,Inventory_Policy!$AE$5:$AE$120,0)))</f>
        <v/>
      </c>
      <c r="I21" s="16">
        <f>LARGE(Inventory_Policy!$AE$5:$AE$120,3)</f>
        <v/>
      </c>
      <c r="K21" s="17" t="inlineStr">
        <is>
          <t>Supplier</t>
        </is>
      </c>
      <c r="L21" s="18">
        <f>INDEX(Inventory_Policy!$D$5:$D$120,MATCH($L$18,Inventory_Policy!$A$5:$A$120,0))</f>
        <v/>
      </c>
      <c r="M21" s="19" t="n"/>
    </row>
    <row r="22">
      <c r="A22" s="12">
        <f>IF(D22=0,"",INDEX(Inventory_Policy!$A$5:$A$120,MATCH(D22,Inventory_Policy!$AC$5:$AC$120,0)))</f>
        <v/>
      </c>
      <c r="B22" s="12">
        <f>IF(D22=0,"",INDEX(Inventory_Policy!$B$5:$B$120,MATCH(D22,Inventory_Policy!$AC$5:$AC$120,0)))</f>
        <v/>
      </c>
      <c r="C22" s="12">
        <f>IF(D22=0,"",INDEX(Inventory_Policy!$D$5:$D$120,MATCH(D22,Inventory_Policy!$AC$5:$AC$120,0)))</f>
        <v/>
      </c>
      <c r="D22" s="16">
        <f>LARGE(Inventory_Policy!$AC$5:$AC$120,4)</f>
        <v/>
      </c>
      <c r="F22" s="12">
        <f>IF(I22=0,"",INDEX(Inventory_Policy!$A$5:$A$120,MATCH(I22,Inventory_Policy!$AE$5:$AE$120,0)))</f>
        <v/>
      </c>
      <c r="G22" s="12">
        <f>IF(I22=0,"",INDEX(Inventory_Policy!$B$5:$B$120,MATCH(I22,Inventory_Policy!$AE$5:$AE$120,0)))</f>
        <v/>
      </c>
      <c r="H22" s="12">
        <f>IF(I22=0,"",INDEX(Inventory_Policy!$D$5:$D$120,MATCH(I22,Inventory_Policy!$AE$5:$AE$120,0)))</f>
        <v/>
      </c>
      <c r="I22" s="16">
        <f>LARGE(Inventory_Policy!$AE$5:$AE$120,4)</f>
        <v/>
      </c>
      <c r="K22" s="17" t="inlineStr">
        <is>
          <t>ABC-XYZ</t>
        </is>
      </c>
      <c r="L22" s="18">
        <f>INDEX(Inventory_Policy!$N$5:$N$120,MATCH($L$18,Inventory_Policy!$A$5:$A$120,0))</f>
        <v/>
      </c>
      <c r="M22" s="19" t="n"/>
    </row>
    <row r="23">
      <c r="A23" s="12">
        <f>IF(D23=0,"",INDEX(Inventory_Policy!$A$5:$A$120,MATCH(D23,Inventory_Policy!$AC$5:$AC$120,0)))</f>
        <v/>
      </c>
      <c r="B23" s="12">
        <f>IF(D23=0,"",INDEX(Inventory_Policy!$B$5:$B$120,MATCH(D23,Inventory_Policy!$AC$5:$AC$120,0)))</f>
        <v/>
      </c>
      <c r="C23" s="12">
        <f>IF(D23=0,"",INDEX(Inventory_Policy!$D$5:$D$120,MATCH(D23,Inventory_Policy!$AC$5:$AC$120,0)))</f>
        <v/>
      </c>
      <c r="D23" s="16">
        <f>LARGE(Inventory_Policy!$AC$5:$AC$120,5)</f>
        <v/>
      </c>
      <c r="F23" s="12">
        <f>IF(I23=0,"",INDEX(Inventory_Policy!$A$5:$A$120,MATCH(I23,Inventory_Policy!$AE$5:$AE$120,0)))</f>
        <v/>
      </c>
      <c r="G23" s="12">
        <f>IF(I23=0,"",INDEX(Inventory_Policy!$B$5:$B$120,MATCH(I23,Inventory_Policy!$AE$5:$AE$120,0)))</f>
        <v/>
      </c>
      <c r="H23" s="12">
        <f>IF(I23=0,"",INDEX(Inventory_Policy!$D$5:$D$120,MATCH(I23,Inventory_Policy!$AE$5:$AE$120,0)))</f>
        <v/>
      </c>
      <c r="I23" s="16">
        <f>LARGE(Inventory_Policy!$AE$5:$AE$120,5)</f>
        <v/>
      </c>
      <c r="K23" s="17" t="inlineStr">
        <is>
          <t>Avg monthly demand</t>
        </is>
      </c>
      <c r="L23" s="20">
        <f>INDEX(Inventory_Policy!$G$5:$G$120,MATCH($L$18,Inventory_Policy!$A$5:$A$120,0))</f>
        <v/>
      </c>
      <c r="M23" s="19" t="n"/>
    </row>
    <row r="24">
      <c r="A24" s="12">
        <f>IF(D24=0,"",INDEX(Inventory_Policy!$A$5:$A$120,MATCH(D24,Inventory_Policy!$AC$5:$AC$120,0)))</f>
        <v/>
      </c>
      <c r="B24" s="12">
        <f>IF(D24=0,"",INDEX(Inventory_Policy!$B$5:$B$120,MATCH(D24,Inventory_Policy!$AC$5:$AC$120,0)))</f>
        <v/>
      </c>
      <c r="C24" s="12">
        <f>IF(D24=0,"",INDEX(Inventory_Policy!$D$5:$D$120,MATCH(D24,Inventory_Policy!$AC$5:$AC$120,0)))</f>
        <v/>
      </c>
      <c r="D24" s="16">
        <f>LARGE(Inventory_Policy!$AC$5:$AC$120,6)</f>
        <v/>
      </c>
      <c r="F24" s="12">
        <f>IF(I24=0,"",INDEX(Inventory_Policy!$A$5:$A$120,MATCH(I24,Inventory_Policy!$AE$5:$AE$120,0)))</f>
        <v/>
      </c>
      <c r="G24" s="12">
        <f>IF(I24=0,"",INDEX(Inventory_Policy!$B$5:$B$120,MATCH(I24,Inventory_Policy!$AE$5:$AE$120,0)))</f>
        <v/>
      </c>
      <c r="H24" s="12">
        <f>IF(I24=0,"",INDEX(Inventory_Policy!$D$5:$D$120,MATCH(I24,Inventory_Policy!$AE$5:$AE$120,0)))</f>
        <v/>
      </c>
      <c r="I24" s="16">
        <f>LARGE(Inventory_Policy!$AE$5:$AE$120,6)</f>
        <v/>
      </c>
      <c r="K24" s="17" t="inlineStr">
        <is>
          <t>Actual lead time (days)</t>
        </is>
      </c>
      <c r="L24" s="21">
        <f>INDEX(Inventory_Policy!$Q$5:$Q$120,MATCH($L$18,Inventory_Policy!$A$5:$A$120,0))</f>
        <v/>
      </c>
      <c r="M24" s="19" t="n"/>
    </row>
    <row r="25">
      <c r="A25" s="12">
        <f>IF(D25=0,"",INDEX(Inventory_Policy!$A$5:$A$120,MATCH(D25,Inventory_Policy!$AC$5:$AC$120,0)))</f>
        <v/>
      </c>
      <c r="B25" s="12">
        <f>IF(D25=0,"",INDEX(Inventory_Policy!$B$5:$B$120,MATCH(D25,Inventory_Policy!$AC$5:$AC$120,0)))</f>
        <v/>
      </c>
      <c r="C25" s="12">
        <f>IF(D25=0,"",INDEX(Inventory_Policy!$D$5:$D$120,MATCH(D25,Inventory_Policy!$AC$5:$AC$120,0)))</f>
        <v/>
      </c>
      <c r="D25" s="16">
        <f>LARGE(Inventory_Policy!$AC$5:$AC$120,7)</f>
        <v/>
      </c>
      <c r="F25" s="12">
        <f>IF(I25=0,"",INDEX(Inventory_Policy!$A$5:$A$120,MATCH(I25,Inventory_Policy!$AE$5:$AE$120,0)))</f>
        <v/>
      </c>
      <c r="G25" s="12">
        <f>IF(I25=0,"",INDEX(Inventory_Policy!$B$5:$B$120,MATCH(I25,Inventory_Policy!$AE$5:$AE$120,0)))</f>
        <v/>
      </c>
      <c r="H25" s="12">
        <f>IF(I25=0,"",INDEX(Inventory_Policy!$D$5:$D$120,MATCH(I25,Inventory_Policy!$AE$5:$AE$120,0)))</f>
        <v/>
      </c>
      <c r="I25" s="16">
        <f>LARGE(Inventory_Policy!$AE$5:$AE$120,7)</f>
        <v/>
      </c>
      <c r="K25" s="17" t="inlineStr">
        <is>
          <t>Safety stock</t>
        </is>
      </c>
      <c r="L25" s="20">
        <f>INDEX(Inventory_Policy!$S$5:$S$120,MATCH($L$18,Inventory_Policy!$A$5:$A$120,0))</f>
        <v/>
      </c>
      <c r="M25" s="19" t="n"/>
    </row>
    <row r="26">
      <c r="A26" s="12">
        <f>IF(D26=0,"",INDEX(Inventory_Policy!$A$5:$A$120,MATCH(D26,Inventory_Policy!$AC$5:$AC$120,0)))</f>
        <v/>
      </c>
      <c r="B26" s="12">
        <f>IF(D26=0,"",INDEX(Inventory_Policy!$B$5:$B$120,MATCH(D26,Inventory_Policy!$AC$5:$AC$120,0)))</f>
        <v/>
      </c>
      <c r="C26" s="12">
        <f>IF(D26=0,"",INDEX(Inventory_Policy!$D$5:$D$120,MATCH(D26,Inventory_Policy!$AC$5:$AC$120,0)))</f>
        <v/>
      </c>
      <c r="D26" s="16">
        <f>LARGE(Inventory_Policy!$AC$5:$AC$120,8)</f>
        <v/>
      </c>
      <c r="F26" s="12">
        <f>IF(I26=0,"",INDEX(Inventory_Policy!$A$5:$A$120,MATCH(I26,Inventory_Policy!$AE$5:$AE$120,0)))</f>
        <v/>
      </c>
      <c r="G26" s="12">
        <f>IF(I26=0,"",INDEX(Inventory_Policy!$B$5:$B$120,MATCH(I26,Inventory_Policy!$AE$5:$AE$120,0)))</f>
        <v/>
      </c>
      <c r="H26" s="12">
        <f>IF(I26=0,"",INDEX(Inventory_Policy!$D$5:$D$120,MATCH(I26,Inventory_Policy!$AE$5:$AE$120,0)))</f>
        <v/>
      </c>
      <c r="I26" s="16">
        <f>LARGE(Inventory_Policy!$AE$5:$AE$120,8)</f>
        <v/>
      </c>
      <c r="K26" s="17" t="inlineStr">
        <is>
          <t>Reorder point</t>
        </is>
      </c>
      <c r="L26" s="20">
        <f>INDEX(Inventory_Policy!$T$5:$T$120,MATCH($L$18,Inventory_Policy!$A$5:$A$120,0))</f>
        <v/>
      </c>
      <c r="M26" s="19" t="n"/>
    </row>
    <row r="27">
      <c r="A27" s="12">
        <f>IF(D27=0,"",INDEX(Inventory_Policy!$A$5:$A$120,MATCH(D27,Inventory_Policy!$AC$5:$AC$120,0)))</f>
        <v/>
      </c>
      <c r="B27" s="12">
        <f>IF(D27=0,"",INDEX(Inventory_Policy!$B$5:$B$120,MATCH(D27,Inventory_Policy!$AC$5:$AC$120,0)))</f>
        <v/>
      </c>
      <c r="C27" s="12">
        <f>IF(D27=0,"",INDEX(Inventory_Policy!$D$5:$D$120,MATCH(D27,Inventory_Policy!$AC$5:$AC$120,0)))</f>
        <v/>
      </c>
      <c r="D27" s="16">
        <f>LARGE(Inventory_Policy!$AC$5:$AC$120,9)</f>
        <v/>
      </c>
      <c r="F27" s="12">
        <f>IF(I27=0,"",INDEX(Inventory_Policy!$A$5:$A$120,MATCH(I27,Inventory_Policy!$AE$5:$AE$120,0)))</f>
        <v/>
      </c>
      <c r="G27" s="12">
        <f>IF(I27=0,"",INDEX(Inventory_Policy!$B$5:$B$120,MATCH(I27,Inventory_Policy!$AE$5:$AE$120,0)))</f>
        <v/>
      </c>
      <c r="H27" s="12">
        <f>IF(I27=0,"",INDEX(Inventory_Policy!$D$5:$D$120,MATCH(I27,Inventory_Policy!$AE$5:$AE$120,0)))</f>
        <v/>
      </c>
      <c r="I27" s="16">
        <f>LARGE(Inventory_Policy!$AE$5:$AE$120,9)</f>
        <v/>
      </c>
      <c r="K27" s="17" t="inlineStr">
        <is>
          <t>Order quantity</t>
        </is>
      </c>
      <c r="L27" s="20">
        <f>INDEX(Inventory_Policy!$U$5:$U$120,MATCH($L$18,Inventory_Policy!$A$5:$A$120,0))</f>
        <v/>
      </c>
      <c r="M27" s="19" t="n"/>
    </row>
    <row r="28">
      <c r="A28" s="12">
        <f>IF(D28=0,"",INDEX(Inventory_Policy!$A$5:$A$120,MATCH(D28,Inventory_Policy!$AC$5:$AC$120,0)))</f>
        <v/>
      </c>
      <c r="B28" s="12">
        <f>IF(D28=0,"",INDEX(Inventory_Policy!$B$5:$B$120,MATCH(D28,Inventory_Policy!$AC$5:$AC$120,0)))</f>
        <v/>
      </c>
      <c r="C28" s="12">
        <f>IF(D28=0,"",INDEX(Inventory_Policy!$D$5:$D$120,MATCH(D28,Inventory_Policy!$AC$5:$AC$120,0)))</f>
        <v/>
      </c>
      <c r="D28" s="16">
        <f>LARGE(Inventory_Policy!$AC$5:$AC$120,10)</f>
        <v/>
      </c>
      <c r="F28" s="12">
        <f>IF(I28=0,"",INDEX(Inventory_Policy!$A$5:$A$120,MATCH(I28,Inventory_Policy!$AE$5:$AE$120,0)))</f>
        <v/>
      </c>
      <c r="G28" s="12">
        <f>IF(I28=0,"",INDEX(Inventory_Policy!$B$5:$B$120,MATCH(I28,Inventory_Policy!$AE$5:$AE$120,0)))</f>
        <v/>
      </c>
      <c r="H28" s="12">
        <f>IF(I28=0,"",INDEX(Inventory_Policy!$D$5:$D$120,MATCH(I28,Inventory_Policy!$AE$5:$AE$120,0)))</f>
        <v/>
      </c>
      <c r="I28" s="16">
        <f>LARGE(Inventory_Policy!$AE$5:$AE$120,10)</f>
        <v/>
      </c>
      <c r="K28" s="17" t="inlineStr">
        <is>
          <t>On hand</t>
        </is>
      </c>
      <c r="L28" s="20">
        <f>INDEX(Inventory_Policy!$V$5:$V$120,MATCH($L$18,Inventory_Policy!$A$5:$A$120,0))</f>
        <v/>
      </c>
      <c r="M28" s="19" t="n"/>
    </row>
    <row r="29">
      <c r="K29" s="17" t="inlineStr">
        <is>
          <t>On order</t>
        </is>
      </c>
      <c r="L29" s="20">
        <f>INDEX(Inventory_Policy!$W$5:$W$120,MATCH($L$18,Inventory_Policy!$A$5:$A$120,0))</f>
        <v/>
      </c>
      <c r="M29" s="19" t="n"/>
    </row>
    <row r="30">
      <c r="K30" s="17" t="inlineStr">
        <is>
          <t>Days of cover</t>
        </is>
      </c>
      <c r="L30" s="22">
        <f>INDEX(Inventory_Policy!$Y$5:$Y$120,MATCH($L$18,Inventory_Policy!$A$5:$A$120,0))</f>
        <v/>
      </c>
      <c r="M30" s="19" t="n"/>
    </row>
    <row r="31">
      <c r="K31" s="17" t="inlineStr">
        <is>
          <t>Status</t>
        </is>
      </c>
      <c r="L31" s="18">
        <f>INDEX(Inventory_Policy!$AA$5:$AA$120,MATCH($L$18,Inventory_Policy!$A$5:$A$120,0))</f>
        <v/>
      </c>
      <c r="M31" s="19" t="n"/>
    </row>
    <row r="32">
      <c r="K32" s="17" t="inlineStr">
        <is>
          <t>Suggested order qty</t>
        </is>
      </c>
      <c r="L32" s="20">
        <f>INDEX(Inventory_Policy!$AD$5:$AD$120,MATCH($L$18,Inventory_Policy!$A$5:$A$120,0))</f>
        <v/>
      </c>
      <c r="M32" s="19" t="n"/>
    </row>
    <row r="55">
      <c r="A55" s="2" t="inlineStr">
        <is>
          <t>Chart data (feeds the charts above)</t>
        </is>
      </c>
    </row>
    <row r="56">
      <c r="A56" s="8" t="inlineStr">
        <is>
          <t>Supplier</t>
        </is>
      </c>
      <c r="B56" s="8" t="inlineStr">
        <is>
          <t>OTIF %</t>
        </is>
      </c>
      <c r="F56" s="9" t="inlineStr">
        <is>
          <t>Month</t>
        </is>
      </c>
      <c r="G56" s="9" t="inlineStr">
        <is>
          <t>Budget (€)</t>
        </is>
      </c>
      <c r="H56" s="9" t="inlineStr">
        <is>
          <t>Actual (€)</t>
        </is>
      </c>
    </row>
    <row r="57">
      <c r="A57">
        <f>Supplier_Scorecard!B5</f>
        <v/>
      </c>
      <c r="B57" s="23">
        <f>Supplier_Scorecard!J5</f>
        <v/>
      </c>
      <c r="F57" t="inlineStr">
        <is>
          <t>2025-10</t>
        </is>
      </c>
      <c r="G57" s="24">
        <f>Budget_vs_Actual!B15</f>
        <v/>
      </c>
      <c r="H57" s="24">
        <f>Budget_vs_Actual!B29</f>
        <v/>
      </c>
    </row>
    <row r="58">
      <c r="A58">
        <f>Supplier_Scorecard!B6</f>
        <v/>
      </c>
      <c r="B58" s="23">
        <f>Supplier_Scorecard!J6</f>
        <v/>
      </c>
      <c r="F58" t="inlineStr">
        <is>
          <t>2025-11</t>
        </is>
      </c>
      <c r="G58" s="24">
        <f>Budget_vs_Actual!C15</f>
        <v/>
      </c>
      <c r="H58" s="24">
        <f>Budget_vs_Actual!C29</f>
        <v/>
      </c>
    </row>
    <row r="59">
      <c r="A59">
        <f>Supplier_Scorecard!B7</f>
        <v/>
      </c>
      <c r="B59" s="23">
        <f>Supplier_Scorecard!J7</f>
        <v/>
      </c>
      <c r="F59" t="inlineStr">
        <is>
          <t>2025-12</t>
        </is>
      </c>
      <c r="G59" s="24">
        <f>Budget_vs_Actual!D15</f>
        <v/>
      </c>
      <c r="H59" s="24">
        <f>Budget_vs_Actual!D29</f>
        <v/>
      </c>
    </row>
    <row r="60">
      <c r="A60">
        <f>Supplier_Scorecard!B8</f>
        <v/>
      </c>
      <c r="B60" s="23">
        <f>Supplier_Scorecard!J8</f>
        <v/>
      </c>
      <c r="F60" t="inlineStr">
        <is>
          <t>2026-01</t>
        </is>
      </c>
      <c r="G60" s="24">
        <f>Budget_vs_Actual!E15</f>
        <v/>
      </c>
      <c r="H60" s="24">
        <f>Budget_vs_Actual!E29</f>
        <v/>
      </c>
    </row>
    <row r="61">
      <c r="A61">
        <f>Supplier_Scorecard!B9</f>
        <v/>
      </c>
      <c r="B61" s="23">
        <f>Supplier_Scorecard!J9</f>
        <v/>
      </c>
      <c r="F61" t="inlineStr">
        <is>
          <t>2026-02</t>
        </is>
      </c>
      <c r="G61" s="24">
        <f>Budget_vs_Actual!F15</f>
        <v/>
      </c>
      <c r="H61" s="24">
        <f>Budget_vs_Actual!F29</f>
        <v/>
      </c>
    </row>
    <row r="62">
      <c r="A62">
        <f>Supplier_Scorecard!B10</f>
        <v/>
      </c>
      <c r="B62" s="23">
        <f>Supplier_Scorecard!J10</f>
        <v/>
      </c>
      <c r="F62" t="inlineStr">
        <is>
          <t>2026-03</t>
        </is>
      </c>
      <c r="G62" s="24">
        <f>Budget_vs_Actual!G15</f>
        <v/>
      </c>
      <c r="H62" s="24">
        <f>Budget_vs_Actual!G29</f>
        <v/>
      </c>
    </row>
    <row r="63">
      <c r="A63">
        <f>Supplier_Scorecard!B11</f>
        <v/>
      </c>
      <c r="B63" s="23">
        <f>Supplier_Scorecard!J11</f>
        <v/>
      </c>
      <c r="F63" t="inlineStr">
        <is>
          <t>2026-04</t>
        </is>
      </c>
      <c r="G63" s="24">
        <f>Budget_vs_Actual!H15</f>
        <v/>
      </c>
      <c r="H63" s="24">
        <f>Budget_vs_Actual!H29</f>
        <v/>
      </c>
    </row>
    <row r="64">
      <c r="A64">
        <f>Supplier_Scorecard!B12</f>
        <v/>
      </c>
      <c r="B64" s="23">
        <f>Supplier_Scorecard!J12</f>
        <v/>
      </c>
      <c r="F64" t="inlineStr">
        <is>
          <t>2026-05</t>
        </is>
      </c>
      <c r="G64" s="24">
        <f>Budget_vs_Actual!I15</f>
        <v/>
      </c>
      <c r="H64" s="24">
        <f>Budget_vs_Actual!I29</f>
        <v/>
      </c>
    </row>
    <row r="65">
      <c r="A65">
        <f>Supplier_Scorecard!B13</f>
        <v/>
      </c>
      <c r="B65" s="23">
        <f>Supplier_Scorecard!J13</f>
        <v/>
      </c>
      <c r="F65" t="inlineStr">
        <is>
          <t>2026-06</t>
        </is>
      </c>
      <c r="G65" s="24">
        <f>Budget_vs_Actual!J15</f>
        <v/>
      </c>
      <c r="H65" s="24">
        <f>Budget_vs_Actual!J29</f>
        <v/>
      </c>
    </row>
    <row r="66">
      <c r="A66">
        <f>Supplier_Scorecard!B14</f>
        <v/>
      </c>
      <c r="B66" s="23">
        <f>Supplier_Scorecard!J14</f>
        <v/>
      </c>
      <c r="F66" t="inlineStr">
        <is>
          <t>2026-07</t>
        </is>
      </c>
      <c r="G66" s="24">
        <f>Budget_vs_Actual!K15</f>
        <v/>
      </c>
      <c r="H66" s="24">
        <f>Budget_vs_Actual!K29</f>
        <v/>
      </c>
    </row>
    <row r="67">
      <c r="A67">
        <f>Supplier_Scorecard!B15</f>
        <v/>
      </c>
      <c r="B67" s="23">
        <f>Supplier_Scorecard!J15</f>
        <v/>
      </c>
      <c r="F67" t="inlineStr">
        <is>
          <t>2026-08</t>
        </is>
      </c>
      <c r="G67" s="24">
        <f>Budget_vs_Actual!L15</f>
        <v/>
      </c>
      <c r="H67" s="24">
        <f>Budget_vs_Actual!L29</f>
        <v/>
      </c>
    </row>
    <row r="68">
      <c r="A68">
        <f>Supplier_Scorecard!B16</f>
        <v/>
      </c>
      <c r="B68" s="23">
        <f>Supplier_Scorecard!J16</f>
        <v/>
      </c>
      <c r="F68" t="inlineStr">
        <is>
          <t>2026-09</t>
        </is>
      </c>
      <c r="G68" s="24">
        <f>Budget_vs_Actual!M15</f>
        <v/>
      </c>
      <c r="H68" s="24">
        <f>Budget_vs_Actual!M29</f>
        <v/>
      </c>
    </row>
  </sheetData>
  <mergeCells count="28">
    <mergeCell ref="J5:K5"/>
    <mergeCell ref="L32:M32"/>
    <mergeCell ref="L19:M19"/>
    <mergeCell ref="G8:H8"/>
    <mergeCell ref="L28:M28"/>
    <mergeCell ref="A7:B7"/>
    <mergeCell ref="G7:H7"/>
    <mergeCell ref="L24:M24"/>
    <mergeCell ref="L23:M23"/>
    <mergeCell ref="L30:M30"/>
    <mergeCell ref="L26:M26"/>
    <mergeCell ref="J4:K4"/>
    <mergeCell ref="L29:M29"/>
    <mergeCell ref="D7:E7"/>
    <mergeCell ref="L20:M20"/>
    <mergeCell ref="A5:B5"/>
    <mergeCell ref="G5:H5"/>
    <mergeCell ref="L25:M25"/>
    <mergeCell ref="D4:E4"/>
    <mergeCell ref="L31:M31"/>
    <mergeCell ref="A8:B8"/>
    <mergeCell ref="L22:M22"/>
    <mergeCell ref="A4:B4"/>
    <mergeCell ref="G4:H4"/>
    <mergeCell ref="D8:E8"/>
    <mergeCell ref="L21:M21"/>
    <mergeCell ref="D5:E5"/>
    <mergeCell ref="L27:M27"/>
  </mergeCells>
  <conditionalFormatting sqref="F12:F15">
    <cfRule type="cellIs" priority="1" operator="equal" dxfId="0">
      <formula>"Below safety stock"</formula>
    </cfRule>
    <cfRule type="cellIs" priority="2" operator="equal" dxfId="1">
      <formula>"Reorder now"</formula>
    </cfRule>
    <cfRule type="cellIs" priority="3" operator="equal" dxfId="2">
      <formula>"Excess"</formula>
    </cfRule>
    <cfRule type="cellIs" priority="4" operator="equal" dxfId="3">
      <formula>"Healthy"</formula>
    </cfRule>
  </conditionalFormatting>
  <conditionalFormatting sqref="L12:N14">
    <cfRule type="colorScale" priority="5">
      <colorScale>
        <cfvo type="min"/>
        <cfvo type="max"/>
        <color rgb="00FFFFFF"/>
        <color rgb="006DA7EC"/>
      </colorScale>
    </cfRule>
  </conditionalFormatting>
  <dataValidations count="1">
    <dataValidation sqref="L18" showDropDown="0" showInputMessage="0" showErrorMessage="0" allowBlank="0" type="list">
      <formula1>=Inventory_Policy!$A$5:$A$120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98781"/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Corrib Medical Devices: Component Inventory &amp; Supplier Model</t>
        </is>
      </c>
    </row>
    <row r="2">
      <c r="A2" s="2" t="inlineStr">
        <is>
          <t>Simulated data for a fictional Galway medtech manufacturer (patient monitors, wearable ECG patches, infusion pumps)</t>
        </is>
      </c>
    </row>
    <row r="4" ht="45" customHeight="1">
      <c r="A4" s="7" t="inlineStr">
        <is>
          <t>Purpose</t>
        </is>
      </c>
      <c r="B4" s="25" t="inlineStr">
        <is>
          <t>Set inventory policy (safety stock, reorder point, order quantity) for 116 electronic and packaging components, find excess and shortage risk, score suppliers, and explain budget variance.</t>
        </is>
      </c>
    </row>
    <row r="5" ht="45" customHeight="1">
      <c r="A5" s="7" t="inlineStr">
        <is>
          <t>How to use</t>
        </is>
      </c>
      <c r="B5" s="25" t="inlineStr">
        <is>
          <t>Change any yellow cell on the 'Assumptions' sheet (service levels, holding cost, thresholds). Every analysis sheet recalculates. Use the SKU selector on the 'Dashboard' to inspect any part.</t>
        </is>
      </c>
    </row>
    <row r="6" ht="45" customHeight="1">
      <c r="A6" s="7" t="inlineStr">
        <is>
          <t>Sheets</t>
        </is>
      </c>
      <c r="B6" s="25" t="inlineStr">
        <is>
          <t>Dashboard: KPIs, charts, SKU lookup  |  Inventory_Policy: ABC/XYZ, safety stock, ROP, EOQ, status  |  Supplier_Scorecard: OTIF, rejects, lead times  |  Budget_vs_Actual: monthly variance with price/volume split  |  Assumptions  |  Data sheets: Items, Demand, PO_Lines, Stock_Snapshot, Suppliers</t>
        </is>
      </c>
    </row>
    <row r="7" ht="45" customHeight="1">
      <c r="A7" s="7" t="inlineStr">
        <is>
          <t>Colour legend</t>
        </is>
      </c>
      <c r="B7" s="26" t="inlineStr">
        <is>
          <t>Blue text = hard-coded input  |  Black text = formula  |  Yellow fill = key assumption you can change</t>
        </is>
      </c>
    </row>
    <row r="8" ht="45" customHeight="1">
      <c r="A8" s="7" t="inlineStr">
        <is>
          <t>Method</t>
        </is>
      </c>
      <c r="B8" s="25" t="inlineStr">
        <is>
          <t>ABC by 12-month spend (Pareto). XYZ by coefficient of variation of monthly demand. Safety stock = z x sqrt(LT x sd_demand^2 + demand^2 x sd_LT^2) using actual supplier lead times. ROP = demand during lead time + safety stock. Order qty = largest of EOQ (sqrt(2 x annual demand x order cost / holding cost per unit)), supplier MOQ and minimum order cover. Excess = stock above safety stock + one order quantity.</t>
        </is>
      </c>
    </row>
    <row r="9" ht="45" customHeight="1">
      <c r="A9" s="7" t="inlineStr">
        <is>
          <t>Data</t>
        </is>
      </c>
      <c r="B9" s="25" t="inlineStr">
        <is>
          <t>All data is simulated (see src/generate_data.py) and the company is fictional. Snapshot date 30-Sep-2026; 24 months of consumption; 2,026 purchase order lines.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/>
  </sheetPr>
  <dimension ref="A1:AG1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0" customWidth="1" min="3" max="3"/>
    <col width="9" customWidth="1" min="4" max="4"/>
    <col width="10" customWidth="1" min="5" max="5"/>
    <col width="11" customWidth="1" min="6" max="6"/>
    <col width="10" customWidth="1" min="7" max="7"/>
    <col width="10" customWidth="1" min="8" max="8"/>
    <col width="7" customWidth="1" min="9" max="9"/>
    <col width="12" customWidth="1" min="10" max="10"/>
    <col width="10" customWidth="1" min="11" max="11"/>
    <col width="6" customWidth="1" min="12" max="12"/>
    <col width="6" customWidth="1" min="13" max="13"/>
    <col width="8" customWidth="1" min="14" max="14"/>
    <col width="9" customWidth="1" min="15" max="15"/>
    <col width="6" customWidth="1" min="16" max="16"/>
    <col width="10" customWidth="1" min="17" max="17"/>
    <col width="10" customWidth="1" min="18" max="18"/>
    <col width="11" customWidth="1" min="19" max="19"/>
    <col width="11" customWidth="1" min="20" max="20"/>
    <col width="12" customWidth="1" min="21" max="21"/>
    <col width="11" customWidth="1" min="22" max="22"/>
    <col width="11" customWidth="1" min="23" max="23"/>
    <col width="11" customWidth="1" min="24" max="24"/>
    <col width="8" customWidth="1" min="25" max="25"/>
    <col width="11" customWidth="1" min="26" max="26"/>
    <col width="17" customWidth="1" min="27" max="27"/>
    <col width="12" customWidth="1" min="28" max="28"/>
    <col width="12" customWidth="1" min="29" max="29"/>
    <col width="11" customWidth="1" min="30" max="30"/>
    <col width="12" customWidth="1" min="31" max="31"/>
    <col width="12" customWidth="1" min="32" max="32"/>
    <col width="13" customWidth="1" min="33" max="33"/>
  </cols>
  <sheetData>
    <row r="1">
      <c r="A1" s="1" t="inlineStr">
        <is>
          <t>Inventory Policy by SKU</t>
        </is>
      </c>
    </row>
    <row r="2">
      <c r="A2" s="2" t="inlineStr">
        <is>
          <t>ABC/XYZ classification, safety stock, reorder point, EOQ and stock status. All cells are formulas driven by the Assumptions sheet.</t>
        </is>
      </c>
    </row>
    <row r="4" ht="42" customHeight="1">
      <c r="A4" s="8" t="inlineStr">
        <is>
          <t>SKU</t>
        </is>
      </c>
      <c r="B4" s="8" t="inlineStr">
        <is>
          <t>Description</t>
        </is>
      </c>
      <c r="C4" s="8" t="inlineStr">
        <is>
          <t>Category</t>
        </is>
      </c>
      <c r="D4" s="8" t="inlineStr">
        <is>
          <t>Supplier</t>
        </is>
      </c>
      <c r="E4" s="8" t="inlineStr">
        <is>
          <t>Unit cost (€)</t>
        </is>
      </c>
      <c r="F4" s="8" t="inlineStr">
        <is>
          <t>Annual usage (units)</t>
        </is>
      </c>
      <c r="G4" s="8" t="inlineStr">
        <is>
          <t>Avg monthly demand</t>
        </is>
      </c>
      <c r="H4" s="8" t="inlineStr">
        <is>
          <t>Std dev monthly</t>
        </is>
      </c>
      <c r="I4" s="8" t="inlineStr">
        <is>
          <t>CV</t>
        </is>
      </c>
      <c r="J4" s="8" t="inlineStr">
        <is>
          <t>Annual spend (€)</t>
        </is>
      </c>
      <c r="K4" s="8" t="inlineStr">
        <is>
          <t>Cumulative spend %</t>
        </is>
      </c>
      <c r="L4" s="8" t="inlineStr">
        <is>
          <t>ABC</t>
        </is>
      </c>
      <c r="M4" s="8" t="inlineStr">
        <is>
          <t>XYZ</t>
        </is>
      </c>
      <c r="N4" s="8" t="inlineStr">
        <is>
          <t>ABC-XYZ</t>
        </is>
      </c>
      <c r="O4" s="8" t="inlineStr">
        <is>
          <t>Service level</t>
        </is>
      </c>
      <c r="P4" s="8" t="inlineStr">
        <is>
          <t>z</t>
        </is>
      </c>
      <c r="Q4" s="8" t="inlineStr">
        <is>
          <t>Avg actual lead time (days)</t>
        </is>
      </c>
      <c r="R4" s="8" t="inlineStr">
        <is>
          <t>Lead time std dev (days)</t>
        </is>
      </c>
      <c r="S4" s="8" t="inlineStr">
        <is>
          <t>Safety stock (units)</t>
        </is>
      </c>
      <c r="T4" s="8" t="inlineStr">
        <is>
          <t>Reorder point (units)</t>
        </is>
      </c>
      <c r="U4" s="8" t="inlineStr">
        <is>
          <t>Order qty (EOQ, MOQ, min cover)</t>
        </is>
      </c>
      <c r="V4" s="8" t="inlineStr">
        <is>
          <t>On hand (units)</t>
        </is>
      </c>
      <c r="W4" s="8" t="inlineStr">
        <is>
          <t>On order (units)</t>
        </is>
      </c>
      <c r="X4" s="8" t="inlineStr">
        <is>
          <t>Inventory position</t>
        </is>
      </c>
      <c r="Y4" s="8" t="inlineStr">
        <is>
          <t>Days of cover</t>
        </is>
      </c>
      <c r="Z4" s="8" t="inlineStr">
        <is>
          <t>Max stock (SS + order qty)</t>
        </is>
      </c>
      <c r="AA4" s="8" t="inlineStr">
        <is>
          <t>Stock status</t>
        </is>
      </c>
      <c r="AB4" s="8" t="inlineStr">
        <is>
          <t>Stock value (€)</t>
        </is>
      </c>
      <c r="AC4" s="8" t="inlineStr">
        <is>
          <t>Excess value (€)</t>
        </is>
      </c>
      <c r="AD4" s="8" t="inlineStr">
        <is>
          <t>Suggested order qty</t>
        </is>
      </c>
      <c r="AE4" s="8" t="inlineStr">
        <is>
          <t>Shortfall vs ROP (€)</t>
        </is>
      </c>
      <c r="AF4" s="8" t="inlineStr">
        <is>
          <t>Oldest lot expiry</t>
        </is>
      </c>
      <c r="AG4" s="8" t="inlineStr">
        <is>
          <t>Expiry flag</t>
        </is>
      </c>
    </row>
    <row r="5">
      <c r="A5" s="12" t="inlineStr">
        <is>
          <t>CMD-0001</t>
        </is>
      </c>
      <c r="B5" s="12">
        <f>INDEX(Items!$B$2:$B$117,MATCH($A5,Items!$A$2:$A$117,0))</f>
        <v/>
      </c>
      <c r="C5" s="12">
        <f>INDEX(Items!$C$2:$C$117,MATCH($A5,Items!$A$2:$A$117,0))</f>
        <v/>
      </c>
      <c r="D5" s="12">
        <f>INDEX(Items!$D$2:$D$117,MATCH($A5,Items!$A$2:$A$117,0))</f>
        <v/>
      </c>
      <c r="E5" s="27">
        <f>INDEX(Items!$E$2:$E$117,MATCH($A5,Items!$A$2:$A$117,0))</f>
        <v/>
      </c>
      <c r="F5" s="28">
        <f>SUM(INDEX(Demand!$N$2:$Y$117,MATCH($A5,Demand!$A$2:$A$117,0),0))</f>
        <v/>
      </c>
      <c r="G5" s="28">
        <f>F5/12</f>
        <v/>
      </c>
      <c r="H5" s="28">
        <f>STDEV(INDEX(Demand!$N$2:$Y$117,MATCH($A5,Demand!$A$2:$A$117,0),0))</f>
        <v/>
      </c>
      <c r="I5" s="29">
        <f>IF(G5&gt;0,H5/G5,0)</f>
        <v/>
      </c>
      <c r="J5" s="16">
        <f>F5*E5</f>
        <v/>
      </c>
      <c r="K5" s="11">
        <f>SUMIF($J$5:$J$120,"&gt;="&amp;J5)/SUM($J$5:$J$120)</f>
        <v/>
      </c>
      <c r="L5" s="12">
        <f>IF(K5&lt;=Assumptions!$B$7,"A",IF(K5&lt;=Assumptions!$B$8,"B","C"))</f>
        <v/>
      </c>
      <c r="M5" s="12">
        <f>IF(I5&lt;=Assumptions!$B$9,"X",IF(I5&lt;=Assumptions!$B$10,"Y","Z"))</f>
        <v/>
      </c>
      <c r="N5" s="12">
        <f>L5&amp;M5</f>
        <v/>
      </c>
      <c r="O5" s="11">
        <f>INDEX(Assumptions!$F$4:$F$6,MATCH(L5,Assumptions!$E$4:$E$6,0))</f>
        <v/>
      </c>
      <c r="P5" s="29">
        <f>NORMSINV(O5)</f>
        <v/>
      </c>
      <c r="Q5" s="30">
        <f>IFERROR(AVERAGEIFS(PO_Lines!$R$2:$R$2025,PO_Lines!$B$2:$B$2025,$A5,PO_Lines!$Q$2:$Q$2025,1),INDEX(Items!$F$2:$F$117,MATCH($A5,Items!$A$2:$A$117,0)))</f>
        <v/>
      </c>
      <c r="R5" s="30">
        <f>IFERROR(SQRT(SUMPRODUCT((PO_Lines!$B$2:$B$2025=$A5)*PO_Lines!$Q$2:$Q$2025*(PO_Lines!$R$2:$R$2025-Q5)^2)/(COUNTIFS(PO_Lines!$B$2:$B$2025,$A5,PO_Lines!$Q$2:$Q$2025,1)-1)),0)</f>
        <v/>
      </c>
      <c r="S5" s="28">
        <f>ROUNDUP(P5*SQRT((Q5/Assumptions!$B$11)*H5^2+G5^2*(R5/Assumptions!$B$11)^2),0)</f>
        <v/>
      </c>
      <c r="T5" s="28">
        <f>ROUNDUP(G5*Q5/Assumptions!$B$11+S5,0)</f>
        <v/>
      </c>
      <c r="U5" s="28">
        <f>ROUNDUP(MAX(INDEX(Items!$G$2:$G$117,MATCH($A5,Items!$A$2:$A$117,0)),SQRT(2*F5*Assumptions!$B$5/(Assumptions!$B$6*E5)),G5*Assumptions!$B$16),0)</f>
        <v/>
      </c>
      <c r="V5" s="28">
        <f>INDEX(Stock_Snapshot!$B$2:$B$117,MATCH($A5,Stock_Snapshot!$A$2:$A$117,0))</f>
        <v/>
      </c>
      <c r="W5" s="28">
        <f>INDEX(Stock_Snapshot!$C$2:$C$117,MATCH($A5,Stock_Snapshot!$A$2:$A$117,0))</f>
        <v/>
      </c>
      <c r="X5" s="28">
        <f>V5+W5</f>
        <v/>
      </c>
      <c r="Y5" s="10">
        <f>IF(G5&gt;0,V5/(G5/Assumptions!$B$11),999)</f>
        <v/>
      </c>
      <c r="Z5" s="28">
        <f>S5+U5</f>
        <v/>
      </c>
      <c r="AA5" s="12">
        <f>IF(V5&lt;S5,"Below safety stock",IF(X5&lt;=T5,"Reorder now",IF(V5&gt;Z5,"Excess","Healthy")))</f>
        <v/>
      </c>
      <c r="AB5" s="16">
        <f>V5*E5</f>
        <v/>
      </c>
      <c r="AC5" s="16">
        <f>MAX(0,V5-Z5)*E5</f>
        <v/>
      </c>
      <c r="AD5" s="28">
        <f>IF(X5&lt;=T5,ROUNDUP(T5+U5-X5,0),0)</f>
        <v/>
      </c>
      <c r="AE5" s="16">
        <f>MAX(0,T5-X5)*E5</f>
        <v/>
      </c>
      <c r="AF5" s="31">
        <f>IF(INDEX(Stock_Snapshot!$D$2:$D$117,MATCH($A5,Stock_Snapshot!$A$2:$A$117,0))="","",INDEX(Stock_Snapshot!$D$2:$D$117,MATCH($A5,Stock_Snapshot!$A$2:$A$117,0)))</f>
        <v/>
      </c>
      <c r="AG5" s="12">
        <f>IF(AF5="","",IF(AF5&lt;=EDATE(Assumptions!$B$4,Assumptions!$B$12),"Expires &lt; "&amp;Assumptions!$B$12&amp;" m","OK"))</f>
        <v/>
      </c>
    </row>
    <row r="6">
      <c r="A6" s="12" t="inlineStr">
        <is>
          <t>CMD-0002</t>
        </is>
      </c>
      <c r="B6" s="12">
        <f>INDEX(Items!$B$2:$B$117,MATCH($A6,Items!$A$2:$A$117,0))</f>
        <v/>
      </c>
      <c r="C6" s="12">
        <f>INDEX(Items!$C$2:$C$117,MATCH($A6,Items!$A$2:$A$117,0))</f>
        <v/>
      </c>
      <c r="D6" s="12">
        <f>INDEX(Items!$D$2:$D$117,MATCH($A6,Items!$A$2:$A$117,0))</f>
        <v/>
      </c>
      <c r="E6" s="27">
        <f>INDEX(Items!$E$2:$E$117,MATCH($A6,Items!$A$2:$A$117,0))</f>
        <v/>
      </c>
      <c r="F6" s="28">
        <f>SUM(INDEX(Demand!$N$2:$Y$117,MATCH($A6,Demand!$A$2:$A$117,0),0))</f>
        <v/>
      </c>
      <c r="G6" s="28">
        <f>F6/12</f>
        <v/>
      </c>
      <c r="H6" s="28">
        <f>STDEV(INDEX(Demand!$N$2:$Y$117,MATCH($A6,Demand!$A$2:$A$117,0),0))</f>
        <v/>
      </c>
      <c r="I6" s="29">
        <f>IF(G6&gt;0,H6/G6,0)</f>
        <v/>
      </c>
      <c r="J6" s="16">
        <f>F6*E6</f>
        <v/>
      </c>
      <c r="K6" s="11">
        <f>SUMIF($J$5:$J$120,"&gt;="&amp;J6)/SUM($J$5:$J$120)</f>
        <v/>
      </c>
      <c r="L6" s="12">
        <f>IF(K6&lt;=Assumptions!$B$7,"A",IF(K6&lt;=Assumptions!$B$8,"B","C"))</f>
        <v/>
      </c>
      <c r="M6" s="12">
        <f>IF(I6&lt;=Assumptions!$B$9,"X",IF(I6&lt;=Assumptions!$B$10,"Y","Z"))</f>
        <v/>
      </c>
      <c r="N6" s="12">
        <f>L6&amp;M6</f>
        <v/>
      </c>
      <c r="O6" s="11">
        <f>INDEX(Assumptions!$F$4:$F$6,MATCH(L6,Assumptions!$E$4:$E$6,0))</f>
        <v/>
      </c>
      <c r="P6" s="29">
        <f>NORMSINV(O6)</f>
        <v/>
      </c>
      <c r="Q6" s="30">
        <f>IFERROR(AVERAGEIFS(PO_Lines!$R$2:$R$2025,PO_Lines!$B$2:$B$2025,$A6,PO_Lines!$Q$2:$Q$2025,1),INDEX(Items!$F$2:$F$117,MATCH($A6,Items!$A$2:$A$117,0)))</f>
        <v/>
      </c>
      <c r="R6" s="30">
        <f>IFERROR(SQRT(SUMPRODUCT((PO_Lines!$B$2:$B$2025=$A6)*PO_Lines!$Q$2:$Q$2025*(PO_Lines!$R$2:$R$2025-Q6)^2)/(COUNTIFS(PO_Lines!$B$2:$B$2025,$A6,PO_Lines!$Q$2:$Q$2025,1)-1)),0)</f>
        <v/>
      </c>
      <c r="S6" s="28">
        <f>ROUNDUP(P6*SQRT((Q6/Assumptions!$B$11)*H6^2+G6^2*(R6/Assumptions!$B$11)^2),0)</f>
        <v/>
      </c>
      <c r="T6" s="28">
        <f>ROUNDUP(G6*Q6/Assumptions!$B$11+S6,0)</f>
        <v/>
      </c>
      <c r="U6" s="28">
        <f>ROUNDUP(MAX(INDEX(Items!$G$2:$G$117,MATCH($A6,Items!$A$2:$A$117,0)),SQRT(2*F6*Assumptions!$B$5/(Assumptions!$B$6*E6)),G6*Assumptions!$B$16),0)</f>
        <v/>
      </c>
      <c r="V6" s="28">
        <f>INDEX(Stock_Snapshot!$B$2:$B$117,MATCH($A6,Stock_Snapshot!$A$2:$A$117,0))</f>
        <v/>
      </c>
      <c r="W6" s="28">
        <f>INDEX(Stock_Snapshot!$C$2:$C$117,MATCH($A6,Stock_Snapshot!$A$2:$A$117,0))</f>
        <v/>
      </c>
      <c r="X6" s="28">
        <f>V6+W6</f>
        <v/>
      </c>
      <c r="Y6" s="10">
        <f>IF(G6&gt;0,V6/(G6/Assumptions!$B$11),999)</f>
        <v/>
      </c>
      <c r="Z6" s="28">
        <f>S6+U6</f>
        <v/>
      </c>
      <c r="AA6" s="12">
        <f>IF(V6&lt;S6,"Below safety stock",IF(X6&lt;=T6,"Reorder now",IF(V6&gt;Z6,"Excess","Healthy")))</f>
        <v/>
      </c>
      <c r="AB6" s="16">
        <f>V6*E6</f>
        <v/>
      </c>
      <c r="AC6" s="16">
        <f>MAX(0,V6-Z6)*E6</f>
        <v/>
      </c>
      <c r="AD6" s="28">
        <f>IF(X6&lt;=T6,ROUNDUP(T6+U6-X6,0),0)</f>
        <v/>
      </c>
      <c r="AE6" s="16">
        <f>MAX(0,T6-X6)*E6</f>
        <v/>
      </c>
      <c r="AF6" s="31">
        <f>IF(INDEX(Stock_Snapshot!$D$2:$D$117,MATCH($A6,Stock_Snapshot!$A$2:$A$117,0))="","",INDEX(Stock_Snapshot!$D$2:$D$117,MATCH($A6,Stock_Snapshot!$A$2:$A$117,0)))</f>
        <v/>
      </c>
      <c r="AG6" s="12">
        <f>IF(AF6="","",IF(AF6&lt;=EDATE(Assumptions!$B$4,Assumptions!$B$12),"Expires &lt; "&amp;Assumptions!$B$12&amp;" m","OK"))</f>
        <v/>
      </c>
    </row>
    <row r="7">
      <c r="A7" s="12" t="inlineStr">
        <is>
          <t>CMD-0003</t>
        </is>
      </c>
      <c r="B7" s="12">
        <f>INDEX(Items!$B$2:$B$117,MATCH($A7,Items!$A$2:$A$117,0))</f>
        <v/>
      </c>
      <c r="C7" s="12">
        <f>INDEX(Items!$C$2:$C$117,MATCH($A7,Items!$A$2:$A$117,0))</f>
        <v/>
      </c>
      <c r="D7" s="12">
        <f>INDEX(Items!$D$2:$D$117,MATCH($A7,Items!$A$2:$A$117,0))</f>
        <v/>
      </c>
      <c r="E7" s="27">
        <f>INDEX(Items!$E$2:$E$117,MATCH($A7,Items!$A$2:$A$117,0))</f>
        <v/>
      </c>
      <c r="F7" s="28">
        <f>SUM(INDEX(Demand!$N$2:$Y$117,MATCH($A7,Demand!$A$2:$A$117,0),0))</f>
        <v/>
      </c>
      <c r="G7" s="28">
        <f>F7/12</f>
        <v/>
      </c>
      <c r="H7" s="28">
        <f>STDEV(INDEX(Demand!$N$2:$Y$117,MATCH($A7,Demand!$A$2:$A$117,0),0))</f>
        <v/>
      </c>
      <c r="I7" s="29">
        <f>IF(G7&gt;0,H7/G7,0)</f>
        <v/>
      </c>
      <c r="J7" s="16">
        <f>F7*E7</f>
        <v/>
      </c>
      <c r="K7" s="11">
        <f>SUMIF($J$5:$J$120,"&gt;="&amp;J7)/SUM($J$5:$J$120)</f>
        <v/>
      </c>
      <c r="L7" s="12">
        <f>IF(K7&lt;=Assumptions!$B$7,"A",IF(K7&lt;=Assumptions!$B$8,"B","C"))</f>
        <v/>
      </c>
      <c r="M7" s="12">
        <f>IF(I7&lt;=Assumptions!$B$9,"X",IF(I7&lt;=Assumptions!$B$10,"Y","Z"))</f>
        <v/>
      </c>
      <c r="N7" s="12">
        <f>L7&amp;M7</f>
        <v/>
      </c>
      <c r="O7" s="11">
        <f>INDEX(Assumptions!$F$4:$F$6,MATCH(L7,Assumptions!$E$4:$E$6,0))</f>
        <v/>
      </c>
      <c r="P7" s="29">
        <f>NORMSINV(O7)</f>
        <v/>
      </c>
      <c r="Q7" s="30">
        <f>IFERROR(AVERAGEIFS(PO_Lines!$R$2:$R$2025,PO_Lines!$B$2:$B$2025,$A7,PO_Lines!$Q$2:$Q$2025,1),INDEX(Items!$F$2:$F$117,MATCH($A7,Items!$A$2:$A$117,0)))</f>
        <v/>
      </c>
      <c r="R7" s="30">
        <f>IFERROR(SQRT(SUMPRODUCT((PO_Lines!$B$2:$B$2025=$A7)*PO_Lines!$Q$2:$Q$2025*(PO_Lines!$R$2:$R$2025-Q7)^2)/(COUNTIFS(PO_Lines!$B$2:$B$2025,$A7,PO_Lines!$Q$2:$Q$2025,1)-1)),0)</f>
        <v/>
      </c>
      <c r="S7" s="28">
        <f>ROUNDUP(P7*SQRT((Q7/Assumptions!$B$11)*H7^2+G7^2*(R7/Assumptions!$B$11)^2),0)</f>
        <v/>
      </c>
      <c r="T7" s="28">
        <f>ROUNDUP(G7*Q7/Assumptions!$B$11+S7,0)</f>
        <v/>
      </c>
      <c r="U7" s="28">
        <f>ROUNDUP(MAX(INDEX(Items!$G$2:$G$117,MATCH($A7,Items!$A$2:$A$117,0)),SQRT(2*F7*Assumptions!$B$5/(Assumptions!$B$6*E7)),G7*Assumptions!$B$16),0)</f>
        <v/>
      </c>
      <c r="V7" s="28">
        <f>INDEX(Stock_Snapshot!$B$2:$B$117,MATCH($A7,Stock_Snapshot!$A$2:$A$117,0))</f>
        <v/>
      </c>
      <c r="W7" s="28">
        <f>INDEX(Stock_Snapshot!$C$2:$C$117,MATCH($A7,Stock_Snapshot!$A$2:$A$117,0))</f>
        <v/>
      </c>
      <c r="X7" s="28">
        <f>V7+W7</f>
        <v/>
      </c>
      <c r="Y7" s="10">
        <f>IF(G7&gt;0,V7/(G7/Assumptions!$B$11),999)</f>
        <v/>
      </c>
      <c r="Z7" s="28">
        <f>S7+U7</f>
        <v/>
      </c>
      <c r="AA7" s="12">
        <f>IF(V7&lt;S7,"Below safety stock",IF(X7&lt;=T7,"Reorder now",IF(V7&gt;Z7,"Excess","Healthy")))</f>
        <v/>
      </c>
      <c r="AB7" s="16">
        <f>V7*E7</f>
        <v/>
      </c>
      <c r="AC7" s="16">
        <f>MAX(0,V7-Z7)*E7</f>
        <v/>
      </c>
      <c r="AD7" s="28">
        <f>IF(X7&lt;=T7,ROUNDUP(T7+U7-X7,0),0)</f>
        <v/>
      </c>
      <c r="AE7" s="16">
        <f>MAX(0,T7-X7)*E7</f>
        <v/>
      </c>
      <c r="AF7" s="31">
        <f>IF(INDEX(Stock_Snapshot!$D$2:$D$117,MATCH($A7,Stock_Snapshot!$A$2:$A$117,0))="","",INDEX(Stock_Snapshot!$D$2:$D$117,MATCH($A7,Stock_Snapshot!$A$2:$A$117,0)))</f>
        <v/>
      </c>
      <c r="AG7" s="12">
        <f>IF(AF7="","",IF(AF7&lt;=EDATE(Assumptions!$B$4,Assumptions!$B$12),"Expires &lt; "&amp;Assumptions!$B$12&amp;" m","OK"))</f>
        <v/>
      </c>
    </row>
    <row r="8">
      <c r="A8" s="12" t="inlineStr">
        <is>
          <t>CMD-0004</t>
        </is>
      </c>
      <c r="B8" s="12">
        <f>INDEX(Items!$B$2:$B$117,MATCH($A8,Items!$A$2:$A$117,0))</f>
        <v/>
      </c>
      <c r="C8" s="12">
        <f>INDEX(Items!$C$2:$C$117,MATCH($A8,Items!$A$2:$A$117,0))</f>
        <v/>
      </c>
      <c r="D8" s="12">
        <f>INDEX(Items!$D$2:$D$117,MATCH($A8,Items!$A$2:$A$117,0))</f>
        <v/>
      </c>
      <c r="E8" s="27">
        <f>INDEX(Items!$E$2:$E$117,MATCH($A8,Items!$A$2:$A$117,0))</f>
        <v/>
      </c>
      <c r="F8" s="28">
        <f>SUM(INDEX(Demand!$N$2:$Y$117,MATCH($A8,Demand!$A$2:$A$117,0),0))</f>
        <v/>
      </c>
      <c r="G8" s="28">
        <f>F8/12</f>
        <v/>
      </c>
      <c r="H8" s="28">
        <f>STDEV(INDEX(Demand!$N$2:$Y$117,MATCH($A8,Demand!$A$2:$A$117,0),0))</f>
        <v/>
      </c>
      <c r="I8" s="29">
        <f>IF(G8&gt;0,H8/G8,0)</f>
        <v/>
      </c>
      <c r="J8" s="16">
        <f>F8*E8</f>
        <v/>
      </c>
      <c r="K8" s="11">
        <f>SUMIF($J$5:$J$120,"&gt;="&amp;J8)/SUM($J$5:$J$120)</f>
        <v/>
      </c>
      <c r="L8" s="12">
        <f>IF(K8&lt;=Assumptions!$B$7,"A",IF(K8&lt;=Assumptions!$B$8,"B","C"))</f>
        <v/>
      </c>
      <c r="M8" s="12">
        <f>IF(I8&lt;=Assumptions!$B$9,"X",IF(I8&lt;=Assumptions!$B$10,"Y","Z"))</f>
        <v/>
      </c>
      <c r="N8" s="12">
        <f>L8&amp;M8</f>
        <v/>
      </c>
      <c r="O8" s="11">
        <f>INDEX(Assumptions!$F$4:$F$6,MATCH(L8,Assumptions!$E$4:$E$6,0))</f>
        <v/>
      </c>
      <c r="P8" s="29">
        <f>NORMSINV(O8)</f>
        <v/>
      </c>
      <c r="Q8" s="30">
        <f>IFERROR(AVERAGEIFS(PO_Lines!$R$2:$R$2025,PO_Lines!$B$2:$B$2025,$A8,PO_Lines!$Q$2:$Q$2025,1),INDEX(Items!$F$2:$F$117,MATCH($A8,Items!$A$2:$A$117,0)))</f>
        <v/>
      </c>
      <c r="R8" s="30">
        <f>IFERROR(SQRT(SUMPRODUCT((PO_Lines!$B$2:$B$2025=$A8)*PO_Lines!$Q$2:$Q$2025*(PO_Lines!$R$2:$R$2025-Q8)^2)/(COUNTIFS(PO_Lines!$B$2:$B$2025,$A8,PO_Lines!$Q$2:$Q$2025,1)-1)),0)</f>
        <v/>
      </c>
      <c r="S8" s="28">
        <f>ROUNDUP(P8*SQRT((Q8/Assumptions!$B$11)*H8^2+G8^2*(R8/Assumptions!$B$11)^2),0)</f>
        <v/>
      </c>
      <c r="T8" s="28">
        <f>ROUNDUP(G8*Q8/Assumptions!$B$11+S8,0)</f>
        <v/>
      </c>
      <c r="U8" s="28">
        <f>ROUNDUP(MAX(INDEX(Items!$G$2:$G$117,MATCH($A8,Items!$A$2:$A$117,0)),SQRT(2*F8*Assumptions!$B$5/(Assumptions!$B$6*E8)),G8*Assumptions!$B$16),0)</f>
        <v/>
      </c>
      <c r="V8" s="28">
        <f>INDEX(Stock_Snapshot!$B$2:$B$117,MATCH($A8,Stock_Snapshot!$A$2:$A$117,0))</f>
        <v/>
      </c>
      <c r="W8" s="28">
        <f>INDEX(Stock_Snapshot!$C$2:$C$117,MATCH($A8,Stock_Snapshot!$A$2:$A$117,0))</f>
        <v/>
      </c>
      <c r="X8" s="28">
        <f>V8+W8</f>
        <v/>
      </c>
      <c r="Y8" s="10">
        <f>IF(G8&gt;0,V8/(G8/Assumptions!$B$11),999)</f>
        <v/>
      </c>
      <c r="Z8" s="28">
        <f>S8+U8</f>
        <v/>
      </c>
      <c r="AA8" s="12">
        <f>IF(V8&lt;S8,"Below safety stock",IF(X8&lt;=T8,"Reorder now",IF(V8&gt;Z8,"Excess","Healthy")))</f>
        <v/>
      </c>
      <c r="AB8" s="16">
        <f>V8*E8</f>
        <v/>
      </c>
      <c r="AC8" s="16">
        <f>MAX(0,V8-Z8)*E8</f>
        <v/>
      </c>
      <c r="AD8" s="28">
        <f>IF(X8&lt;=T8,ROUNDUP(T8+U8-X8,0),0)</f>
        <v/>
      </c>
      <c r="AE8" s="16">
        <f>MAX(0,T8-X8)*E8</f>
        <v/>
      </c>
      <c r="AF8" s="31">
        <f>IF(INDEX(Stock_Snapshot!$D$2:$D$117,MATCH($A8,Stock_Snapshot!$A$2:$A$117,0))="","",INDEX(Stock_Snapshot!$D$2:$D$117,MATCH($A8,Stock_Snapshot!$A$2:$A$117,0)))</f>
        <v/>
      </c>
      <c r="AG8" s="12">
        <f>IF(AF8="","",IF(AF8&lt;=EDATE(Assumptions!$B$4,Assumptions!$B$12),"Expires &lt; "&amp;Assumptions!$B$12&amp;" m","OK"))</f>
        <v/>
      </c>
    </row>
    <row r="9">
      <c r="A9" s="12" t="inlineStr">
        <is>
          <t>CMD-0005</t>
        </is>
      </c>
      <c r="B9" s="12">
        <f>INDEX(Items!$B$2:$B$117,MATCH($A9,Items!$A$2:$A$117,0))</f>
        <v/>
      </c>
      <c r="C9" s="12">
        <f>INDEX(Items!$C$2:$C$117,MATCH($A9,Items!$A$2:$A$117,0))</f>
        <v/>
      </c>
      <c r="D9" s="12">
        <f>INDEX(Items!$D$2:$D$117,MATCH($A9,Items!$A$2:$A$117,0))</f>
        <v/>
      </c>
      <c r="E9" s="27">
        <f>INDEX(Items!$E$2:$E$117,MATCH($A9,Items!$A$2:$A$117,0))</f>
        <v/>
      </c>
      <c r="F9" s="28">
        <f>SUM(INDEX(Demand!$N$2:$Y$117,MATCH($A9,Demand!$A$2:$A$117,0),0))</f>
        <v/>
      </c>
      <c r="G9" s="28">
        <f>F9/12</f>
        <v/>
      </c>
      <c r="H9" s="28">
        <f>STDEV(INDEX(Demand!$N$2:$Y$117,MATCH($A9,Demand!$A$2:$A$117,0),0))</f>
        <v/>
      </c>
      <c r="I9" s="29">
        <f>IF(G9&gt;0,H9/G9,0)</f>
        <v/>
      </c>
      <c r="J9" s="16">
        <f>F9*E9</f>
        <v/>
      </c>
      <c r="K9" s="11">
        <f>SUMIF($J$5:$J$120,"&gt;="&amp;J9)/SUM($J$5:$J$120)</f>
        <v/>
      </c>
      <c r="L9" s="12">
        <f>IF(K9&lt;=Assumptions!$B$7,"A",IF(K9&lt;=Assumptions!$B$8,"B","C"))</f>
        <v/>
      </c>
      <c r="M9" s="12">
        <f>IF(I9&lt;=Assumptions!$B$9,"X",IF(I9&lt;=Assumptions!$B$10,"Y","Z"))</f>
        <v/>
      </c>
      <c r="N9" s="12">
        <f>L9&amp;M9</f>
        <v/>
      </c>
      <c r="O9" s="11">
        <f>INDEX(Assumptions!$F$4:$F$6,MATCH(L9,Assumptions!$E$4:$E$6,0))</f>
        <v/>
      </c>
      <c r="P9" s="29">
        <f>NORMSINV(O9)</f>
        <v/>
      </c>
      <c r="Q9" s="30">
        <f>IFERROR(AVERAGEIFS(PO_Lines!$R$2:$R$2025,PO_Lines!$B$2:$B$2025,$A9,PO_Lines!$Q$2:$Q$2025,1),INDEX(Items!$F$2:$F$117,MATCH($A9,Items!$A$2:$A$117,0)))</f>
        <v/>
      </c>
      <c r="R9" s="30">
        <f>IFERROR(SQRT(SUMPRODUCT((PO_Lines!$B$2:$B$2025=$A9)*PO_Lines!$Q$2:$Q$2025*(PO_Lines!$R$2:$R$2025-Q9)^2)/(COUNTIFS(PO_Lines!$B$2:$B$2025,$A9,PO_Lines!$Q$2:$Q$2025,1)-1)),0)</f>
        <v/>
      </c>
      <c r="S9" s="28">
        <f>ROUNDUP(P9*SQRT((Q9/Assumptions!$B$11)*H9^2+G9^2*(R9/Assumptions!$B$11)^2),0)</f>
        <v/>
      </c>
      <c r="T9" s="28">
        <f>ROUNDUP(G9*Q9/Assumptions!$B$11+S9,0)</f>
        <v/>
      </c>
      <c r="U9" s="28">
        <f>ROUNDUP(MAX(INDEX(Items!$G$2:$G$117,MATCH($A9,Items!$A$2:$A$117,0)),SQRT(2*F9*Assumptions!$B$5/(Assumptions!$B$6*E9)),G9*Assumptions!$B$16),0)</f>
        <v/>
      </c>
      <c r="V9" s="28">
        <f>INDEX(Stock_Snapshot!$B$2:$B$117,MATCH($A9,Stock_Snapshot!$A$2:$A$117,0))</f>
        <v/>
      </c>
      <c r="W9" s="28">
        <f>INDEX(Stock_Snapshot!$C$2:$C$117,MATCH($A9,Stock_Snapshot!$A$2:$A$117,0))</f>
        <v/>
      </c>
      <c r="X9" s="28">
        <f>V9+W9</f>
        <v/>
      </c>
      <c r="Y9" s="10">
        <f>IF(G9&gt;0,V9/(G9/Assumptions!$B$11),999)</f>
        <v/>
      </c>
      <c r="Z9" s="28">
        <f>S9+U9</f>
        <v/>
      </c>
      <c r="AA9" s="12">
        <f>IF(V9&lt;S9,"Below safety stock",IF(X9&lt;=T9,"Reorder now",IF(V9&gt;Z9,"Excess","Healthy")))</f>
        <v/>
      </c>
      <c r="AB9" s="16">
        <f>V9*E9</f>
        <v/>
      </c>
      <c r="AC9" s="16">
        <f>MAX(0,V9-Z9)*E9</f>
        <v/>
      </c>
      <c r="AD9" s="28">
        <f>IF(X9&lt;=T9,ROUNDUP(T9+U9-X9,0),0)</f>
        <v/>
      </c>
      <c r="AE9" s="16">
        <f>MAX(0,T9-X9)*E9</f>
        <v/>
      </c>
      <c r="AF9" s="31">
        <f>IF(INDEX(Stock_Snapshot!$D$2:$D$117,MATCH($A9,Stock_Snapshot!$A$2:$A$117,0))="","",INDEX(Stock_Snapshot!$D$2:$D$117,MATCH($A9,Stock_Snapshot!$A$2:$A$117,0)))</f>
        <v/>
      </c>
      <c r="AG9" s="12">
        <f>IF(AF9="","",IF(AF9&lt;=EDATE(Assumptions!$B$4,Assumptions!$B$12),"Expires &lt; "&amp;Assumptions!$B$12&amp;" m","OK"))</f>
        <v/>
      </c>
    </row>
    <row r="10">
      <c r="A10" s="12" t="inlineStr">
        <is>
          <t>CMD-0006</t>
        </is>
      </c>
      <c r="B10" s="12">
        <f>INDEX(Items!$B$2:$B$117,MATCH($A10,Items!$A$2:$A$117,0))</f>
        <v/>
      </c>
      <c r="C10" s="12">
        <f>INDEX(Items!$C$2:$C$117,MATCH($A10,Items!$A$2:$A$117,0))</f>
        <v/>
      </c>
      <c r="D10" s="12">
        <f>INDEX(Items!$D$2:$D$117,MATCH($A10,Items!$A$2:$A$117,0))</f>
        <v/>
      </c>
      <c r="E10" s="27">
        <f>INDEX(Items!$E$2:$E$117,MATCH($A10,Items!$A$2:$A$117,0))</f>
        <v/>
      </c>
      <c r="F10" s="28">
        <f>SUM(INDEX(Demand!$N$2:$Y$117,MATCH($A10,Demand!$A$2:$A$117,0),0))</f>
        <v/>
      </c>
      <c r="G10" s="28">
        <f>F10/12</f>
        <v/>
      </c>
      <c r="H10" s="28">
        <f>STDEV(INDEX(Demand!$N$2:$Y$117,MATCH($A10,Demand!$A$2:$A$117,0),0))</f>
        <v/>
      </c>
      <c r="I10" s="29">
        <f>IF(G10&gt;0,H10/G10,0)</f>
        <v/>
      </c>
      <c r="J10" s="16">
        <f>F10*E10</f>
        <v/>
      </c>
      <c r="K10" s="11">
        <f>SUMIF($J$5:$J$120,"&gt;="&amp;J10)/SUM($J$5:$J$120)</f>
        <v/>
      </c>
      <c r="L10" s="12">
        <f>IF(K10&lt;=Assumptions!$B$7,"A",IF(K10&lt;=Assumptions!$B$8,"B","C"))</f>
        <v/>
      </c>
      <c r="M10" s="12">
        <f>IF(I10&lt;=Assumptions!$B$9,"X",IF(I10&lt;=Assumptions!$B$10,"Y","Z"))</f>
        <v/>
      </c>
      <c r="N10" s="12">
        <f>L10&amp;M10</f>
        <v/>
      </c>
      <c r="O10" s="11">
        <f>INDEX(Assumptions!$F$4:$F$6,MATCH(L10,Assumptions!$E$4:$E$6,0))</f>
        <v/>
      </c>
      <c r="P10" s="29">
        <f>NORMSINV(O10)</f>
        <v/>
      </c>
      <c r="Q10" s="30">
        <f>IFERROR(AVERAGEIFS(PO_Lines!$R$2:$R$2025,PO_Lines!$B$2:$B$2025,$A10,PO_Lines!$Q$2:$Q$2025,1),INDEX(Items!$F$2:$F$117,MATCH($A10,Items!$A$2:$A$117,0)))</f>
        <v/>
      </c>
      <c r="R10" s="30">
        <f>IFERROR(SQRT(SUMPRODUCT((PO_Lines!$B$2:$B$2025=$A10)*PO_Lines!$Q$2:$Q$2025*(PO_Lines!$R$2:$R$2025-Q10)^2)/(COUNTIFS(PO_Lines!$B$2:$B$2025,$A10,PO_Lines!$Q$2:$Q$2025,1)-1)),0)</f>
        <v/>
      </c>
      <c r="S10" s="28">
        <f>ROUNDUP(P10*SQRT((Q10/Assumptions!$B$11)*H10^2+G10^2*(R10/Assumptions!$B$11)^2),0)</f>
        <v/>
      </c>
      <c r="T10" s="28">
        <f>ROUNDUP(G10*Q10/Assumptions!$B$11+S10,0)</f>
        <v/>
      </c>
      <c r="U10" s="28">
        <f>ROUNDUP(MAX(INDEX(Items!$G$2:$G$117,MATCH($A10,Items!$A$2:$A$117,0)),SQRT(2*F10*Assumptions!$B$5/(Assumptions!$B$6*E10)),G10*Assumptions!$B$16),0)</f>
        <v/>
      </c>
      <c r="V10" s="28">
        <f>INDEX(Stock_Snapshot!$B$2:$B$117,MATCH($A10,Stock_Snapshot!$A$2:$A$117,0))</f>
        <v/>
      </c>
      <c r="W10" s="28">
        <f>INDEX(Stock_Snapshot!$C$2:$C$117,MATCH($A10,Stock_Snapshot!$A$2:$A$117,0))</f>
        <v/>
      </c>
      <c r="X10" s="28">
        <f>V10+W10</f>
        <v/>
      </c>
      <c r="Y10" s="10">
        <f>IF(G10&gt;0,V10/(G10/Assumptions!$B$11),999)</f>
        <v/>
      </c>
      <c r="Z10" s="28">
        <f>S10+U10</f>
        <v/>
      </c>
      <c r="AA10" s="12">
        <f>IF(V10&lt;S10,"Below safety stock",IF(X10&lt;=T10,"Reorder now",IF(V10&gt;Z10,"Excess","Healthy")))</f>
        <v/>
      </c>
      <c r="AB10" s="16">
        <f>V10*E10</f>
        <v/>
      </c>
      <c r="AC10" s="16">
        <f>MAX(0,V10-Z10)*E10</f>
        <v/>
      </c>
      <c r="AD10" s="28">
        <f>IF(X10&lt;=T10,ROUNDUP(T10+U10-X10,0),0)</f>
        <v/>
      </c>
      <c r="AE10" s="16">
        <f>MAX(0,T10-X10)*E10</f>
        <v/>
      </c>
      <c r="AF10" s="31">
        <f>IF(INDEX(Stock_Snapshot!$D$2:$D$117,MATCH($A10,Stock_Snapshot!$A$2:$A$117,0))="","",INDEX(Stock_Snapshot!$D$2:$D$117,MATCH($A10,Stock_Snapshot!$A$2:$A$117,0)))</f>
        <v/>
      </c>
      <c r="AG10" s="12">
        <f>IF(AF10="","",IF(AF10&lt;=EDATE(Assumptions!$B$4,Assumptions!$B$12),"Expires &lt; "&amp;Assumptions!$B$12&amp;" m","OK"))</f>
        <v/>
      </c>
    </row>
    <row r="11">
      <c r="A11" s="12" t="inlineStr">
        <is>
          <t>CMD-0007</t>
        </is>
      </c>
      <c r="B11" s="12">
        <f>INDEX(Items!$B$2:$B$117,MATCH($A11,Items!$A$2:$A$117,0))</f>
        <v/>
      </c>
      <c r="C11" s="12">
        <f>INDEX(Items!$C$2:$C$117,MATCH($A11,Items!$A$2:$A$117,0))</f>
        <v/>
      </c>
      <c r="D11" s="12">
        <f>INDEX(Items!$D$2:$D$117,MATCH($A11,Items!$A$2:$A$117,0))</f>
        <v/>
      </c>
      <c r="E11" s="27">
        <f>INDEX(Items!$E$2:$E$117,MATCH($A11,Items!$A$2:$A$117,0))</f>
        <v/>
      </c>
      <c r="F11" s="28">
        <f>SUM(INDEX(Demand!$N$2:$Y$117,MATCH($A11,Demand!$A$2:$A$117,0),0))</f>
        <v/>
      </c>
      <c r="G11" s="28">
        <f>F11/12</f>
        <v/>
      </c>
      <c r="H11" s="28">
        <f>STDEV(INDEX(Demand!$N$2:$Y$117,MATCH($A11,Demand!$A$2:$A$117,0),0))</f>
        <v/>
      </c>
      <c r="I11" s="29">
        <f>IF(G11&gt;0,H11/G11,0)</f>
        <v/>
      </c>
      <c r="J11" s="16">
        <f>F11*E11</f>
        <v/>
      </c>
      <c r="K11" s="11">
        <f>SUMIF($J$5:$J$120,"&gt;="&amp;J11)/SUM($J$5:$J$120)</f>
        <v/>
      </c>
      <c r="L11" s="12">
        <f>IF(K11&lt;=Assumptions!$B$7,"A",IF(K11&lt;=Assumptions!$B$8,"B","C"))</f>
        <v/>
      </c>
      <c r="M11" s="12">
        <f>IF(I11&lt;=Assumptions!$B$9,"X",IF(I11&lt;=Assumptions!$B$10,"Y","Z"))</f>
        <v/>
      </c>
      <c r="N11" s="12">
        <f>L11&amp;M11</f>
        <v/>
      </c>
      <c r="O11" s="11">
        <f>INDEX(Assumptions!$F$4:$F$6,MATCH(L11,Assumptions!$E$4:$E$6,0))</f>
        <v/>
      </c>
      <c r="P11" s="29">
        <f>NORMSINV(O11)</f>
        <v/>
      </c>
      <c r="Q11" s="30">
        <f>IFERROR(AVERAGEIFS(PO_Lines!$R$2:$R$2025,PO_Lines!$B$2:$B$2025,$A11,PO_Lines!$Q$2:$Q$2025,1),INDEX(Items!$F$2:$F$117,MATCH($A11,Items!$A$2:$A$117,0)))</f>
        <v/>
      </c>
      <c r="R11" s="30">
        <f>IFERROR(SQRT(SUMPRODUCT((PO_Lines!$B$2:$B$2025=$A11)*PO_Lines!$Q$2:$Q$2025*(PO_Lines!$R$2:$R$2025-Q11)^2)/(COUNTIFS(PO_Lines!$B$2:$B$2025,$A11,PO_Lines!$Q$2:$Q$2025,1)-1)),0)</f>
        <v/>
      </c>
      <c r="S11" s="28">
        <f>ROUNDUP(P11*SQRT((Q11/Assumptions!$B$11)*H11^2+G11^2*(R11/Assumptions!$B$11)^2),0)</f>
        <v/>
      </c>
      <c r="T11" s="28">
        <f>ROUNDUP(G11*Q11/Assumptions!$B$11+S11,0)</f>
        <v/>
      </c>
      <c r="U11" s="28">
        <f>ROUNDUP(MAX(INDEX(Items!$G$2:$G$117,MATCH($A11,Items!$A$2:$A$117,0)),SQRT(2*F11*Assumptions!$B$5/(Assumptions!$B$6*E11)),G11*Assumptions!$B$16),0)</f>
        <v/>
      </c>
      <c r="V11" s="28">
        <f>INDEX(Stock_Snapshot!$B$2:$B$117,MATCH($A11,Stock_Snapshot!$A$2:$A$117,0))</f>
        <v/>
      </c>
      <c r="W11" s="28">
        <f>INDEX(Stock_Snapshot!$C$2:$C$117,MATCH($A11,Stock_Snapshot!$A$2:$A$117,0))</f>
        <v/>
      </c>
      <c r="X11" s="28">
        <f>V11+W11</f>
        <v/>
      </c>
      <c r="Y11" s="10">
        <f>IF(G11&gt;0,V11/(G11/Assumptions!$B$11),999)</f>
        <v/>
      </c>
      <c r="Z11" s="28">
        <f>S11+U11</f>
        <v/>
      </c>
      <c r="AA11" s="12">
        <f>IF(V11&lt;S11,"Below safety stock",IF(X11&lt;=T11,"Reorder now",IF(V11&gt;Z11,"Excess","Healthy")))</f>
        <v/>
      </c>
      <c r="AB11" s="16">
        <f>V11*E11</f>
        <v/>
      </c>
      <c r="AC11" s="16">
        <f>MAX(0,V11-Z11)*E11</f>
        <v/>
      </c>
      <c r="AD11" s="28">
        <f>IF(X11&lt;=T11,ROUNDUP(T11+U11-X11,0),0)</f>
        <v/>
      </c>
      <c r="AE11" s="16">
        <f>MAX(0,T11-X11)*E11</f>
        <v/>
      </c>
      <c r="AF11" s="31">
        <f>IF(INDEX(Stock_Snapshot!$D$2:$D$117,MATCH($A11,Stock_Snapshot!$A$2:$A$117,0))="","",INDEX(Stock_Snapshot!$D$2:$D$117,MATCH($A11,Stock_Snapshot!$A$2:$A$117,0)))</f>
        <v/>
      </c>
      <c r="AG11" s="12">
        <f>IF(AF11="","",IF(AF11&lt;=EDATE(Assumptions!$B$4,Assumptions!$B$12),"Expires &lt; "&amp;Assumptions!$B$12&amp;" m","OK"))</f>
        <v/>
      </c>
    </row>
    <row r="12">
      <c r="A12" s="12" t="inlineStr">
        <is>
          <t>CMD-0008</t>
        </is>
      </c>
      <c r="B12" s="12">
        <f>INDEX(Items!$B$2:$B$117,MATCH($A12,Items!$A$2:$A$117,0))</f>
        <v/>
      </c>
      <c r="C12" s="12">
        <f>INDEX(Items!$C$2:$C$117,MATCH($A12,Items!$A$2:$A$117,0))</f>
        <v/>
      </c>
      <c r="D12" s="12">
        <f>INDEX(Items!$D$2:$D$117,MATCH($A12,Items!$A$2:$A$117,0))</f>
        <v/>
      </c>
      <c r="E12" s="27">
        <f>INDEX(Items!$E$2:$E$117,MATCH($A12,Items!$A$2:$A$117,0))</f>
        <v/>
      </c>
      <c r="F12" s="28">
        <f>SUM(INDEX(Demand!$N$2:$Y$117,MATCH($A12,Demand!$A$2:$A$117,0),0))</f>
        <v/>
      </c>
      <c r="G12" s="28">
        <f>F12/12</f>
        <v/>
      </c>
      <c r="H12" s="28">
        <f>STDEV(INDEX(Demand!$N$2:$Y$117,MATCH($A12,Demand!$A$2:$A$117,0),0))</f>
        <v/>
      </c>
      <c r="I12" s="29">
        <f>IF(G12&gt;0,H12/G12,0)</f>
        <v/>
      </c>
      <c r="J12" s="16">
        <f>F12*E12</f>
        <v/>
      </c>
      <c r="K12" s="11">
        <f>SUMIF($J$5:$J$120,"&gt;="&amp;J12)/SUM($J$5:$J$120)</f>
        <v/>
      </c>
      <c r="L12" s="12">
        <f>IF(K12&lt;=Assumptions!$B$7,"A",IF(K12&lt;=Assumptions!$B$8,"B","C"))</f>
        <v/>
      </c>
      <c r="M12" s="12">
        <f>IF(I12&lt;=Assumptions!$B$9,"X",IF(I12&lt;=Assumptions!$B$10,"Y","Z"))</f>
        <v/>
      </c>
      <c r="N12" s="12">
        <f>L12&amp;M12</f>
        <v/>
      </c>
      <c r="O12" s="11">
        <f>INDEX(Assumptions!$F$4:$F$6,MATCH(L12,Assumptions!$E$4:$E$6,0))</f>
        <v/>
      </c>
      <c r="P12" s="29">
        <f>NORMSINV(O12)</f>
        <v/>
      </c>
      <c r="Q12" s="30">
        <f>IFERROR(AVERAGEIFS(PO_Lines!$R$2:$R$2025,PO_Lines!$B$2:$B$2025,$A12,PO_Lines!$Q$2:$Q$2025,1),INDEX(Items!$F$2:$F$117,MATCH($A12,Items!$A$2:$A$117,0)))</f>
        <v/>
      </c>
      <c r="R12" s="30">
        <f>IFERROR(SQRT(SUMPRODUCT((PO_Lines!$B$2:$B$2025=$A12)*PO_Lines!$Q$2:$Q$2025*(PO_Lines!$R$2:$R$2025-Q12)^2)/(COUNTIFS(PO_Lines!$B$2:$B$2025,$A12,PO_Lines!$Q$2:$Q$2025,1)-1)),0)</f>
        <v/>
      </c>
      <c r="S12" s="28">
        <f>ROUNDUP(P12*SQRT((Q12/Assumptions!$B$11)*H12^2+G12^2*(R12/Assumptions!$B$11)^2),0)</f>
        <v/>
      </c>
      <c r="T12" s="28">
        <f>ROUNDUP(G12*Q12/Assumptions!$B$11+S12,0)</f>
        <v/>
      </c>
      <c r="U12" s="28">
        <f>ROUNDUP(MAX(INDEX(Items!$G$2:$G$117,MATCH($A12,Items!$A$2:$A$117,0)),SQRT(2*F12*Assumptions!$B$5/(Assumptions!$B$6*E12)),G12*Assumptions!$B$16),0)</f>
        <v/>
      </c>
      <c r="V12" s="28">
        <f>INDEX(Stock_Snapshot!$B$2:$B$117,MATCH($A12,Stock_Snapshot!$A$2:$A$117,0))</f>
        <v/>
      </c>
      <c r="W12" s="28">
        <f>INDEX(Stock_Snapshot!$C$2:$C$117,MATCH($A12,Stock_Snapshot!$A$2:$A$117,0))</f>
        <v/>
      </c>
      <c r="X12" s="28">
        <f>V12+W12</f>
        <v/>
      </c>
      <c r="Y12" s="10">
        <f>IF(G12&gt;0,V12/(G12/Assumptions!$B$11),999)</f>
        <v/>
      </c>
      <c r="Z12" s="28">
        <f>S12+U12</f>
        <v/>
      </c>
      <c r="AA12" s="12">
        <f>IF(V12&lt;S12,"Below safety stock",IF(X12&lt;=T12,"Reorder now",IF(V12&gt;Z12,"Excess","Healthy")))</f>
        <v/>
      </c>
      <c r="AB12" s="16">
        <f>V12*E12</f>
        <v/>
      </c>
      <c r="AC12" s="16">
        <f>MAX(0,V12-Z12)*E12</f>
        <v/>
      </c>
      <c r="AD12" s="28">
        <f>IF(X12&lt;=T12,ROUNDUP(T12+U12-X12,0),0)</f>
        <v/>
      </c>
      <c r="AE12" s="16">
        <f>MAX(0,T12-X12)*E12</f>
        <v/>
      </c>
      <c r="AF12" s="31">
        <f>IF(INDEX(Stock_Snapshot!$D$2:$D$117,MATCH($A12,Stock_Snapshot!$A$2:$A$117,0))="","",INDEX(Stock_Snapshot!$D$2:$D$117,MATCH($A12,Stock_Snapshot!$A$2:$A$117,0)))</f>
        <v/>
      </c>
      <c r="AG12" s="12">
        <f>IF(AF12="","",IF(AF12&lt;=EDATE(Assumptions!$B$4,Assumptions!$B$12),"Expires &lt; "&amp;Assumptions!$B$12&amp;" m","OK"))</f>
        <v/>
      </c>
    </row>
    <row r="13">
      <c r="A13" s="12" t="inlineStr">
        <is>
          <t>CMD-0009</t>
        </is>
      </c>
      <c r="B13" s="12">
        <f>INDEX(Items!$B$2:$B$117,MATCH($A13,Items!$A$2:$A$117,0))</f>
        <v/>
      </c>
      <c r="C13" s="12">
        <f>INDEX(Items!$C$2:$C$117,MATCH($A13,Items!$A$2:$A$117,0))</f>
        <v/>
      </c>
      <c r="D13" s="12">
        <f>INDEX(Items!$D$2:$D$117,MATCH($A13,Items!$A$2:$A$117,0))</f>
        <v/>
      </c>
      <c r="E13" s="27">
        <f>INDEX(Items!$E$2:$E$117,MATCH($A13,Items!$A$2:$A$117,0))</f>
        <v/>
      </c>
      <c r="F13" s="28">
        <f>SUM(INDEX(Demand!$N$2:$Y$117,MATCH($A13,Demand!$A$2:$A$117,0),0))</f>
        <v/>
      </c>
      <c r="G13" s="28">
        <f>F13/12</f>
        <v/>
      </c>
      <c r="H13" s="28">
        <f>STDEV(INDEX(Demand!$N$2:$Y$117,MATCH($A13,Demand!$A$2:$A$117,0),0))</f>
        <v/>
      </c>
      <c r="I13" s="29">
        <f>IF(G13&gt;0,H13/G13,0)</f>
        <v/>
      </c>
      <c r="J13" s="16">
        <f>F13*E13</f>
        <v/>
      </c>
      <c r="K13" s="11">
        <f>SUMIF($J$5:$J$120,"&gt;="&amp;J13)/SUM($J$5:$J$120)</f>
        <v/>
      </c>
      <c r="L13" s="12">
        <f>IF(K13&lt;=Assumptions!$B$7,"A",IF(K13&lt;=Assumptions!$B$8,"B","C"))</f>
        <v/>
      </c>
      <c r="M13" s="12">
        <f>IF(I13&lt;=Assumptions!$B$9,"X",IF(I13&lt;=Assumptions!$B$10,"Y","Z"))</f>
        <v/>
      </c>
      <c r="N13" s="12">
        <f>L13&amp;M13</f>
        <v/>
      </c>
      <c r="O13" s="11">
        <f>INDEX(Assumptions!$F$4:$F$6,MATCH(L13,Assumptions!$E$4:$E$6,0))</f>
        <v/>
      </c>
      <c r="P13" s="29">
        <f>NORMSINV(O13)</f>
        <v/>
      </c>
      <c r="Q13" s="30">
        <f>IFERROR(AVERAGEIFS(PO_Lines!$R$2:$R$2025,PO_Lines!$B$2:$B$2025,$A13,PO_Lines!$Q$2:$Q$2025,1),INDEX(Items!$F$2:$F$117,MATCH($A13,Items!$A$2:$A$117,0)))</f>
        <v/>
      </c>
      <c r="R13" s="30">
        <f>IFERROR(SQRT(SUMPRODUCT((PO_Lines!$B$2:$B$2025=$A13)*PO_Lines!$Q$2:$Q$2025*(PO_Lines!$R$2:$R$2025-Q13)^2)/(COUNTIFS(PO_Lines!$B$2:$B$2025,$A13,PO_Lines!$Q$2:$Q$2025,1)-1)),0)</f>
        <v/>
      </c>
      <c r="S13" s="28">
        <f>ROUNDUP(P13*SQRT((Q13/Assumptions!$B$11)*H13^2+G13^2*(R13/Assumptions!$B$11)^2),0)</f>
        <v/>
      </c>
      <c r="T13" s="28">
        <f>ROUNDUP(G13*Q13/Assumptions!$B$11+S13,0)</f>
        <v/>
      </c>
      <c r="U13" s="28">
        <f>ROUNDUP(MAX(INDEX(Items!$G$2:$G$117,MATCH($A13,Items!$A$2:$A$117,0)),SQRT(2*F13*Assumptions!$B$5/(Assumptions!$B$6*E13)),G13*Assumptions!$B$16),0)</f>
        <v/>
      </c>
      <c r="V13" s="28">
        <f>INDEX(Stock_Snapshot!$B$2:$B$117,MATCH($A13,Stock_Snapshot!$A$2:$A$117,0))</f>
        <v/>
      </c>
      <c r="W13" s="28">
        <f>INDEX(Stock_Snapshot!$C$2:$C$117,MATCH($A13,Stock_Snapshot!$A$2:$A$117,0))</f>
        <v/>
      </c>
      <c r="X13" s="28">
        <f>V13+W13</f>
        <v/>
      </c>
      <c r="Y13" s="10">
        <f>IF(G13&gt;0,V13/(G13/Assumptions!$B$11),999)</f>
        <v/>
      </c>
      <c r="Z13" s="28">
        <f>S13+U13</f>
        <v/>
      </c>
      <c r="AA13" s="12">
        <f>IF(V13&lt;S13,"Below safety stock",IF(X13&lt;=T13,"Reorder now",IF(V13&gt;Z13,"Excess","Healthy")))</f>
        <v/>
      </c>
      <c r="AB13" s="16">
        <f>V13*E13</f>
        <v/>
      </c>
      <c r="AC13" s="16">
        <f>MAX(0,V13-Z13)*E13</f>
        <v/>
      </c>
      <c r="AD13" s="28">
        <f>IF(X13&lt;=T13,ROUNDUP(T13+U13-X13,0),0)</f>
        <v/>
      </c>
      <c r="AE13" s="16">
        <f>MAX(0,T13-X13)*E13</f>
        <v/>
      </c>
      <c r="AF13" s="31">
        <f>IF(INDEX(Stock_Snapshot!$D$2:$D$117,MATCH($A13,Stock_Snapshot!$A$2:$A$117,0))="","",INDEX(Stock_Snapshot!$D$2:$D$117,MATCH($A13,Stock_Snapshot!$A$2:$A$117,0)))</f>
        <v/>
      </c>
      <c r="AG13" s="12">
        <f>IF(AF13="","",IF(AF13&lt;=EDATE(Assumptions!$B$4,Assumptions!$B$12),"Expires &lt; "&amp;Assumptions!$B$12&amp;" m","OK"))</f>
        <v/>
      </c>
    </row>
    <row r="14">
      <c r="A14" s="12" t="inlineStr">
        <is>
          <t>CMD-0010</t>
        </is>
      </c>
      <c r="B14" s="12">
        <f>INDEX(Items!$B$2:$B$117,MATCH($A14,Items!$A$2:$A$117,0))</f>
        <v/>
      </c>
      <c r="C14" s="12">
        <f>INDEX(Items!$C$2:$C$117,MATCH($A14,Items!$A$2:$A$117,0))</f>
        <v/>
      </c>
      <c r="D14" s="12">
        <f>INDEX(Items!$D$2:$D$117,MATCH($A14,Items!$A$2:$A$117,0))</f>
        <v/>
      </c>
      <c r="E14" s="27">
        <f>INDEX(Items!$E$2:$E$117,MATCH($A14,Items!$A$2:$A$117,0))</f>
        <v/>
      </c>
      <c r="F14" s="28">
        <f>SUM(INDEX(Demand!$N$2:$Y$117,MATCH($A14,Demand!$A$2:$A$117,0),0))</f>
        <v/>
      </c>
      <c r="G14" s="28">
        <f>F14/12</f>
        <v/>
      </c>
      <c r="H14" s="28">
        <f>STDEV(INDEX(Demand!$N$2:$Y$117,MATCH($A14,Demand!$A$2:$A$117,0),0))</f>
        <v/>
      </c>
      <c r="I14" s="29">
        <f>IF(G14&gt;0,H14/G14,0)</f>
        <v/>
      </c>
      <c r="J14" s="16">
        <f>F14*E14</f>
        <v/>
      </c>
      <c r="K14" s="11">
        <f>SUMIF($J$5:$J$120,"&gt;="&amp;J14)/SUM($J$5:$J$120)</f>
        <v/>
      </c>
      <c r="L14" s="12">
        <f>IF(K14&lt;=Assumptions!$B$7,"A",IF(K14&lt;=Assumptions!$B$8,"B","C"))</f>
        <v/>
      </c>
      <c r="M14" s="12">
        <f>IF(I14&lt;=Assumptions!$B$9,"X",IF(I14&lt;=Assumptions!$B$10,"Y","Z"))</f>
        <v/>
      </c>
      <c r="N14" s="12">
        <f>L14&amp;M14</f>
        <v/>
      </c>
      <c r="O14" s="11">
        <f>INDEX(Assumptions!$F$4:$F$6,MATCH(L14,Assumptions!$E$4:$E$6,0))</f>
        <v/>
      </c>
      <c r="P14" s="29">
        <f>NORMSINV(O14)</f>
        <v/>
      </c>
      <c r="Q14" s="30">
        <f>IFERROR(AVERAGEIFS(PO_Lines!$R$2:$R$2025,PO_Lines!$B$2:$B$2025,$A14,PO_Lines!$Q$2:$Q$2025,1),INDEX(Items!$F$2:$F$117,MATCH($A14,Items!$A$2:$A$117,0)))</f>
        <v/>
      </c>
      <c r="R14" s="30">
        <f>IFERROR(SQRT(SUMPRODUCT((PO_Lines!$B$2:$B$2025=$A14)*PO_Lines!$Q$2:$Q$2025*(PO_Lines!$R$2:$R$2025-Q14)^2)/(COUNTIFS(PO_Lines!$B$2:$B$2025,$A14,PO_Lines!$Q$2:$Q$2025,1)-1)),0)</f>
        <v/>
      </c>
      <c r="S14" s="28">
        <f>ROUNDUP(P14*SQRT((Q14/Assumptions!$B$11)*H14^2+G14^2*(R14/Assumptions!$B$11)^2),0)</f>
        <v/>
      </c>
      <c r="T14" s="28">
        <f>ROUNDUP(G14*Q14/Assumptions!$B$11+S14,0)</f>
        <v/>
      </c>
      <c r="U14" s="28">
        <f>ROUNDUP(MAX(INDEX(Items!$G$2:$G$117,MATCH($A14,Items!$A$2:$A$117,0)),SQRT(2*F14*Assumptions!$B$5/(Assumptions!$B$6*E14)),G14*Assumptions!$B$16),0)</f>
        <v/>
      </c>
      <c r="V14" s="28">
        <f>INDEX(Stock_Snapshot!$B$2:$B$117,MATCH($A14,Stock_Snapshot!$A$2:$A$117,0))</f>
        <v/>
      </c>
      <c r="W14" s="28">
        <f>INDEX(Stock_Snapshot!$C$2:$C$117,MATCH($A14,Stock_Snapshot!$A$2:$A$117,0))</f>
        <v/>
      </c>
      <c r="X14" s="28">
        <f>V14+W14</f>
        <v/>
      </c>
      <c r="Y14" s="10">
        <f>IF(G14&gt;0,V14/(G14/Assumptions!$B$11),999)</f>
        <v/>
      </c>
      <c r="Z14" s="28">
        <f>S14+U14</f>
        <v/>
      </c>
      <c r="AA14" s="12">
        <f>IF(V14&lt;S14,"Below safety stock",IF(X14&lt;=T14,"Reorder now",IF(V14&gt;Z14,"Excess","Healthy")))</f>
        <v/>
      </c>
      <c r="AB14" s="16">
        <f>V14*E14</f>
        <v/>
      </c>
      <c r="AC14" s="16">
        <f>MAX(0,V14-Z14)*E14</f>
        <v/>
      </c>
      <c r="AD14" s="28">
        <f>IF(X14&lt;=T14,ROUNDUP(T14+U14-X14,0),0)</f>
        <v/>
      </c>
      <c r="AE14" s="16">
        <f>MAX(0,T14-X14)*E14</f>
        <v/>
      </c>
      <c r="AF14" s="31">
        <f>IF(INDEX(Stock_Snapshot!$D$2:$D$117,MATCH($A14,Stock_Snapshot!$A$2:$A$117,0))="","",INDEX(Stock_Snapshot!$D$2:$D$117,MATCH($A14,Stock_Snapshot!$A$2:$A$117,0)))</f>
        <v/>
      </c>
      <c r="AG14" s="12">
        <f>IF(AF14="","",IF(AF14&lt;=EDATE(Assumptions!$B$4,Assumptions!$B$12),"Expires &lt; "&amp;Assumptions!$B$12&amp;" m","OK"))</f>
        <v/>
      </c>
    </row>
    <row r="15">
      <c r="A15" s="12" t="inlineStr">
        <is>
          <t>CMD-0011</t>
        </is>
      </c>
      <c r="B15" s="12">
        <f>INDEX(Items!$B$2:$B$117,MATCH($A15,Items!$A$2:$A$117,0))</f>
        <v/>
      </c>
      <c r="C15" s="12">
        <f>INDEX(Items!$C$2:$C$117,MATCH($A15,Items!$A$2:$A$117,0))</f>
        <v/>
      </c>
      <c r="D15" s="12">
        <f>INDEX(Items!$D$2:$D$117,MATCH($A15,Items!$A$2:$A$117,0))</f>
        <v/>
      </c>
      <c r="E15" s="27">
        <f>INDEX(Items!$E$2:$E$117,MATCH($A15,Items!$A$2:$A$117,0))</f>
        <v/>
      </c>
      <c r="F15" s="28">
        <f>SUM(INDEX(Demand!$N$2:$Y$117,MATCH($A15,Demand!$A$2:$A$117,0),0))</f>
        <v/>
      </c>
      <c r="G15" s="28">
        <f>F15/12</f>
        <v/>
      </c>
      <c r="H15" s="28">
        <f>STDEV(INDEX(Demand!$N$2:$Y$117,MATCH($A15,Demand!$A$2:$A$117,0),0))</f>
        <v/>
      </c>
      <c r="I15" s="29">
        <f>IF(G15&gt;0,H15/G15,0)</f>
        <v/>
      </c>
      <c r="J15" s="16">
        <f>F15*E15</f>
        <v/>
      </c>
      <c r="K15" s="11">
        <f>SUMIF($J$5:$J$120,"&gt;="&amp;J15)/SUM($J$5:$J$120)</f>
        <v/>
      </c>
      <c r="L15" s="12">
        <f>IF(K15&lt;=Assumptions!$B$7,"A",IF(K15&lt;=Assumptions!$B$8,"B","C"))</f>
        <v/>
      </c>
      <c r="M15" s="12">
        <f>IF(I15&lt;=Assumptions!$B$9,"X",IF(I15&lt;=Assumptions!$B$10,"Y","Z"))</f>
        <v/>
      </c>
      <c r="N15" s="12">
        <f>L15&amp;M15</f>
        <v/>
      </c>
      <c r="O15" s="11">
        <f>INDEX(Assumptions!$F$4:$F$6,MATCH(L15,Assumptions!$E$4:$E$6,0))</f>
        <v/>
      </c>
      <c r="P15" s="29">
        <f>NORMSINV(O15)</f>
        <v/>
      </c>
      <c r="Q15" s="30">
        <f>IFERROR(AVERAGEIFS(PO_Lines!$R$2:$R$2025,PO_Lines!$B$2:$B$2025,$A15,PO_Lines!$Q$2:$Q$2025,1),INDEX(Items!$F$2:$F$117,MATCH($A15,Items!$A$2:$A$117,0)))</f>
        <v/>
      </c>
      <c r="R15" s="30">
        <f>IFERROR(SQRT(SUMPRODUCT((PO_Lines!$B$2:$B$2025=$A15)*PO_Lines!$Q$2:$Q$2025*(PO_Lines!$R$2:$R$2025-Q15)^2)/(COUNTIFS(PO_Lines!$B$2:$B$2025,$A15,PO_Lines!$Q$2:$Q$2025,1)-1)),0)</f>
        <v/>
      </c>
      <c r="S15" s="28">
        <f>ROUNDUP(P15*SQRT((Q15/Assumptions!$B$11)*H15^2+G15^2*(R15/Assumptions!$B$11)^2),0)</f>
        <v/>
      </c>
      <c r="T15" s="28">
        <f>ROUNDUP(G15*Q15/Assumptions!$B$11+S15,0)</f>
        <v/>
      </c>
      <c r="U15" s="28">
        <f>ROUNDUP(MAX(INDEX(Items!$G$2:$G$117,MATCH($A15,Items!$A$2:$A$117,0)),SQRT(2*F15*Assumptions!$B$5/(Assumptions!$B$6*E15)),G15*Assumptions!$B$16),0)</f>
        <v/>
      </c>
      <c r="V15" s="28">
        <f>INDEX(Stock_Snapshot!$B$2:$B$117,MATCH($A15,Stock_Snapshot!$A$2:$A$117,0))</f>
        <v/>
      </c>
      <c r="W15" s="28">
        <f>INDEX(Stock_Snapshot!$C$2:$C$117,MATCH($A15,Stock_Snapshot!$A$2:$A$117,0))</f>
        <v/>
      </c>
      <c r="X15" s="28">
        <f>V15+W15</f>
        <v/>
      </c>
      <c r="Y15" s="10">
        <f>IF(G15&gt;0,V15/(G15/Assumptions!$B$11),999)</f>
        <v/>
      </c>
      <c r="Z15" s="28">
        <f>S15+U15</f>
        <v/>
      </c>
      <c r="AA15" s="12">
        <f>IF(V15&lt;S15,"Below safety stock",IF(X15&lt;=T15,"Reorder now",IF(V15&gt;Z15,"Excess","Healthy")))</f>
        <v/>
      </c>
      <c r="AB15" s="16">
        <f>V15*E15</f>
        <v/>
      </c>
      <c r="AC15" s="16">
        <f>MAX(0,V15-Z15)*E15</f>
        <v/>
      </c>
      <c r="AD15" s="28">
        <f>IF(X15&lt;=T15,ROUNDUP(T15+U15-X15,0),0)</f>
        <v/>
      </c>
      <c r="AE15" s="16">
        <f>MAX(0,T15-X15)*E15</f>
        <v/>
      </c>
      <c r="AF15" s="31">
        <f>IF(INDEX(Stock_Snapshot!$D$2:$D$117,MATCH($A15,Stock_Snapshot!$A$2:$A$117,0))="","",INDEX(Stock_Snapshot!$D$2:$D$117,MATCH($A15,Stock_Snapshot!$A$2:$A$117,0)))</f>
        <v/>
      </c>
      <c r="AG15" s="12">
        <f>IF(AF15="","",IF(AF15&lt;=EDATE(Assumptions!$B$4,Assumptions!$B$12),"Expires &lt; "&amp;Assumptions!$B$12&amp;" m","OK"))</f>
        <v/>
      </c>
    </row>
    <row r="16">
      <c r="A16" s="12" t="inlineStr">
        <is>
          <t>CMD-0012</t>
        </is>
      </c>
      <c r="B16" s="12">
        <f>INDEX(Items!$B$2:$B$117,MATCH($A16,Items!$A$2:$A$117,0))</f>
        <v/>
      </c>
      <c r="C16" s="12">
        <f>INDEX(Items!$C$2:$C$117,MATCH($A16,Items!$A$2:$A$117,0))</f>
        <v/>
      </c>
      <c r="D16" s="12">
        <f>INDEX(Items!$D$2:$D$117,MATCH($A16,Items!$A$2:$A$117,0))</f>
        <v/>
      </c>
      <c r="E16" s="27">
        <f>INDEX(Items!$E$2:$E$117,MATCH($A16,Items!$A$2:$A$117,0))</f>
        <v/>
      </c>
      <c r="F16" s="28">
        <f>SUM(INDEX(Demand!$N$2:$Y$117,MATCH($A16,Demand!$A$2:$A$117,0),0))</f>
        <v/>
      </c>
      <c r="G16" s="28">
        <f>F16/12</f>
        <v/>
      </c>
      <c r="H16" s="28">
        <f>STDEV(INDEX(Demand!$N$2:$Y$117,MATCH($A16,Demand!$A$2:$A$117,0),0))</f>
        <v/>
      </c>
      <c r="I16" s="29">
        <f>IF(G16&gt;0,H16/G16,0)</f>
        <v/>
      </c>
      <c r="J16" s="16">
        <f>F16*E16</f>
        <v/>
      </c>
      <c r="K16" s="11">
        <f>SUMIF($J$5:$J$120,"&gt;="&amp;J16)/SUM($J$5:$J$120)</f>
        <v/>
      </c>
      <c r="L16" s="12">
        <f>IF(K16&lt;=Assumptions!$B$7,"A",IF(K16&lt;=Assumptions!$B$8,"B","C"))</f>
        <v/>
      </c>
      <c r="M16" s="12">
        <f>IF(I16&lt;=Assumptions!$B$9,"X",IF(I16&lt;=Assumptions!$B$10,"Y","Z"))</f>
        <v/>
      </c>
      <c r="N16" s="12">
        <f>L16&amp;M16</f>
        <v/>
      </c>
      <c r="O16" s="11">
        <f>INDEX(Assumptions!$F$4:$F$6,MATCH(L16,Assumptions!$E$4:$E$6,0))</f>
        <v/>
      </c>
      <c r="P16" s="29">
        <f>NORMSINV(O16)</f>
        <v/>
      </c>
      <c r="Q16" s="30">
        <f>IFERROR(AVERAGEIFS(PO_Lines!$R$2:$R$2025,PO_Lines!$B$2:$B$2025,$A16,PO_Lines!$Q$2:$Q$2025,1),INDEX(Items!$F$2:$F$117,MATCH($A16,Items!$A$2:$A$117,0)))</f>
        <v/>
      </c>
      <c r="R16" s="30">
        <f>IFERROR(SQRT(SUMPRODUCT((PO_Lines!$B$2:$B$2025=$A16)*PO_Lines!$Q$2:$Q$2025*(PO_Lines!$R$2:$R$2025-Q16)^2)/(COUNTIFS(PO_Lines!$B$2:$B$2025,$A16,PO_Lines!$Q$2:$Q$2025,1)-1)),0)</f>
        <v/>
      </c>
      <c r="S16" s="28">
        <f>ROUNDUP(P16*SQRT((Q16/Assumptions!$B$11)*H16^2+G16^2*(R16/Assumptions!$B$11)^2),0)</f>
        <v/>
      </c>
      <c r="T16" s="28">
        <f>ROUNDUP(G16*Q16/Assumptions!$B$11+S16,0)</f>
        <v/>
      </c>
      <c r="U16" s="28">
        <f>ROUNDUP(MAX(INDEX(Items!$G$2:$G$117,MATCH($A16,Items!$A$2:$A$117,0)),SQRT(2*F16*Assumptions!$B$5/(Assumptions!$B$6*E16)),G16*Assumptions!$B$16),0)</f>
        <v/>
      </c>
      <c r="V16" s="28">
        <f>INDEX(Stock_Snapshot!$B$2:$B$117,MATCH($A16,Stock_Snapshot!$A$2:$A$117,0))</f>
        <v/>
      </c>
      <c r="W16" s="28">
        <f>INDEX(Stock_Snapshot!$C$2:$C$117,MATCH($A16,Stock_Snapshot!$A$2:$A$117,0))</f>
        <v/>
      </c>
      <c r="X16" s="28">
        <f>V16+W16</f>
        <v/>
      </c>
      <c r="Y16" s="10">
        <f>IF(G16&gt;0,V16/(G16/Assumptions!$B$11),999)</f>
        <v/>
      </c>
      <c r="Z16" s="28">
        <f>S16+U16</f>
        <v/>
      </c>
      <c r="AA16" s="12">
        <f>IF(V16&lt;S16,"Below safety stock",IF(X16&lt;=T16,"Reorder now",IF(V16&gt;Z16,"Excess","Healthy")))</f>
        <v/>
      </c>
      <c r="AB16" s="16">
        <f>V16*E16</f>
        <v/>
      </c>
      <c r="AC16" s="16">
        <f>MAX(0,V16-Z16)*E16</f>
        <v/>
      </c>
      <c r="AD16" s="28">
        <f>IF(X16&lt;=T16,ROUNDUP(T16+U16-X16,0),0)</f>
        <v/>
      </c>
      <c r="AE16" s="16">
        <f>MAX(0,T16-X16)*E16</f>
        <v/>
      </c>
      <c r="AF16" s="31">
        <f>IF(INDEX(Stock_Snapshot!$D$2:$D$117,MATCH($A16,Stock_Snapshot!$A$2:$A$117,0))="","",INDEX(Stock_Snapshot!$D$2:$D$117,MATCH($A16,Stock_Snapshot!$A$2:$A$117,0)))</f>
        <v/>
      </c>
      <c r="AG16" s="12">
        <f>IF(AF16="","",IF(AF16&lt;=EDATE(Assumptions!$B$4,Assumptions!$B$12),"Expires &lt; "&amp;Assumptions!$B$12&amp;" m","OK"))</f>
        <v/>
      </c>
    </row>
    <row r="17">
      <c r="A17" s="12" t="inlineStr">
        <is>
          <t>CMD-0013</t>
        </is>
      </c>
      <c r="B17" s="12">
        <f>INDEX(Items!$B$2:$B$117,MATCH($A17,Items!$A$2:$A$117,0))</f>
        <v/>
      </c>
      <c r="C17" s="12">
        <f>INDEX(Items!$C$2:$C$117,MATCH($A17,Items!$A$2:$A$117,0))</f>
        <v/>
      </c>
      <c r="D17" s="12">
        <f>INDEX(Items!$D$2:$D$117,MATCH($A17,Items!$A$2:$A$117,0))</f>
        <v/>
      </c>
      <c r="E17" s="27">
        <f>INDEX(Items!$E$2:$E$117,MATCH($A17,Items!$A$2:$A$117,0))</f>
        <v/>
      </c>
      <c r="F17" s="28">
        <f>SUM(INDEX(Demand!$N$2:$Y$117,MATCH($A17,Demand!$A$2:$A$117,0),0))</f>
        <v/>
      </c>
      <c r="G17" s="28">
        <f>F17/12</f>
        <v/>
      </c>
      <c r="H17" s="28">
        <f>STDEV(INDEX(Demand!$N$2:$Y$117,MATCH($A17,Demand!$A$2:$A$117,0),0))</f>
        <v/>
      </c>
      <c r="I17" s="29">
        <f>IF(G17&gt;0,H17/G17,0)</f>
        <v/>
      </c>
      <c r="J17" s="16">
        <f>F17*E17</f>
        <v/>
      </c>
      <c r="K17" s="11">
        <f>SUMIF($J$5:$J$120,"&gt;="&amp;J17)/SUM($J$5:$J$120)</f>
        <v/>
      </c>
      <c r="L17" s="12">
        <f>IF(K17&lt;=Assumptions!$B$7,"A",IF(K17&lt;=Assumptions!$B$8,"B","C"))</f>
        <v/>
      </c>
      <c r="M17" s="12">
        <f>IF(I17&lt;=Assumptions!$B$9,"X",IF(I17&lt;=Assumptions!$B$10,"Y","Z"))</f>
        <v/>
      </c>
      <c r="N17" s="12">
        <f>L17&amp;M17</f>
        <v/>
      </c>
      <c r="O17" s="11">
        <f>INDEX(Assumptions!$F$4:$F$6,MATCH(L17,Assumptions!$E$4:$E$6,0))</f>
        <v/>
      </c>
      <c r="P17" s="29">
        <f>NORMSINV(O17)</f>
        <v/>
      </c>
      <c r="Q17" s="30">
        <f>IFERROR(AVERAGEIFS(PO_Lines!$R$2:$R$2025,PO_Lines!$B$2:$B$2025,$A17,PO_Lines!$Q$2:$Q$2025,1),INDEX(Items!$F$2:$F$117,MATCH($A17,Items!$A$2:$A$117,0)))</f>
        <v/>
      </c>
      <c r="R17" s="30">
        <f>IFERROR(SQRT(SUMPRODUCT((PO_Lines!$B$2:$B$2025=$A17)*PO_Lines!$Q$2:$Q$2025*(PO_Lines!$R$2:$R$2025-Q17)^2)/(COUNTIFS(PO_Lines!$B$2:$B$2025,$A17,PO_Lines!$Q$2:$Q$2025,1)-1)),0)</f>
        <v/>
      </c>
      <c r="S17" s="28">
        <f>ROUNDUP(P17*SQRT((Q17/Assumptions!$B$11)*H17^2+G17^2*(R17/Assumptions!$B$11)^2),0)</f>
        <v/>
      </c>
      <c r="T17" s="28">
        <f>ROUNDUP(G17*Q17/Assumptions!$B$11+S17,0)</f>
        <v/>
      </c>
      <c r="U17" s="28">
        <f>ROUNDUP(MAX(INDEX(Items!$G$2:$G$117,MATCH($A17,Items!$A$2:$A$117,0)),SQRT(2*F17*Assumptions!$B$5/(Assumptions!$B$6*E17)),G17*Assumptions!$B$16),0)</f>
        <v/>
      </c>
      <c r="V17" s="28">
        <f>INDEX(Stock_Snapshot!$B$2:$B$117,MATCH($A17,Stock_Snapshot!$A$2:$A$117,0))</f>
        <v/>
      </c>
      <c r="W17" s="28">
        <f>INDEX(Stock_Snapshot!$C$2:$C$117,MATCH($A17,Stock_Snapshot!$A$2:$A$117,0))</f>
        <v/>
      </c>
      <c r="X17" s="28">
        <f>V17+W17</f>
        <v/>
      </c>
      <c r="Y17" s="10">
        <f>IF(G17&gt;0,V17/(G17/Assumptions!$B$11),999)</f>
        <v/>
      </c>
      <c r="Z17" s="28">
        <f>S17+U17</f>
        <v/>
      </c>
      <c r="AA17" s="12">
        <f>IF(V17&lt;S17,"Below safety stock",IF(X17&lt;=T17,"Reorder now",IF(V17&gt;Z17,"Excess","Healthy")))</f>
        <v/>
      </c>
      <c r="AB17" s="16">
        <f>V17*E17</f>
        <v/>
      </c>
      <c r="AC17" s="16">
        <f>MAX(0,V17-Z17)*E17</f>
        <v/>
      </c>
      <c r="AD17" s="28">
        <f>IF(X17&lt;=T17,ROUNDUP(T17+U17-X17,0),0)</f>
        <v/>
      </c>
      <c r="AE17" s="16">
        <f>MAX(0,T17-X17)*E17</f>
        <v/>
      </c>
      <c r="AF17" s="31">
        <f>IF(INDEX(Stock_Snapshot!$D$2:$D$117,MATCH($A17,Stock_Snapshot!$A$2:$A$117,0))="","",INDEX(Stock_Snapshot!$D$2:$D$117,MATCH($A17,Stock_Snapshot!$A$2:$A$117,0)))</f>
        <v/>
      </c>
      <c r="AG17" s="12">
        <f>IF(AF17="","",IF(AF17&lt;=EDATE(Assumptions!$B$4,Assumptions!$B$12),"Expires &lt; "&amp;Assumptions!$B$12&amp;" m","OK"))</f>
        <v/>
      </c>
    </row>
    <row r="18">
      <c r="A18" s="12" t="inlineStr">
        <is>
          <t>CMD-0014</t>
        </is>
      </c>
      <c r="B18" s="12">
        <f>INDEX(Items!$B$2:$B$117,MATCH($A18,Items!$A$2:$A$117,0))</f>
        <v/>
      </c>
      <c r="C18" s="12">
        <f>INDEX(Items!$C$2:$C$117,MATCH($A18,Items!$A$2:$A$117,0))</f>
        <v/>
      </c>
      <c r="D18" s="12">
        <f>INDEX(Items!$D$2:$D$117,MATCH($A18,Items!$A$2:$A$117,0))</f>
        <v/>
      </c>
      <c r="E18" s="27">
        <f>INDEX(Items!$E$2:$E$117,MATCH($A18,Items!$A$2:$A$117,0))</f>
        <v/>
      </c>
      <c r="F18" s="28">
        <f>SUM(INDEX(Demand!$N$2:$Y$117,MATCH($A18,Demand!$A$2:$A$117,0),0))</f>
        <v/>
      </c>
      <c r="G18" s="28">
        <f>F18/12</f>
        <v/>
      </c>
      <c r="H18" s="28">
        <f>STDEV(INDEX(Demand!$N$2:$Y$117,MATCH($A18,Demand!$A$2:$A$117,0),0))</f>
        <v/>
      </c>
      <c r="I18" s="29">
        <f>IF(G18&gt;0,H18/G18,0)</f>
        <v/>
      </c>
      <c r="J18" s="16">
        <f>F18*E18</f>
        <v/>
      </c>
      <c r="K18" s="11">
        <f>SUMIF($J$5:$J$120,"&gt;="&amp;J18)/SUM($J$5:$J$120)</f>
        <v/>
      </c>
      <c r="L18" s="12">
        <f>IF(K18&lt;=Assumptions!$B$7,"A",IF(K18&lt;=Assumptions!$B$8,"B","C"))</f>
        <v/>
      </c>
      <c r="M18" s="12">
        <f>IF(I18&lt;=Assumptions!$B$9,"X",IF(I18&lt;=Assumptions!$B$10,"Y","Z"))</f>
        <v/>
      </c>
      <c r="N18" s="12">
        <f>L18&amp;M18</f>
        <v/>
      </c>
      <c r="O18" s="11">
        <f>INDEX(Assumptions!$F$4:$F$6,MATCH(L18,Assumptions!$E$4:$E$6,0))</f>
        <v/>
      </c>
      <c r="P18" s="29">
        <f>NORMSINV(O18)</f>
        <v/>
      </c>
      <c r="Q18" s="30">
        <f>IFERROR(AVERAGEIFS(PO_Lines!$R$2:$R$2025,PO_Lines!$B$2:$B$2025,$A18,PO_Lines!$Q$2:$Q$2025,1),INDEX(Items!$F$2:$F$117,MATCH($A18,Items!$A$2:$A$117,0)))</f>
        <v/>
      </c>
      <c r="R18" s="30">
        <f>IFERROR(SQRT(SUMPRODUCT((PO_Lines!$B$2:$B$2025=$A18)*PO_Lines!$Q$2:$Q$2025*(PO_Lines!$R$2:$R$2025-Q18)^2)/(COUNTIFS(PO_Lines!$B$2:$B$2025,$A18,PO_Lines!$Q$2:$Q$2025,1)-1)),0)</f>
        <v/>
      </c>
      <c r="S18" s="28">
        <f>ROUNDUP(P18*SQRT((Q18/Assumptions!$B$11)*H18^2+G18^2*(R18/Assumptions!$B$11)^2),0)</f>
        <v/>
      </c>
      <c r="T18" s="28">
        <f>ROUNDUP(G18*Q18/Assumptions!$B$11+S18,0)</f>
        <v/>
      </c>
      <c r="U18" s="28">
        <f>ROUNDUP(MAX(INDEX(Items!$G$2:$G$117,MATCH($A18,Items!$A$2:$A$117,0)),SQRT(2*F18*Assumptions!$B$5/(Assumptions!$B$6*E18)),G18*Assumptions!$B$16),0)</f>
        <v/>
      </c>
      <c r="V18" s="28">
        <f>INDEX(Stock_Snapshot!$B$2:$B$117,MATCH($A18,Stock_Snapshot!$A$2:$A$117,0))</f>
        <v/>
      </c>
      <c r="W18" s="28">
        <f>INDEX(Stock_Snapshot!$C$2:$C$117,MATCH($A18,Stock_Snapshot!$A$2:$A$117,0))</f>
        <v/>
      </c>
      <c r="X18" s="28">
        <f>V18+W18</f>
        <v/>
      </c>
      <c r="Y18" s="10">
        <f>IF(G18&gt;0,V18/(G18/Assumptions!$B$11),999)</f>
        <v/>
      </c>
      <c r="Z18" s="28">
        <f>S18+U18</f>
        <v/>
      </c>
      <c r="AA18" s="12">
        <f>IF(V18&lt;S18,"Below safety stock",IF(X18&lt;=T18,"Reorder now",IF(V18&gt;Z18,"Excess","Healthy")))</f>
        <v/>
      </c>
      <c r="AB18" s="16">
        <f>V18*E18</f>
        <v/>
      </c>
      <c r="AC18" s="16">
        <f>MAX(0,V18-Z18)*E18</f>
        <v/>
      </c>
      <c r="AD18" s="28">
        <f>IF(X18&lt;=T18,ROUNDUP(T18+U18-X18,0),0)</f>
        <v/>
      </c>
      <c r="AE18" s="16">
        <f>MAX(0,T18-X18)*E18</f>
        <v/>
      </c>
      <c r="AF18" s="31">
        <f>IF(INDEX(Stock_Snapshot!$D$2:$D$117,MATCH($A18,Stock_Snapshot!$A$2:$A$117,0))="","",INDEX(Stock_Snapshot!$D$2:$D$117,MATCH($A18,Stock_Snapshot!$A$2:$A$117,0)))</f>
        <v/>
      </c>
      <c r="AG18" s="12">
        <f>IF(AF18="","",IF(AF18&lt;=EDATE(Assumptions!$B$4,Assumptions!$B$12),"Expires &lt; "&amp;Assumptions!$B$12&amp;" m","OK"))</f>
        <v/>
      </c>
    </row>
    <row r="19">
      <c r="A19" s="12" t="inlineStr">
        <is>
          <t>CMD-0015</t>
        </is>
      </c>
      <c r="B19" s="12">
        <f>INDEX(Items!$B$2:$B$117,MATCH($A19,Items!$A$2:$A$117,0))</f>
        <v/>
      </c>
      <c r="C19" s="12">
        <f>INDEX(Items!$C$2:$C$117,MATCH($A19,Items!$A$2:$A$117,0))</f>
        <v/>
      </c>
      <c r="D19" s="12">
        <f>INDEX(Items!$D$2:$D$117,MATCH($A19,Items!$A$2:$A$117,0))</f>
        <v/>
      </c>
      <c r="E19" s="27">
        <f>INDEX(Items!$E$2:$E$117,MATCH($A19,Items!$A$2:$A$117,0))</f>
        <v/>
      </c>
      <c r="F19" s="28">
        <f>SUM(INDEX(Demand!$N$2:$Y$117,MATCH($A19,Demand!$A$2:$A$117,0),0))</f>
        <v/>
      </c>
      <c r="G19" s="28">
        <f>F19/12</f>
        <v/>
      </c>
      <c r="H19" s="28">
        <f>STDEV(INDEX(Demand!$N$2:$Y$117,MATCH($A19,Demand!$A$2:$A$117,0),0))</f>
        <v/>
      </c>
      <c r="I19" s="29">
        <f>IF(G19&gt;0,H19/G19,0)</f>
        <v/>
      </c>
      <c r="J19" s="16">
        <f>F19*E19</f>
        <v/>
      </c>
      <c r="K19" s="11">
        <f>SUMIF($J$5:$J$120,"&gt;="&amp;J19)/SUM($J$5:$J$120)</f>
        <v/>
      </c>
      <c r="L19" s="12">
        <f>IF(K19&lt;=Assumptions!$B$7,"A",IF(K19&lt;=Assumptions!$B$8,"B","C"))</f>
        <v/>
      </c>
      <c r="M19" s="12">
        <f>IF(I19&lt;=Assumptions!$B$9,"X",IF(I19&lt;=Assumptions!$B$10,"Y","Z"))</f>
        <v/>
      </c>
      <c r="N19" s="12">
        <f>L19&amp;M19</f>
        <v/>
      </c>
      <c r="O19" s="11">
        <f>INDEX(Assumptions!$F$4:$F$6,MATCH(L19,Assumptions!$E$4:$E$6,0))</f>
        <v/>
      </c>
      <c r="P19" s="29">
        <f>NORMSINV(O19)</f>
        <v/>
      </c>
      <c r="Q19" s="30">
        <f>IFERROR(AVERAGEIFS(PO_Lines!$R$2:$R$2025,PO_Lines!$B$2:$B$2025,$A19,PO_Lines!$Q$2:$Q$2025,1),INDEX(Items!$F$2:$F$117,MATCH($A19,Items!$A$2:$A$117,0)))</f>
        <v/>
      </c>
      <c r="R19" s="30">
        <f>IFERROR(SQRT(SUMPRODUCT((PO_Lines!$B$2:$B$2025=$A19)*PO_Lines!$Q$2:$Q$2025*(PO_Lines!$R$2:$R$2025-Q19)^2)/(COUNTIFS(PO_Lines!$B$2:$B$2025,$A19,PO_Lines!$Q$2:$Q$2025,1)-1)),0)</f>
        <v/>
      </c>
      <c r="S19" s="28">
        <f>ROUNDUP(P19*SQRT((Q19/Assumptions!$B$11)*H19^2+G19^2*(R19/Assumptions!$B$11)^2),0)</f>
        <v/>
      </c>
      <c r="T19" s="28">
        <f>ROUNDUP(G19*Q19/Assumptions!$B$11+S19,0)</f>
        <v/>
      </c>
      <c r="U19" s="28">
        <f>ROUNDUP(MAX(INDEX(Items!$G$2:$G$117,MATCH($A19,Items!$A$2:$A$117,0)),SQRT(2*F19*Assumptions!$B$5/(Assumptions!$B$6*E19)),G19*Assumptions!$B$16),0)</f>
        <v/>
      </c>
      <c r="V19" s="28">
        <f>INDEX(Stock_Snapshot!$B$2:$B$117,MATCH($A19,Stock_Snapshot!$A$2:$A$117,0))</f>
        <v/>
      </c>
      <c r="W19" s="28">
        <f>INDEX(Stock_Snapshot!$C$2:$C$117,MATCH($A19,Stock_Snapshot!$A$2:$A$117,0))</f>
        <v/>
      </c>
      <c r="X19" s="28">
        <f>V19+W19</f>
        <v/>
      </c>
      <c r="Y19" s="10">
        <f>IF(G19&gt;0,V19/(G19/Assumptions!$B$11),999)</f>
        <v/>
      </c>
      <c r="Z19" s="28">
        <f>S19+U19</f>
        <v/>
      </c>
      <c r="AA19" s="12">
        <f>IF(V19&lt;S19,"Below safety stock",IF(X19&lt;=T19,"Reorder now",IF(V19&gt;Z19,"Excess","Healthy")))</f>
        <v/>
      </c>
      <c r="AB19" s="16">
        <f>V19*E19</f>
        <v/>
      </c>
      <c r="AC19" s="16">
        <f>MAX(0,V19-Z19)*E19</f>
        <v/>
      </c>
      <c r="AD19" s="28">
        <f>IF(X19&lt;=T19,ROUNDUP(T19+U19-X19,0),0)</f>
        <v/>
      </c>
      <c r="AE19" s="16">
        <f>MAX(0,T19-X19)*E19</f>
        <v/>
      </c>
      <c r="AF19" s="31">
        <f>IF(INDEX(Stock_Snapshot!$D$2:$D$117,MATCH($A19,Stock_Snapshot!$A$2:$A$117,0))="","",INDEX(Stock_Snapshot!$D$2:$D$117,MATCH($A19,Stock_Snapshot!$A$2:$A$117,0)))</f>
        <v/>
      </c>
      <c r="AG19" s="12">
        <f>IF(AF19="","",IF(AF19&lt;=EDATE(Assumptions!$B$4,Assumptions!$B$12),"Expires &lt; "&amp;Assumptions!$B$12&amp;" m","OK"))</f>
        <v/>
      </c>
    </row>
    <row r="20">
      <c r="A20" s="12" t="inlineStr">
        <is>
          <t>CMD-0016</t>
        </is>
      </c>
      <c r="B20" s="12">
        <f>INDEX(Items!$B$2:$B$117,MATCH($A20,Items!$A$2:$A$117,0))</f>
        <v/>
      </c>
      <c r="C20" s="12">
        <f>INDEX(Items!$C$2:$C$117,MATCH($A20,Items!$A$2:$A$117,0))</f>
        <v/>
      </c>
      <c r="D20" s="12">
        <f>INDEX(Items!$D$2:$D$117,MATCH($A20,Items!$A$2:$A$117,0))</f>
        <v/>
      </c>
      <c r="E20" s="27">
        <f>INDEX(Items!$E$2:$E$117,MATCH($A20,Items!$A$2:$A$117,0))</f>
        <v/>
      </c>
      <c r="F20" s="28">
        <f>SUM(INDEX(Demand!$N$2:$Y$117,MATCH($A20,Demand!$A$2:$A$117,0),0))</f>
        <v/>
      </c>
      <c r="G20" s="28">
        <f>F20/12</f>
        <v/>
      </c>
      <c r="H20" s="28">
        <f>STDEV(INDEX(Demand!$N$2:$Y$117,MATCH($A20,Demand!$A$2:$A$117,0),0))</f>
        <v/>
      </c>
      <c r="I20" s="29">
        <f>IF(G20&gt;0,H20/G20,0)</f>
        <v/>
      </c>
      <c r="J20" s="16">
        <f>F20*E20</f>
        <v/>
      </c>
      <c r="K20" s="11">
        <f>SUMIF($J$5:$J$120,"&gt;="&amp;J20)/SUM($J$5:$J$120)</f>
        <v/>
      </c>
      <c r="L20" s="12">
        <f>IF(K20&lt;=Assumptions!$B$7,"A",IF(K20&lt;=Assumptions!$B$8,"B","C"))</f>
        <v/>
      </c>
      <c r="M20" s="12">
        <f>IF(I20&lt;=Assumptions!$B$9,"X",IF(I20&lt;=Assumptions!$B$10,"Y","Z"))</f>
        <v/>
      </c>
      <c r="N20" s="12">
        <f>L20&amp;M20</f>
        <v/>
      </c>
      <c r="O20" s="11">
        <f>INDEX(Assumptions!$F$4:$F$6,MATCH(L20,Assumptions!$E$4:$E$6,0))</f>
        <v/>
      </c>
      <c r="P20" s="29">
        <f>NORMSINV(O20)</f>
        <v/>
      </c>
      <c r="Q20" s="30">
        <f>IFERROR(AVERAGEIFS(PO_Lines!$R$2:$R$2025,PO_Lines!$B$2:$B$2025,$A20,PO_Lines!$Q$2:$Q$2025,1),INDEX(Items!$F$2:$F$117,MATCH($A20,Items!$A$2:$A$117,0)))</f>
        <v/>
      </c>
      <c r="R20" s="30">
        <f>IFERROR(SQRT(SUMPRODUCT((PO_Lines!$B$2:$B$2025=$A20)*PO_Lines!$Q$2:$Q$2025*(PO_Lines!$R$2:$R$2025-Q20)^2)/(COUNTIFS(PO_Lines!$B$2:$B$2025,$A20,PO_Lines!$Q$2:$Q$2025,1)-1)),0)</f>
        <v/>
      </c>
      <c r="S20" s="28">
        <f>ROUNDUP(P20*SQRT((Q20/Assumptions!$B$11)*H20^2+G20^2*(R20/Assumptions!$B$11)^2),0)</f>
        <v/>
      </c>
      <c r="T20" s="28">
        <f>ROUNDUP(G20*Q20/Assumptions!$B$11+S20,0)</f>
        <v/>
      </c>
      <c r="U20" s="28">
        <f>ROUNDUP(MAX(INDEX(Items!$G$2:$G$117,MATCH($A20,Items!$A$2:$A$117,0)),SQRT(2*F20*Assumptions!$B$5/(Assumptions!$B$6*E20)),G20*Assumptions!$B$16),0)</f>
        <v/>
      </c>
      <c r="V20" s="28">
        <f>INDEX(Stock_Snapshot!$B$2:$B$117,MATCH($A20,Stock_Snapshot!$A$2:$A$117,0))</f>
        <v/>
      </c>
      <c r="W20" s="28">
        <f>INDEX(Stock_Snapshot!$C$2:$C$117,MATCH($A20,Stock_Snapshot!$A$2:$A$117,0))</f>
        <v/>
      </c>
      <c r="X20" s="28">
        <f>V20+W20</f>
        <v/>
      </c>
      <c r="Y20" s="10">
        <f>IF(G20&gt;0,V20/(G20/Assumptions!$B$11),999)</f>
        <v/>
      </c>
      <c r="Z20" s="28">
        <f>S20+U20</f>
        <v/>
      </c>
      <c r="AA20" s="12">
        <f>IF(V20&lt;S20,"Below safety stock",IF(X20&lt;=T20,"Reorder now",IF(V20&gt;Z20,"Excess","Healthy")))</f>
        <v/>
      </c>
      <c r="AB20" s="16">
        <f>V20*E20</f>
        <v/>
      </c>
      <c r="AC20" s="16">
        <f>MAX(0,V20-Z20)*E20</f>
        <v/>
      </c>
      <c r="AD20" s="28">
        <f>IF(X20&lt;=T20,ROUNDUP(T20+U20-X20,0),0)</f>
        <v/>
      </c>
      <c r="AE20" s="16">
        <f>MAX(0,T20-X20)*E20</f>
        <v/>
      </c>
      <c r="AF20" s="31">
        <f>IF(INDEX(Stock_Snapshot!$D$2:$D$117,MATCH($A20,Stock_Snapshot!$A$2:$A$117,0))="","",INDEX(Stock_Snapshot!$D$2:$D$117,MATCH($A20,Stock_Snapshot!$A$2:$A$117,0)))</f>
        <v/>
      </c>
      <c r="AG20" s="12">
        <f>IF(AF20="","",IF(AF20&lt;=EDATE(Assumptions!$B$4,Assumptions!$B$12),"Expires &lt; "&amp;Assumptions!$B$12&amp;" m","OK"))</f>
        <v/>
      </c>
    </row>
    <row r="21">
      <c r="A21" s="12" t="inlineStr">
        <is>
          <t>CMD-0017</t>
        </is>
      </c>
      <c r="B21" s="12">
        <f>INDEX(Items!$B$2:$B$117,MATCH($A21,Items!$A$2:$A$117,0))</f>
        <v/>
      </c>
      <c r="C21" s="12">
        <f>INDEX(Items!$C$2:$C$117,MATCH($A21,Items!$A$2:$A$117,0))</f>
        <v/>
      </c>
      <c r="D21" s="12">
        <f>INDEX(Items!$D$2:$D$117,MATCH($A21,Items!$A$2:$A$117,0))</f>
        <v/>
      </c>
      <c r="E21" s="27">
        <f>INDEX(Items!$E$2:$E$117,MATCH($A21,Items!$A$2:$A$117,0))</f>
        <v/>
      </c>
      <c r="F21" s="28">
        <f>SUM(INDEX(Demand!$N$2:$Y$117,MATCH($A21,Demand!$A$2:$A$117,0),0))</f>
        <v/>
      </c>
      <c r="G21" s="28">
        <f>F21/12</f>
        <v/>
      </c>
      <c r="H21" s="28">
        <f>STDEV(INDEX(Demand!$N$2:$Y$117,MATCH($A21,Demand!$A$2:$A$117,0),0))</f>
        <v/>
      </c>
      <c r="I21" s="29">
        <f>IF(G21&gt;0,H21/G21,0)</f>
        <v/>
      </c>
      <c r="J21" s="16">
        <f>F21*E21</f>
        <v/>
      </c>
      <c r="K21" s="11">
        <f>SUMIF($J$5:$J$120,"&gt;="&amp;J21)/SUM($J$5:$J$120)</f>
        <v/>
      </c>
      <c r="L21" s="12">
        <f>IF(K21&lt;=Assumptions!$B$7,"A",IF(K21&lt;=Assumptions!$B$8,"B","C"))</f>
        <v/>
      </c>
      <c r="M21" s="12">
        <f>IF(I21&lt;=Assumptions!$B$9,"X",IF(I21&lt;=Assumptions!$B$10,"Y","Z"))</f>
        <v/>
      </c>
      <c r="N21" s="12">
        <f>L21&amp;M21</f>
        <v/>
      </c>
      <c r="O21" s="11">
        <f>INDEX(Assumptions!$F$4:$F$6,MATCH(L21,Assumptions!$E$4:$E$6,0))</f>
        <v/>
      </c>
      <c r="P21" s="29">
        <f>NORMSINV(O21)</f>
        <v/>
      </c>
      <c r="Q21" s="30">
        <f>IFERROR(AVERAGEIFS(PO_Lines!$R$2:$R$2025,PO_Lines!$B$2:$B$2025,$A21,PO_Lines!$Q$2:$Q$2025,1),INDEX(Items!$F$2:$F$117,MATCH($A21,Items!$A$2:$A$117,0)))</f>
        <v/>
      </c>
      <c r="R21" s="30">
        <f>IFERROR(SQRT(SUMPRODUCT((PO_Lines!$B$2:$B$2025=$A21)*PO_Lines!$Q$2:$Q$2025*(PO_Lines!$R$2:$R$2025-Q21)^2)/(COUNTIFS(PO_Lines!$B$2:$B$2025,$A21,PO_Lines!$Q$2:$Q$2025,1)-1)),0)</f>
        <v/>
      </c>
      <c r="S21" s="28">
        <f>ROUNDUP(P21*SQRT((Q21/Assumptions!$B$11)*H21^2+G21^2*(R21/Assumptions!$B$11)^2),0)</f>
        <v/>
      </c>
      <c r="T21" s="28">
        <f>ROUNDUP(G21*Q21/Assumptions!$B$11+S21,0)</f>
        <v/>
      </c>
      <c r="U21" s="28">
        <f>ROUNDUP(MAX(INDEX(Items!$G$2:$G$117,MATCH($A21,Items!$A$2:$A$117,0)),SQRT(2*F21*Assumptions!$B$5/(Assumptions!$B$6*E21)),G21*Assumptions!$B$16),0)</f>
        <v/>
      </c>
      <c r="V21" s="28">
        <f>INDEX(Stock_Snapshot!$B$2:$B$117,MATCH($A21,Stock_Snapshot!$A$2:$A$117,0))</f>
        <v/>
      </c>
      <c r="W21" s="28">
        <f>INDEX(Stock_Snapshot!$C$2:$C$117,MATCH($A21,Stock_Snapshot!$A$2:$A$117,0))</f>
        <v/>
      </c>
      <c r="X21" s="28">
        <f>V21+W21</f>
        <v/>
      </c>
      <c r="Y21" s="10">
        <f>IF(G21&gt;0,V21/(G21/Assumptions!$B$11),999)</f>
        <v/>
      </c>
      <c r="Z21" s="28">
        <f>S21+U21</f>
        <v/>
      </c>
      <c r="AA21" s="12">
        <f>IF(V21&lt;S21,"Below safety stock",IF(X21&lt;=T21,"Reorder now",IF(V21&gt;Z21,"Excess","Healthy")))</f>
        <v/>
      </c>
      <c r="AB21" s="16">
        <f>V21*E21</f>
        <v/>
      </c>
      <c r="AC21" s="16">
        <f>MAX(0,V21-Z21)*E21</f>
        <v/>
      </c>
      <c r="AD21" s="28">
        <f>IF(X21&lt;=T21,ROUNDUP(T21+U21-X21,0),0)</f>
        <v/>
      </c>
      <c r="AE21" s="16">
        <f>MAX(0,T21-X21)*E21</f>
        <v/>
      </c>
      <c r="AF21" s="31">
        <f>IF(INDEX(Stock_Snapshot!$D$2:$D$117,MATCH($A21,Stock_Snapshot!$A$2:$A$117,0))="","",INDEX(Stock_Snapshot!$D$2:$D$117,MATCH($A21,Stock_Snapshot!$A$2:$A$117,0)))</f>
        <v/>
      </c>
      <c r="AG21" s="12">
        <f>IF(AF21="","",IF(AF21&lt;=EDATE(Assumptions!$B$4,Assumptions!$B$12),"Expires &lt; "&amp;Assumptions!$B$12&amp;" m","OK"))</f>
        <v/>
      </c>
    </row>
    <row r="22">
      <c r="A22" s="12" t="inlineStr">
        <is>
          <t>CMD-0018</t>
        </is>
      </c>
      <c r="B22" s="12">
        <f>INDEX(Items!$B$2:$B$117,MATCH($A22,Items!$A$2:$A$117,0))</f>
        <v/>
      </c>
      <c r="C22" s="12">
        <f>INDEX(Items!$C$2:$C$117,MATCH($A22,Items!$A$2:$A$117,0))</f>
        <v/>
      </c>
      <c r="D22" s="12">
        <f>INDEX(Items!$D$2:$D$117,MATCH($A22,Items!$A$2:$A$117,0))</f>
        <v/>
      </c>
      <c r="E22" s="27">
        <f>INDEX(Items!$E$2:$E$117,MATCH($A22,Items!$A$2:$A$117,0))</f>
        <v/>
      </c>
      <c r="F22" s="28">
        <f>SUM(INDEX(Demand!$N$2:$Y$117,MATCH($A22,Demand!$A$2:$A$117,0),0))</f>
        <v/>
      </c>
      <c r="G22" s="28">
        <f>F22/12</f>
        <v/>
      </c>
      <c r="H22" s="28">
        <f>STDEV(INDEX(Demand!$N$2:$Y$117,MATCH($A22,Demand!$A$2:$A$117,0),0))</f>
        <v/>
      </c>
      <c r="I22" s="29">
        <f>IF(G22&gt;0,H22/G22,0)</f>
        <v/>
      </c>
      <c r="J22" s="16">
        <f>F22*E22</f>
        <v/>
      </c>
      <c r="K22" s="11">
        <f>SUMIF($J$5:$J$120,"&gt;="&amp;J22)/SUM($J$5:$J$120)</f>
        <v/>
      </c>
      <c r="L22" s="12">
        <f>IF(K22&lt;=Assumptions!$B$7,"A",IF(K22&lt;=Assumptions!$B$8,"B","C"))</f>
        <v/>
      </c>
      <c r="M22" s="12">
        <f>IF(I22&lt;=Assumptions!$B$9,"X",IF(I22&lt;=Assumptions!$B$10,"Y","Z"))</f>
        <v/>
      </c>
      <c r="N22" s="12">
        <f>L22&amp;M22</f>
        <v/>
      </c>
      <c r="O22" s="11">
        <f>INDEX(Assumptions!$F$4:$F$6,MATCH(L22,Assumptions!$E$4:$E$6,0))</f>
        <v/>
      </c>
      <c r="P22" s="29">
        <f>NORMSINV(O22)</f>
        <v/>
      </c>
      <c r="Q22" s="30">
        <f>IFERROR(AVERAGEIFS(PO_Lines!$R$2:$R$2025,PO_Lines!$B$2:$B$2025,$A22,PO_Lines!$Q$2:$Q$2025,1),INDEX(Items!$F$2:$F$117,MATCH($A22,Items!$A$2:$A$117,0)))</f>
        <v/>
      </c>
      <c r="R22" s="30">
        <f>IFERROR(SQRT(SUMPRODUCT((PO_Lines!$B$2:$B$2025=$A22)*PO_Lines!$Q$2:$Q$2025*(PO_Lines!$R$2:$R$2025-Q22)^2)/(COUNTIFS(PO_Lines!$B$2:$B$2025,$A22,PO_Lines!$Q$2:$Q$2025,1)-1)),0)</f>
        <v/>
      </c>
      <c r="S22" s="28">
        <f>ROUNDUP(P22*SQRT((Q22/Assumptions!$B$11)*H22^2+G22^2*(R22/Assumptions!$B$11)^2),0)</f>
        <v/>
      </c>
      <c r="T22" s="28">
        <f>ROUNDUP(G22*Q22/Assumptions!$B$11+S22,0)</f>
        <v/>
      </c>
      <c r="U22" s="28">
        <f>ROUNDUP(MAX(INDEX(Items!$G$2:$G$117,MATCH($A22,Items!$A$2:$A$117,0)),SQRT(2*F22*Assumptions!$B$5/(Assumptions!$B$6*E22)),G22*Assumptions!$B$16),0)</f>
        <v/>
      </c>
      <c r="V22" s="28">
        <f>INDEX(Stock_Snapshot!$B$2:$B$117,MATCH($A22,Stock_Snapshot!$A$2:$A$117,0))</f>
        <v/>
      </c>
      <c r="W22" s="28">
        <f>INDEX(Stock_Snapshot!$C$2:$C$117,MATCH($A22,Stock_Snapshot!$A$2:$A$117,0))</f>
        <v/>
      </c>
      <c r="X22" s="28">
        <f>V22+W22</f>
        <v/>
      </c>
      <c r="Y22" s="10">
        <f>IF(G22&gt;0,V22/(G22/Assumptions!$B$11),999)</f>
        <v/>
      </c>
      <c r="Z22" s="28">
        <f>S22+U22</f>
        <v/>
      </c>
      <c r="AA22" s="12">
        <f>IF(V22&lt;S22,"Below safety stock",IF(X22&lt;=T22,"Reorder now",IF(V22&gt;Z22,"Excess","Healthy")))</f>
        <v/>
      </c>
      <c r="AB22" s="16">
        <f>V22*E22</f>
        <v/>
      </c>
      <c r="AC22" s="16">
        <f>MAX(0,V22-Z22)*E22</f>
        <v/>
      </c>
      <c r="AD22" s="28">
        <f>IF(X22&lt;=T22,ROUNDUP(T22+U22-X22,0),0)</f>
        <v/>
      </c>
      <c r="AE22" s="16">
        <f>MAX(0,T22-X22)*E22</f>
        <v/>
      </c>
      <c r="AF22" s="31">
        <f>IF(INDEX(Stock_Snapshot!$D$2:$D$117,MATCH($A22,Stock_Snapshot!$A$2:$A$117,0))="","",INDEX(Stock_Snapshot!$D$2:$D$117,MATCH($A22,Stock_Snapshot!$A$2:$A$117,0)))</f>
        <v/>
      </c>
      <c r="AG22" s="12">
        <f>IF(AF22="","",IF(AF22&lt;=EDATE(Assumptions!$B$4,Assumptions!$B$12),"Expires &lt; "&amp;Assumptions!$B$12&amp;" m","OK"))</f>
        <v/>
      </c>
    </row>
    <row r="23">
      <c r="A23" s="12" t="inlineStr">
        <is>
          <t>CMD-0019</t>
        </is>
      </c>
      <c r="B23" s="12">
        <f>INDEX(Items!$B$2:$B$117,MATCH($A23,Items!$A$2:$A$117,0))</f>
        <v/>
      </c>
      <c r="C23" s="12">
        <f>INDEX(Items!$C$2:$C$117,MATCH($A23,Items!$A$2:$A$117,0))</f>
        <v/>
      </c>
      <c r="D23" s="12">
        <f>INDEX(Items!$D$2:$D$117,MATCH($A23,Items!$A$2:$A$117,0))</f>
        <v/>
      </c>
      <c r="E23" s="27">
        <f>INDEX(Items!$E$2:$E$117,MATCH($A23,Items!$A$2:$A$117,0))</f>
        <v/>
      </c>
      <c r="F23" s="28">
        <f>SUM(INDEX(Demand!$N$2:$Y$117,MATCH($A23,Demand!$A$2:$A$117,0),0))</f>
        <v/>
      </c>
      <c r="G23" s="28">
        <f>F23/12</f>
        <v/>
      </c>
      <c r="H23" s="28">
        <f>STDEV(INDEX(Demand!$N$2:$Y$117,MATCH($A23,Demand!$A$2:$A$117,0),0))</f>
        <v/>
      </c>
      <c r="I23" s="29">
        <f>IF(G23&gt;0,H23/G23,0)</f>
        <v/>
      </c>
      <c r="J23" s="16">
        <f>F23*E23</f>
        <v/>
      </c>
      <c r="K23" s="11">
        <f>SUMIF($J$5:$J$120,"&gt;="&amp;J23)/SUM($J$5:$J$120)</f>
        <v/>
      </c>
      <c r="L23" s="12">
        <f>IF(K23&lt;=Assumptions!$B$7,"A",IF(K23&lt;=Assumptions!$B$8,"B","C"))</f>
        <v/>
      </c>
      <c r="M23" s="12">
        <f>IF(I23&lt;=Assumptions!$B$9,"X",IF(I23&lt;=Assumptions!$B$10,"Y","Z"))</f>
        <v/>
      </c>
      <c r="N23" s="12">
        <f>L23&amp;M23</f>
        <v/>
      </c>
      <c r="O23" s="11">
        <f>INDEX(Assumptions!$F$4:$F$6,MATCH(L23,Assumptions!$E$4:$E$6,0))</f>
        <v/>
      </c>
      <c r="P23" s="29">
        <f>NORMSINV(O23)</f>
        <v/>
      </c>
      <c r="Q23" s="30">
        <f>IFERROR(AVERAGEIFS(PO_Lines!$R$2:$R$2025,PO_Lines!$B$2:$B$2025,$A23,PO_Lines!$Q$2:$Q$2025,1),INDEX(Items!$F$2:$F$117,MATCH($A23,Items!$A$2:$A$117,0)))</f>
        <v/>
      </c>
      <c r="R23" s="30">
        <f>IFERROR(SQRT(SUMPRODUCT((PO_Lines!$B$2:$B$2025=$A23)*PO_Lines!$Q$2:$Q$2025*(PO_Lines!$R$2:$R$2025-Q23)^2)/(COUNTIFS(PO_Lines!$B$2:$B$2025,$A23,PO_Lines!$Q$2:$Q$2025,1)-1)),0)</f>
        <v/>
      </c>
      <c r="S23" s="28">
        <f>ROUNDUP(P23*SQRT((Q23/Assumptions!$B$11)*H23^2+G23^2*(R23/Assumptions!$B$11)^2),0)</f>
        <v/>
      </c>
      <c r="T23" s="28">
        <f>ROUNDUP(G23*Q23/Assumptions!$B$11+S23,0)</f>
        <v/>
      </c>
      <c r="U23" s="28">
        <f>ROUNDUP(MAX(INDEX(Items!$G$2:$G$117,MATCH($A23,Items!$A$2:$A$117,0)),SQRT(2*F23*Assumptions!$B$5/(Assumptions!$B$6*E23)),G23*Assumptions!$B$16),0)</f>
        <v/>
      </c>
      <c r="V23" s="28">
        <f>INDEX(Stock_Snapshot!$B$2:$B$117,MATCH($A23,Stock_Snapshot!$A$2:$A$117,0))</f>
        <v/>
      </c>
      <c r="W23" s="28">
        <f>INDEX(Stock_Snapshot!$C$2:$C$117,MATCH($A23,Stock_Snapshot!$A$2:$A$117,0))</f>
        <v/>
      </c>
      <c r="X23" s="28">
        <f>V23+W23</f>
        <v/>
      </c>
      <c r="Y23" s="10">
        <f>IF(G23&gt;0,V23/(G23/Assumptions!$B$11),999)</f>
        <v/>
      </c>
      <c r="Z23" s="28">
        <f>S23+U23</f>
        <v/>
      </c>
      <c r="AA23" s="12">
        <f>IF(V23&lt;S23,"Below safety stock",IF(X23&lt;=T23,"Reorder now",IF(V23&gt;Z23,"Excess","Healthy")))</f>
        <v/>
      </c>
      <c r="AB23" s="16">
        <f>V23*E23</f>
        <v/>
      </c>
      <c r="AC23" s="16">
        <f>MAX(0,V23-Z23)*E23</f>
        <v/>
      </c>
      <c r="AD23" s="28">
        <f>IF(X23&lt;=T23,ROUNDUP(T23+U23-X23,0),0)</f>
        <v/>
      </c>
      <c r="AE23" s="16">
        <f>MAX(0,T23-X23)*E23</f>
        <v/>
      </c>
      <c r="AF23" s="31">
        <f>IF(INDEX(Stock_Snapshot!$D$2:$D$117,MATCH($A23,Stock_Snapshot!$A$2:$A$117,0))="","",INDEX(Stock_Snapshot!$D$2:$D$117,MATCH($A23,Stock_Snapshot!$A$2:$A$117,0)))</f>
        <v/>
      </c>
      <c r="AG23" s="12">
        <f>IF(AF23="","",IF(AF23&lt;=EDATE(Assumptions!$B$4,Assumptions!$B$12),"Expires &lt; "&amp;Assumptions!$B$12&amp;" m","OK"))</f>
        <v/>
      </c>
    </row>
    <row r="24">
      <c r="A24" s="12" t="inlineStr">
        <is>
          <t>CMD-0020</t>
        </is>
      </c>
      <c r="B24" s="12">
        <f>INDEX(Items!$B$2:$B$117,MATCH($A24,Items!$A$2:$A$117,0))</f>
        <v/>
      </c>
      <c r="C24" s="12">
        <f>INDEX(Items!$C$2:$C$117,MATCH($A24,Items!$A$2:$A$117,0))</f>
        <v/>
      </c>
      <c r="D24" s="12">
        <f>INDEX(Items!$D$2:$D$117,MATCH($A24,Items!$A$2:$A$117,0))</f>
        <v/>
      </c>
      <c r="E24" s="27">
        <f>INDEX(Items!$E$2:$E$117,MATCH($A24,Items!$A$2:$A$117,0))</f>
        <v/>
      </c>
      <c r="F24" s="28">
        <f>SUM(INDEX(Demand!$N$2:$Y$117,MATCH($A24,Demand!$A$2:$A$117,0),0))</f>
        <v/>
      </c>
      <c r="G24" s="28">
        <f>F24/12</f>
        <v/>
      </c>
      <c r="H24" s="28">
        <f>STDEV(INDEX(Demand!$N$2:$Y$117,MATCH($A24,Demand!$A$2:$A$117,0),0))</f>
        <v/>
      </c>
      <c r="I24" s="29">
        <f>IF(G24&gt;0,H24/G24,0)</f>
        <v/>
      </c>
      <c r="J24" s="16">
        <f>F24*E24</f>
        <v/>
      </c>
      <c r="K24" s="11">
        <f>SUMIF($J$5:$J$120,"&gt;="&amp;J24)/SUM($J$5:$J$120)</f>
        <v/>
      </c>
      <c r="L24" s="12">
        <f>IF(K24&lt;=Assumptions!$B$7,"A",IF(K24&lt;=Assumptions!$B$8,"B","C"))</f>
        <v/>
      </c>
      <c r="M24" s="12">
        <f>IF(I24&lt;=Assumptions!$B$9,"X",IF(I24&lt;=Assumptions!$B$10,"Y","Z"))</f>
        <v/>
      </c>
      <c r="N24" s="12">
        <f>L24&amp;M24</f>
        <v/>
      </c>
      <c r="O24" s="11">
        <f>INDEX(Assumptions!$F$4:$F$6,MATCH(L24,Assumptions!$E$4:$E$6,0))</f>
        <v/>
      </c>
      <c r="P24" s="29">
        <f>NORMSINV(O24)</f>
        <v/>
      </c>
      <c r="Q24" s="30">
        <f>IFERROR(AVERAGEIFS(PO_Lines!$R$2:$R$2025,PO_Lines!$B$2:$B$2025,$A24,PO_Lines!$Q$2:$Q$2025,1),INDEX(Items!$F$2:$F$117,MATCH($A24,Items!$A$2:$A$117,0)))</f>
        <v/>
      </c>
      <c r="R24" s="30">
        <f>IFERROR(SQRT(SUMPRODUCT((PO_Lines!$B$2:$B$2025=$A24)*PO_Lines!$Q$2:$Q$2025*(PO_Lines!$R$2:$R$2025-Q24)^2)/(COUNTIFS(PO_Lines!$B$2:$B$2025,$A24,PO_Lines!$Q$2:$Q$2025,1)-1)),0)</f>
        <v/>
      </c>
      <c r="S24" s="28">
        <f>ROUNDUP(P24*SQRT((Q24/Assumptions!$B$11)*H24^2+G24^2*(R24/Assumptions!$B$11)^2),0)</f>
        <v/>
      </c>
      <c r="T24" s="28">
        <f>ROUNDUP(G24*Q24/Assumptions!$B$11+S24,0)</f>
        <v/>
      </c>
      <c r="U24" s="28">
        <f>ROUNDUP(MAX(INDEX(Items!$G$2:$G$117,MATCH($A24,Items!$A$2:$A$117,0)),SQRT(2*F24*Assumptions!$B$5/(Assumptions!$B$6*E24)),G24*Assumptions!$B$16),0)</f>
        <v/>
      </c>
      <c r="V24" s="28">
        <f>INDEX(Stock_Snapshot!$B$2:$B$117,MATCH($A24,Stock_Snapshot!$A$2:$A$117,0))</f>
        <v/>
      </c>
      <c r="W24" s="28">
        <f>INDEX(Stock_Snapshot!$C$2:$C$117,MATCH($A24,Stock_Snapshot!$A$2:$A$117,0))</f>
        <v/>
      </c>
      <c r="X24" s="28">
        <f>V24+W24</f>
        <v/>
      </c>
      <c r="Y24" s="10">
        <f>IF(G24&gt;0,V24/(G24/Assumptions!$B$11),999)</f>
        <v/>
      </c>
      <c r="Z24" s="28">
        <f>S24+U24</f>
        <v/>
      </c>
      <c r="AA24" s="12">
        <f>IF(V24&lt;S24,"Below safety stock",IF(X24&lt;=T24,"Reorder now",IF(V24&gt;Z24,"Excess","Healthy")))</f>
        <v/>
      </c>
      <c r="AB24" s="16">
        <f>V24*E24</f>
        <v/>
      </c>
      <c r="AC24" s="16">
        <f>MAX(0,V24-Z24)*E24</f>
        <v/>
      </c>
      <c r="AD24" s="28">
        <f>IF(X24&lt;=T24,ROUNDUP(T24+U24-X24,0),0)</f>
        <v/>
      </c>
      <c r="AE24" s="16">
        <f>MAX(0,T24-X24)*E24</f>
        <v/>
      </c>
      <c r="AF24" s="31">
        <f>IF(INDEX(Stock_Snapshot!$D$2:$D$117,MATCH($A24,Stock_Snapshot!$A$2:$A$117,0))="","",INDEX(Stock_Snapshot!$D$2:$D$117,MATCH($A24,Stock_Snapshot!$A$2:$A$117,0)))</f>
        <v/>
      </c>
      <c r="AG24" s="12">
        <f>IF(AF24="","",IF(AF24&lt;=EDATE(Assumptions!$B$4,Assumptions!$B$12),"Expires &lt; "&amp;Assumptions!$B$12&amp;" m","OK"))</f>
        <v/>
      </c>
    </row>
    <row r="25">
      <c r="A25" s="12" t="inlineStr">
        <is>
          <t>CMD-0021</t>
        </is>
      </c>
      <c r="B25" s="12">
        <f>INDEX(Items!$B$2:$B$117,MATCH($A25,Items!$A$2:$A$117,0))</f>
        <v/>
      </c>
      <c r="C25" s="12">
        <f>INDEX(Items!$C$2:$C$117,MATCH($A25,Items!$A$2:$A$117,0))</f>
        <v/>
      </c>
      <c r="D25" s="12">
        <f>INDEX(Items!$D$2:$D$117,MATCH($A25,Items!$A$2:$A$117,0))</f>
        <v/>
      </c>
      <c r="E25" s="27">
        <f>INDEX(Items!$E$2:$E$117,MATCH($A25,Items!$A$2:$A$117,0))</f>
        <v/>
      </c>
      <c r="F25" s="28">
        <f>SUM(INDEX(Demand!$N$2:$Y$117,MATCH($A25,Demand!$A$2:$A$117,0),0))</f>
        <v/>
      </c>
      <c r="G25" s="28">
        <f>F25/12</f>
        <v/>
      </c>
      <c r="H25" s="28">
        <f>STDEV(INDEX(Demand!$N$2:$Y$117,MATCH($A25,Demand!$A$2:$A$117,0),0))</f>
        <v/>
      </c>
      <c r="I25" s="29">
        <f>IF(G25&gt;0,H25/G25,0)</f>
        <v/>
      </c>
      <c r="J25" s="16">
        <f>F25*E25</f>
        <v/>
      </c>
      <c r="K25" s="11">
        <f>SUMIF($J$5:$J$120,"&gt;="&amp;J25)/SUM($J$5:$J$120)</f>
        <v/>
      </c>
      <c r="L25" s="12">
        <f>IF(K25&lt;=Assumptions!$B$7,"A",IF(K25&lt;=Assumptions!$B$8,"B","C"))</f>
        <v/>
      </c>
      <c r="M25" s="12">
        <f>IF(I25&lt;=Assumptions!$B$9,"X",IF(I25&lt;=Assumptions!$B$10,"Y","Z"))</f>
        <v/>
      </c>
      <c r="N25" s="12">
        <f>L25&amp;M25</f>
        <v/>
      </c>
      <c r="O25" s="11">
        <f>INDEX(Assumptions!$F$4:$F$6,MATCH(L25,Assumptions!$E$4:$E$6,0))</f>
        <v/>
      </c>
      <c r="P25" s="29">
        <f>NORMSINV(O25)</f>
        <v/>
      </c>
      <c r="Q25" s="30">
        <f>IFERROR(AVERAGEIFS(PO_Lines!$R$2:$R$2025,PO_Lines!$B$2:$B$2025,$A25,PO_Lines!$Q$2:$Q$2025,1),INDEX(Items!$F$2:$F$117,MATCH($A25,Items!$A$2:$A$117,0)))</f>
        <v/>
      </c>
      <c r="R25" s="30">
        <f>IFERROR(SQRT(SUMPRODUCT((PO_Lines!$B$2:$B$2025=$A25)*PO_Lines!$Q$2:$Q$2025*(PO_Lines!$R$2:$R$2025-Q25)^2)/(COUNTIFS(PO_Lines!$B$2:$B$2025,$A25,PO_Lines!$Q$2:$Q$2025,1)-1)),0)</f>
        <v/>
      </c>
      <c r="S25" s="28">
        <f>ROUNDUP(P25*SQRT((Q25/Assumptions!$B$11)*H25^2+G25^2*(R25/Assumptions!$B$11)^2),0)</f>
        <v/>
      </c>
      <c r="T25" s="28">
        <f>ROUNDUP(G25*Q25/Assumptions!$B$11+S25,0)</f>
        <v/>
      </c>
      <c r="U25" s="28">
        <f>ROUNDUP(MAX(INDEX(Items!$G$2:$G$117,MATCH($A25,Items!$A$2:$A$117,0)),SQRT(2*F25*Assumptions!$B$5/(Assumptions!$B$6*E25)),G25*Assumptions!$B$16),0)</f>
        <v/>
      </c>
      <c r="V25" s="28">
        <f>INDEX(Stock_Snapshot!$B$2:$B$117,MATCH($A25,Stock_Snapshot!$A$2:$A$117,0))</f>
        <v/>
      </c>
      <c r="W25" s="28">
        <f>INDEX(Stock_Snapshot!$C$2:$C$117,MATCH($A25,Stock_Snapshot!$A$2:$A$117,0))</f>
        <v/>
      </c>
      <c r="X25" s="28">
        <f>V25+W25</f>
        <v/>
      </c>
      <c r="Y25" s="10">
        <f>IF(G25&gt;0,V25/(G25/Assumptions!$B$11),999)</f>
        <v/>
      </c>
      <c r="Z25" s="28">
        <f>S25+U25</f>
        <v/>
      </c>
      <c r="AA25" s="12">
        <f>IF(V25&lt;S25,"Below safety stock",IF(X25&lt;=T25,"Reorder now",IF(V25&gt;Z25,"Excess","Healthy")))</f>
        <v/>
      </c>
      <c r="AB25" s="16">
        <f>V25*E25</f>
        <v/>
      </c>
      <c r="AC25" s="16">
        <f>MAX(0,V25-Z25)*E25</f>
        <v/>
      </c>
      <c r="AD25" s="28">
        <f>IF(X25&lt;=T25,ROUNDUP(T25+U25-X25,0),0)</f>
        <v/>
      </c>
      <c r="AE25" s="16">
        <f>MAX(0,T25-X25)*E25</f>
        <v/>
      </c>
      <c r="AF25" s="31">
        <f>IF(INDEX(Stock_Snapshot!$D$2:$D$117,MATCH($A25,Stock_Snapshot!$A$2:$A$117,0))="","",INDEX(Stock_Snapshot!$D$2:$D$117,MATCH($A25,Stock_Snapshot!$A$2:$A$117,0)))</f>
        <v/>
      </c>
      <c r="AG25" s="12">
        <f>IF(AF25="","",IF(AF25&lt;=EDATE(Assumptions!$B$4,Assumptions!$B$12),"Expires &lt; "&amp;Assumptions!$B$12&amp;" m","OK"))</f>
        <v/>
      </c>
    </row>
    <row r="26">
      <c r="A26" s="12" t="inlineStr">
        <is>
          <t>CMD-0022</t>
        </is>
      </c>
      <c r="B26" s="12">
        <f>INDEX(Items!$B$2:$B$117,MATCH($A26,Items!$A$2:$A$117,0))</f>
        <v/>
      </c>
      <c r="C26" s="12">
        <f>INDEX(Items!$C$2:$C$117,MATCH($A26,Items!$A$2:$A$117,0))</f>
        <v/>
      </c>
      <c r="D26" s="12">
        <f>INDEX(Items!$D$2:$D$117,MATCH($A26,Items!$A$2:$A$117,0))</f>
        <v/>
      </c>
      <c r="E26" s="27">
        <f>INDEX(Items!$E$2:$E$117,MATCH($A26,Items!$A$2:$A$117,0))</f>
        <v/>
      </c>
      <c r="F26" s="28">
        <f>SUM(INDEX(Demand!$N$2:$Y$117,MATCH($A26,Demand!$A$2:$A$117,0),0))</f>
        <v/>
      </c>
      <c r="G26" s="28">
        <f>F26/12</f>
        <v/>
      </c>
      <c r="H26" s="28">
        <f>STDEV(INDEX(Demand!$N$2:$Y$117,MATCH($A26,Demand!$A$2:$A$117,0),0))</f>
        <v/>
      </c>
      <c r="I26" s="29">
        <f>IF(G26&gt;0,H26/G26,0)</f>
        <v/>
      </c>
      <c r="J26" s="16">
        <f>F26*E26</f>
        <v/>
      </c>
      <c r="K26" s="11">
        <f>SUMIF($J$5:$J$120,"&gt;="&amp;J26)/SUM($J$5:$J$120)</f>
        <v/>
      </c>
      <c r="L26" s="12">
        <f>IF(K26&lt;=Assumptions!$B$7,"A",IF(K26&lt;=Assumptions!$B$8,"B","C"))</f>
        <v/>
      </c>
      <c r="M26" s="12">
        <f>IF(I26&lt;=Assumptions!$B$9,"X",IF(I26&lt;=Assumptions!$B$10,"Y","Z"))</f>
        <v/>
      </c>
      <c r="N26" s="12">
        <f>L26&amp;M26</f>
        <v/>
      </c>
      <c r="O26" s="11">
        <f>INDEX(Assumptions!$F$4:$F$6,MATCH(L26,Assumptions!$E$4:$E$6,0))</f>
        <v/>
      </c>
      <c r="P26" s="29">
        <f>NORMSINV(O26)</f>
        <v/>
      </c>
      <c r="Q26" s="30">
        <f>IFERROR(AVERAGEIFS(PO_Lines!$R$2:$R$2025,PO_Lines!$B$2:$B$2025,$A26,PO_Lines!$Q$2:$Q$2025,1),INDEX(Items!$F$2:$F$117,MATCH($A26,Items!$A$2:$A$117,0)))</f>
        <v/>
      </c>
      <c r="R26" s="30">
        <f>IFERROR(SQRT(SUMPRODUCT((PO_Lines!$B$2:$B$2025=$A26)*PO_Lines!$Q$2:$Q$2025*(PO_Lines!$R$2:$R$2025-Q26)^2)/(COUNTIFS(PO_Lines!$B$2:$B$2025,$A26,PO_Lines!$Q$2:$Q$2025,1)-1)),0)</f>
        <v/>
      </c>
      <c r="S26" s="28">
        <f>ROUNDUP(P26*SQRT((Q26/Assumptions!$B$11)*H26^2+G26^2*(R26/Assumptions!$B$11)^2),0)</f>
        <v/>
      </c>
      <c r="T26" s="28">
        <f>ROUNDUP(G26*Q26/Assumptions!$B$11+S26,0)</f>
        <v/>
      </c>
      <c r="U26" s="28">
        <f>ROUNDUP(MAX(INDEX(Items!$G$2:$G$117,MATCH($A26,Items!$A$2:$A$117,0)),SQRT(2*F26*Assumptions!$B$5/(Assumptions!$B$6*E26)),G26*Assumptions!$B$16),0)</f>
        <v/>
      </c>
      <c r="V26" s="28">
        <f>INDEX(Stock_Snapshot!$B$2:$B$117,MATCH($A26,Stock_Snapshot!$A$2:$A$117,0))</f>
        <v/>
      </c>
      <c r="W26" s="28">
        <f>INDEX(Stock_Snapshot!$C$2:$C$117,MATCH($A26,Stock_Snapshot!$A$2:$A$117,0))</f>
        <v/>
      </c>
      <c r="X26" s="28">
        <f>V26+W26</f>
        <v/>
      </c>
      <c r="Y26" s="10">
        <f>IF(G26&gt;0,V26/(G26/Assumptions!$B$11),999)</f>
        <v/>
      </c>
      <c r="Z26" s="28">
        <f>S26+U26</f>
        <v/>
      </c>
      <c r="AA26" s="12">
        <f>IF(V26&lt;S26,"Below safety stock",IF(X26&lt;=T26,"Reorder now",IF(V26&gt;Z26,"Excess","Healthy")))</f>
        <v/>
      </c>
      <c r="AB26" s="16">
        <f>V26*E26</f>
        <v/>
      </c>
      <c r="AC26" s="16">
        <f>MAX(0,V26-Z26)*E26</f>
        <v/>
      </c>
      <c r="AD26" s="28">
        <f>IF(X26&lt;=T26,ROUNDUP(T26+U26-X26,0),0)</f>
        <v/>
      </c>
      <c r="AE26" s="16">
        <f>MAX(0,T26-X26)*E26</f>
        <v/>
      </c>
      <c r="AF26" s="31">
        <f>IF(INDEX(Stock_Snapshot!$D$2:$D$117,MATCH($A26,Stock_Snapshot!$A$2:$A$117,0))="","",INDEX(Stock_Snapshot!$D$2:$D$117,MATCH($A26,Stock_Snapshot!$A$2:$A$117,0)))</f>
        <v/>
      </c>
      <c r="AG26" s="12">
        <f>IF(AF26="","",IF(AF26&lt;=EDATE(Assumptions!$B$4,Assumptions!$B$12),"Expires &lt; "&amp;Assumptions!$B$12&amp;" m","OK"))</f>
        <v/>
      </c>
    </row>
    <row r="27">
      <c r="A27" s="12" t="inlineStr">
        <is>
          <t>CMD-0023</t>
        </is>
      </c>
      <c r="B27" s="12">
        <f>INDEX(Items!$B$2:$B$117,MATCH($A27,Items!$A$2:$A$117,0))</f>
        <v/>
      </c>
      <c r="C27" s="12">
        <f>INDEX(Items!$C$2:$C$117,MATCH($A27,Items!$A$2:$A$117,0))</f>
        <v/>
      </c>
      <c r="D27" s="12">
        <f>INDEX(Items!$D$2:$D$117,MATCH($A27,Items!$A$2:$A$117,0))</f>
        <v/>
      </c>
      <c r="E27" s="27">
        <f>INDEX(Items!$E$2:$E$117,MATCH($A27,Items!$A$2:$A$117,0))</f>
        <v/>
      </c>
      <c r="F27" s="28">
        <f>SUM(INDEX(Demand!$N$2:$Y$117,MATCH($A27,Demand!$A$2:$A$117,0),0))</f>
        <v/>
      </c>
      <c r="G27" s="28">
        <f>F27/12</f>
        <v/>
      </c>
      <c r="H27" s="28">
        <f>STDEV(INDEX(Demand!$N$2:$Y$117,MATCH($A27,Demand!$A$2:$A$117,0),0))</f>
        <v/>
      </c>
      <c r="I27" s="29">
        <f>IF(G27&gt;0,H27/G27,0)</f>
        <v/>
      </c>
      <c r="J27" s="16">
        <f>F27*E27</f>
        <v/>
      </c>
      <c r="K27" s="11">
        <f>SUMIF($J$5:$J$120,"&gt;="&amp;J27)/SUM($J$5:$J$120)</f>
        <v/>
      </c>
      <c r="L27" s="12">
        <f>IF(K27&lt;=Assumptions!$B$7,"A",IF(K27&lt;=Assumptions!$B$8,"B","C"))</f>
        <v/>
      </c>
      <c r="M27" s="12">
        <f>IF(I27&lt;=Assumptions!$B$9,"X",IF(I27&lt;=Assumptions!$B$10,"Y","Z"))</f>
        <v/>
      </c>
      <c r="N27" s="12">
        <f>L27&amp;M27</f>
        <v/>
      </c>
      <c r="O27" s="11">
        <f>INDEX(Assumptions!$F$4:$F$6,MATCH(L27,Assumptions!$E$4:$E$6,0))</f>
        <v/>
      </c>
      <c r="P27" s="29">
        <f>NORMSINV(O27)</f>
        <v/>
      </c>
      <c r="Q27" s="30">
        <f>IFERROR(AVERAGEIFS(PO_Lines!$R$2:$R$2025,PO_Lines!$B$2:$B$2025,$A27,PO_Lines!$Q$2:$Q$2025,1),INDEX(Items!$F$2:$F$117,MATCH($A27,Items!$A$2:$A$117,0)))</f>
        <v/>
      </c>
      <c r="R27" s="30">
        <f>IFERROR(SQRT(SUMPRODUCT((PO_Lines!$B$2:$B$2025=$A27)*PO_Lines!$Q$2:$Q$2025*(PO_Lines!$R$2:$R$2025-Q27)^2)/(COUNTIFS(PO_Lines!$B$2:$B$2025,$A27,PO_Lines!$Q$2:$Q$2025,1)-1)),0)</f>
        <v/>
      </c>
      <c r="S27" s="28">
        <f>ROUNDUP(P27*SQRT((Q27/Assumptions!$B$11)*H27^2+G27^2*(R27/Assumptions!$B$11)^2),0)</f>
        <v/>
      </c>
      <c r="T27" s="28">
        <f>ROUNDUP(G27*Q27/Assumptions!$B$11+S27,0)</f>
        <v/>
      </c>
      <c r="U27" s="28">
        <f>ROUNDUP(MAX(INDEX(Items!$G$2:$G$117,MATCH($A27,Items!$A$2:$A$117,0)),SQRT(2*F27*Assumptions!$B$5/(Assumptions!$B$6*E27)),G27*Assumptions!$B$16),0)</f>
        <v/>
      </c>
      <c r="V27" s="28">
        <f>INDEX(Stock_Snapshot!$B$2:$B$117,MATCH($A27,Stock_Snapshot!$A$2:$A$117,0))</f>
        <v/>
      </c>
      <c r="W27" s="28">
        <f>INDEX(Stock_Snapshot!$C$2:$C$117,MATCH($A27,Stock_Snapshot!$A$2:$A$117,0))</f>
        <v/>
      </c>
      <c r="X27" s="28">
        <f>V27+W27</f>
        <v/>
      </c>
      <c r="Y27" s="10">
        <f>IF(G27&gt;0,V27/(G27/Assumptions!$B$11),999)</f>
        <v/>
      </c>
      <c r="Z27" s="28">
        <f>S27+U27</f>
        <v/>
      </c>
      <c r="AA27" s="12">
        <f>IF(V27&lt;S27,"Below safety stock",IF(X27&lt;=T27,"Reorder now",IF(V27&gt;Z27,"Excess","Healthy")))</f>
        <v/>
      </c>
      <c r="AB27" s="16">
        <f>V27*E27</f>
        <v/>
      </c>
      <c r="AC27" s="16">
        <f>MAX(0,V27-Z27)*E27</f>
        <v/>
      </c>
      <c r="AD27" s="28">
        <f>IF(X27&lt;=T27,ROUNDUP(T27+U27-X27,0),0)</f>
        <v/>
      </c>
      <c r="AE27" s="16">
        <f>MAX(0,T27-X27)*E27</f>
        <v/>
      </c>
      <c r="AF27" s="31">
        <f>IF(INDEX(Stock_Snapshot!$D$2:$D$117,MATCH($A27,Stock_Snapshot!$A$2:$A$117,0))="","",INDEX(Stock_Snapshot!$D$2:$D$117,MATCH($A27,Stock_Snapshot!$A$2:$A$117,0)))</f>
        <v/>
      </c>
      <c r="AG27" s="12">
        <f>IF(AF27="","",IF(AF27&lt;=EDATE(Assumptions!$B$4,Assumptions!$B$12),"Expires &lt; "&amp;Assumptions!$B$12&amp;" m","OK"))</f>
        <v/>
      </c>
    </row>
    <row r="28">
      <c r="A28" s="12" t="inlineStr">
        <is>
          <t>CMD-0024</t>
        </is>
      </c>
      <c r="B28" s="12">
        <f>INDEX(Items!$B$2:$B$117,MATCH($A28,Items!$A$2:$A$117,0))</f>
        <v/>
      </c>
      <c r="C28" s="12">
        <f>INDEX(Items!$C$2:$C$117,MATCH($A28,Items!$A$2:$A$117,0))</f>
        <v/>
      </c>
      <c r="D28" s="12">
        <f>INDEX(Items!$D$2:$D$117,MATCH($A28,Items!$A$2:$A$117,0))</f>
        <v/>
      </c>
      <c r="E28" s="27">
        <f>INDEX(Items!$E$2:$E$117,MATCH($A28,Items!$A$2:$A$117,0))</f>
        <v/>
      </c>
      <c r="F28" s="28">
        <f>SUM(INDEX(Demand!$N$2:$Y$117,MATCH($A28,Demand!$A$2:$A$117,0),0))</f>
        <v/>
      </c>
      <c r="G28" s="28">
        <f>F28/12</f>
        <v/>
      </c>
      <c r="H28" s="28">
        <f>STDEV(INDEX(Demand!$N$2:$Y$117,MATCH($A28,Demand!$A$2:$A$117,0),0))</f>
        <v/>
      </c>
      <c r="I28" s="29">
        <f>IF(G28&gt;0,H28/G28,0)</f>
        <v/>
      </c>
      <c r="J28" s="16">
        <f>F28*E28</f>
        <v/>
      </c>
      <c r="K28" s="11">
        <f>SUMIF($J$5:$J$120,"&gt;="&amp;J28)/SUM($J$5:$J$120)</f>
        <v/>
      </c>
      <c r="L28" s="12">
        <f>IF(K28&lt;=Assumptions!$B$7,"A",IF(K28&lt;=Assumptions!$B$8,"B","C"))</f>
        <v/>
      </c>
      <c r="M28" s="12">
        <f>IF(I28&lt;=Assumptions!$B$9,"X",IF(I28&lt;=Assumptions!$B$10,"Y","Z"))</f>
        <v/>
      </c>
      <c r="N28" s="12">
        <f>L28&amp;M28</f>
        <v/>
      </c>
      <c r="O28" s="11">
        <f>INDEX(Assumptions!$F$4:$F$6,MATCH(L28,Assumptions!$E$4:$E$6,0))</f>
        <v/>
      </c>
      <c r="P28" s="29">
        <f>NORMSINV(O28)</f>
        <v/>
      </c>
      <c r="Q28" s="30">
        <f>IFERROR(AVERAGEIFS(PO_Lines!$R$2:$R$2025,PO_Lines!$B$2:$B$2025,$A28,PO_Lines!$Q$2:$Q$2025,1),INDEX(Items!$F$2:$F$117,MATCH($A28,Items!$A$2:$A$117,0)))</f>
        <v/>
      </c>
      <c r="R28" s="30">
        <f>IFERROR(SQRT(SUMPRODUCT((PO_Lines!$B$2:$B$2025=$A28)*PO_Lines!$Q$2:$Q$2025*(PO_Lines!$R$2:$R$2025-Q28)^2)/(COUNTIFS(PO_Lines!$B$2:$B$2025,$A28,PO_Lines!$Q$2:$Q$2025,1)-1)),0)</f>
        <v/>
      </c>
      <c r="S28" s="28">
        <f>ROUNDUP(P28*SQRT((Q28/Assumptions!$B$11)*H28^2+G28^2*(R28/Assumptions!$B$11)^2),0)</f>
        <v/>
      </c>
      <c r="T28" s="28">
        <f>ROUNDUP(G28*Q28/Assumptions!$B$11+S28,0)</f>
        <v/>
      </c>
      <c r="U28" s="28">
        <f>ROUNDUP(MAX(INDEX(Items!$G$2:$G$117,MATCH($A28,Items!$A$2:$A$117,0)),SQRT(2*F28*Assumptions!$B$5/(Assumptions!$B$6*E28)),G28*Assumptions!$B$16),0)</f>
        <v/>
      </c>
      <c r="V28" s="28">
        <f>INDEX(Stock_Snapshot!$B$2:$B$117,MATCH($A28,Stock_Snapshot!$A$2:$A$117,0))</f>
        <v/>
      </c>
      <c r="W28" s="28">
        <f>INDEX(Stock_Snapshot!$C$2:$C$117,MATCH($A28,Stock_Snapshot!$A$2:$A$117,0))</f>
        <v/>
      </c>
      <c r="X28" s="28">
        <f>V28+W28</f>
        <v/>
      </c>
      <c r="Y28" s="10">
        <f>IF(G28&gt;0,V28/(G28/Assumptions!$B$11),999)</f>
        <v/>
      </c>
      <c r="Z28" s="28">
        <f>S28+U28</f>
        <v/>
      </c>
      <c r="AA28" s="12">
        <f>IF(V28&lt;S28,"Below safety stock",IF(X28&lt;=T28,"Reorder now",IF(V28&gt;Z28,"Excess","Healthy")))</f>
        <v/>
      </c>
      <c r="AB28" s="16">
        <f>V28*E28</f>
        <v/>
      </c>
      <c r="AC28" s="16">
        <f>MAX(0,V28-Z28)*E28</f>
        <v/>
      </c>
      <c r="AD28" s="28">
        <f>IF(X28&lt;=T28,ROUNDUP(T28+U28-X28,0),0)</f>
        <v/>
      </c>
      <c r="AE28" s="16">
        <f>MAX(0,T28-X28)*E28</f>
        <v/>
      </c>
      <c r="AF28" s="31">
        <f>IF(INDEX(Stock_Snapshot!$D$2:$D$117,MATCH($A28,Stock_Snapshot!$A$2:$A$117,0))="","",INDEX(Stock_Snapshot!$D$2:$D$117,MATCH($A28,Stock_Snapshot!$A$2:$A$117,0)))</f>
        <v/>
      </c>
      <c r="AG28" s="12">
        <f>IF(AF28="","",IF(AF28&lt;=EDATE(Assumptions!$B$4,Assumptions!$B$12),"Expires &lt; "&amp;Assumptions!$B$12&amp;" m","OK"))</f>
        <v/>
      </c>
    </row>
    <row r="29">
      <c r="A29" s="12" t="inlineStr">
        <is>
          <t>CMD-0025</t>
        </is>
      </c>
      <c r="B29" s="12">
        <f>INDEX(Items!$B$2:$B$117,MATCH($A29,Items!$A$2:$A$117,0))</f>
        <v/>
      </c>
      <c r="C29" s="12">
        <f>INDEX(Items!$C$2:$C$117,MATCH($A29,Items!$A$2:$A$117,0))</f>
        <v/>
      </c>
      <c r="D29" s="12">
        <f>INDEX(Items!$D$2:$D$117,MATCH($A29,Items!$A$2:$A$117,0))</f>
        <v/>
      </c>
      <c r="E29" s="27">
        <f>INDEX(Items!$E$2:$E$117,MATCH($A29,Items!$A$2:$A$117,0))</f>
        <v/>
      </c>
      <c r="F29" s="28">
        <f>SUM(INDEX(Demand!$N$2:$Y$117,MATCH($A29,Demand!$A$2:$A$117,0),0))</f>
        <v/>
      </c>
      <c r="G29" s="28">
        <f>F29/12</f>
        <v/>
      </c>
      <c r="H29" s="28">
        <f>STDEV(INDEX(Demand!$N$2:$Y$117,MATCH($A29,Demand!$A$2:$A$117,0),0))</f>
        <v/>
      </c>
      <c r="I29" s="29">
        <f>IF(G29&gt;0,H29/G29,0)</f>
        <v/>
      </c>
      <c r="J29" s="16">
        <f>F29*E29</f>
        <v/>
      </c>
      <c r="K29" s="11">
        <f>SUMIF($J$5:$J$120,"&gt;="&amp;J29)/SUM($J$5:$J$120)</f>
        <v/>
      </c>
      <c r="L29" s="12">
        <f>IF(K29&lt;=Assumptions!$B$7,"A",IF(K29&lt;=Assumptions!$B$8,"B","C"))</f>
        <v/>
      </c>
      <c r="M29" s="12">
        <f>IF(I29&lt;=Assumptions!$B$9,"X",IF(I29&lt;=Assumptions!$B$10,"Y","Z"))</f>
        <v/>
      </c>
      <c r="N29" s="12">
        <f>L29&amp;M29</f>
        <v/>
      </c>
      <c r="O29" s="11">
        <f>INDEX(Assumptions!$F$4:$F$6,MATCH(L29,Assumptions!$E$4:$E$6,0))</f>
        <v/>
      </c>
      <c r="P29" s="29">
        <f>NORMSINV(O29)</f>
        <v/>
      </c>
      <c r="Q29" s="30">
        <f>IFERROR(AVERAGEIFS(PO_Lines!$R$2:$R$2025,PO_Lines!$B$2:$B$2025,$A29,PO_Lines!$Q$2:$Q$2025,1),INDEX(Items!$F$2:$F$117,MATCH($A29,Items!$A$2:$A$117,0)))</f>
        <v/>
      </c>
      <c r="R29" s="30">
        <f>IFERROR(SQRT(SUMPRODUCT((PO_Lines!$B$2:$B$2025=$A29)*PO_Lines!$Q$2:$Q$2025*(PO_Lines!$R$2:$R$2025-Q29)^2)/(COUNTIFS(PO_Lines!$B$2:$B$2025,$A29,PO_Lines!$Q$2:$Q$2025,1)-1)),0)</f>
        <v/>
      </c>
      <c r="S29" s="28">
        <f>ROUNDUP(P29*SQRT((Q29/Assumptions!$B$11)*H29^2+G29^2*(R29/Assumptions!$B$11)^2),0)</f>
        <v/>
      </c>
      <c r="T29" s="28">
        <f>ROUNDUP(G29*Q29/Assumptions!$B$11+S29,0)</f>
        <v/>
      </c>
      <c r="U29" s="28">
        <f>ROUNDUP(MAX(INDEX(Items!$G$2:$G$117,MATCH($A29,Items!$A$2:$A$117,0)),SQRT(2*F29*Assumptions!$B$5/(Assumptions!$B$6*E29)),G29*Assumptions!$B$16),0)</f>
        <v/>
      </c>
      <c r="V29" s="28">
        <f>INDEX(Stock_Snapshot!$B$2:$B$117,MATCH($A29,Stock_Snapshot!$A$2:$A$117,0))</f>
        <v/>
      </c>
      <c r="W29" s="28">
        <f>INDEX(Stock_Snapshot!$C$2:$C$117,MATCH($A29,Stock_Snapshot!$A$2:$A$117,0))</f>
        <v/>
      </c>
      <c r="X29" s="28">
        <f>V29+W29</f>
        <v/>
      </c>
      <c r="Y29" s="10">
        <f>IF(G29&gt;0,V29/(G29/Assumptions!$B$11),999)</f>
        <v/>
      </c>
      <c r="Z29" s="28">
        <f>S29+U29</f>
        <v/>
      </c>
      <c r="AA29" s="12">
        <f>IF(V29&lt;S29,"Below safety stock",IF(X29&lt;=T29,"Reorder now",IF(V29&gt;Z29,"Excess","Healthy")))</f>
        <v/>
      </c>
      <c r="AB29" s="16">
        <f>V29*E29</f>
        <v/>
      </c>
      <c r="AC29" s="16">
        <f>MAX(0,V29-Z29)*E29</f>
        <v/>
      </c>
      <c r="AD29" s="28">
        <f>IF(X29&lt;=T29,ROUNDUP(T29+U29-X29,0),0)</f>
        <v/>
      </c>
      <c r="AE29" s="16">
        <f>MAX(0,T29-X29)*E29</f>
        <v/>
      </c>
      <c r="AF29" s="31">
        <f>IF(INDEX(Stock_Snapshot!$D$2:$D$117,MATCH($A29,Stock_Snapshot!$A$2:$A$117,0))="","",INDEX(Stock_Snapshot!$D$2:$D$117,MATCH($A29,Stock_Snapshot!$A$2:$A$117,0)))</f>
        <v/>
      </c>
      <c r="AG29" s="12">
        <f>IF(AF29="","",IF(AF29&lt;=EDATE(Assumptions!$B$4,Assumptions!$B$12),"Expires &lt; "&amp;Assumptions!$B$12&amp;" m","OK"))</f>
        <v/>
      </c>
    </row>
    <row r="30">
      <c r="A30" s="12" t="inlineStr">
        <is>
          <t>CMD-0026</t>
        </is>
      </c>
      <c r="B30" s="12">
        <f>INDEX(Items!$B$2:$B$117,MATCH($A30,Items!$A$2:$A$117,0))</f>
        <v/>
      </c>
      <c r="C30" s="12">
        <f>INDEX(Items!$C$2:$C$117,MATCH($A30,Items!$A$2:$A$117,0))</f>
        <v/>
      </c>
      <c r="D30" s="12">
        <f>INDEX(Items!$D$2:$D$117,MATCH($A30,Items!$A$2:$A$117,0))</f>
        <v/>
      </c>
      <c r="E30" s="27">
        <f>INDEX(Items!$E$2:$E$117,MATCH($A30,Items!$A$2:$A$117,0))</f>
        <v/>
      </c>
      <c r="F30" s="28">
        <f>SUM(INDEX(Demand!$N$2:$Y$117,MATCH($A30,Demand!$A$2:$A$117,0),0))</f>
        <v/>
      </c>
      <c r="G30" s="28">
        <f>F30/12</f>
        <v/>
      </c>
      <c r="H30" s="28">
        <f>STDEV(INDEX(Demand!$N$2:$Y$117,MATCH($A30,Demand!$A$2:$A$117,0),0))</f>
        <v/>
      </c>
      <c r="I30" s="29">
        <f>IF(G30&gt;0,H30/G30,0)</f>
        <v/>
      </c>
      <c r="J30" s="16">
        <f>F30*E30</f>
        <v/>
      </c>
      <c r="K30" s="11">
        <f>SUMIF($J$5:$J$120,"&gt;="&amp;J30)/SUM($J$5:$J$120)</f>
        <v/>
      </c>
      <c r="L30" s="12">
        <f>IF(K30&lt;=Assumptions!$B$7,"A",IF(K30&lt;=Assumptions!$B$8,"B","C"))</f>
        <v/>
      </c>
      <c r="M30" s="12">
        <f>IF(I30&lt;=Assumptions!$B$9,"X",IF(I30&lt;=Assumptions!$B$10,"Y","Z"))</f>
        <v/>
      </c>
      <c r="N30" s="12">
        <f>L30&amp;M30</f>
        <v/>
      </c>
      <c r="O30" s="11">
        <f>INDEX(Assumptions!$F$4:$F$6,MATCH(L30,Assumptions!$E$4:$E$6,0))</f>
        <v/>
      </c>
      <c r="P30" s="29">
        <f>NORMSINV(O30)</f>
        <v/>
      </c>
      <c r="Q30" s="30">
        <f>IFERROR(AVERAGEIFS(PO_Lines!$R$2:$R$2025,PO_Lines!$B$2:$B$2025,$A30,PO_Lines!$Q$2:$Q$2025,1),INDEX(Items!$F$2:$F$117,MATCH($A30,Items!$A$2:$A$117,0)))</f>
        <v/>
      </c>
      <c r="R30" s="30">
        <f>IFERROR(SQRT(SUMPRODUCT((PO_Lines!$B$2:$B$2025=$A30)*PO_Lines!$Q$2:$Q$2025*(PO_Lines!$R$2:$R$2025-Q30)^2)/(COUNTIFS(PO_Lines!$B$2:$B$2025,$A30,PO_Lines!$Q$2:$Q$2025,1)-1)),0)</f>
        <v/>
      </c>
      <c r="S30" s="28">
        <f>ROUNDUP(P30*SQRT((Q30/Assumptions!$B$11)*H30^2+G30^2*(R30/Assumptions!$B$11)^2),0)</f>
        <v/>
      </c>
      <c r="T30" s="28">
        <f>ROUNDUP(G30*Q30/Assumptions!$B$11+S30,0)</f>
        <v/>
      </c>
      <c r="U30" s="28">
        <f>ROUNDUP(MAX(INDEX(Items!$G$2:$G$117,MATCH($A30,Items!$A$2:$A$117,0)),SQRT(2*F30*Assumptions!$B$5/(Assumptions!$B$6*E30)),G30*Assumptions!$B$16),0)</f>
        <v/>
      </c>
      <c r="V30" s="28">
        <f>INDEX(Stock_Snapshot!$B$2:$B$117,MATCH($A30,Stock_Snapshot!$A$2:$A$117,0))</f>
        <v/>
      </c>
      <c r="W30" s="28">
        <f>INDEX(Stock_Snapshot!$C$2:$C$117,MATCH($A30,Stock_Snapshot!$A$2:$A$117,0))</f>
        <v/>
      </c>
      <c r="X30" s="28">
        <f>V30+W30</f>
        <v/>
      </c>
      <c r="Y30" s="10">
        <f>IF(G30&gt;0,V30/(G30/Assumptions!$B$11),999)</f>
        <v/>
      </c>
      <c r="Z30" s="28">
        <f>S30+U30</f>
        <v/>
      </c>
      <c r="AA30" s="12">
        <f>IF(V30&lt;S30,"Below safety stock",IF(X30&lt;=T30,"Reorder now",IF(V30&gt;Z30,"Excess","Healthy")))</f>
        <v/>
      </c>
      <c r="AB30" s="16">
        <f>V30*E30</f>
        <v/>
      </c>
      <c r="AC30" s="16">
        <f>MAX(0,V30-Z30)*E30</f>
        <v/>
      </c>
      <c r="AD30" s="28">
        <f>IF(X30&lt;=T30,ROUNDUP(T30+U30-X30,0),0)</f>
        <v/>
      </c>
      <c r="AE30" s="16">
        <f>MAX(0,T30-X30)*E30</f>
        <v/>
      </c>
      <c r="AF30" s="31">
        <f>IF(INDEX(Stock_Snapshot!$D$2:$D$117,MATCH($A30,Stock_Snapshot!$A$2:$A$117,0))="","",INDEX(Stock_Snapshot!$D$2:$D$117,MATCH($A30,Stock_Snapshot!$A$2:$A$117,0)))</f>
        <v/>
      </c>
      <c r="AG30" s="12">
        <f>IF(AF30="","",IF(AF30&lt;=EDATE(Assumptions!$B$4,Assumptions!$B$12),"Expires &lt; "&amp;Assumptions!$B$12&amp;" m","OK"))</f>
        <v/>
      </c>
    </row>
    <row r="31">
      <c r="A31" s="12" t="inlineStr">
        <is>
          <t>CMD-0027</t>
        </is>
      </c>
      <c r="B31" s="12">
        <f>INDEX(Items!$B$2:$B$117,MATCH($A31,Items!$A$2:$A$117,0))</f>
        <v/>
      </c>
      <c r="C31" s="12">
        <f>INDEX(Items!$C$2:$C$117,MATCH($A31,Items!$A$2:$A$117,0))</f>
        <v/>
      </c>
      <c r="D31" s="12">
        <f>INDEX(Items!$D$2:$D$117,MATCH($A31,Items!$A$2:$A$117,0))</f>
        <v/>
      </c>
      <c r="E31" s="27">
        <f>INDEX(Items!$E$2:$E$117,MATCH($A31,Items!$A$2:$A$117,0))</f>
        <v/>
      </c>
      <c r="F31" s="28">
        <f>SUM(INDEX(Demand!$N$2:$Y$117,MATCH($A31,Demand!$A$2:$A$117,0),0))</f>
        <v/>
      </c>
      <c r="G31" s="28">
        <f>F31/12</f>
        <v/>
      </c>
      <c r="H31" s="28">
        <f>STDEV(INDEX(Demand!$N$2:$Y$117,MATCH($A31,Demand!$A$2:$A$117,0),0))</f>
        <v/>
      </c>
      <c r="I31" s="29">
        <f>IF(G31&gt;0,H31/G31,0)</f>
        <v/>
      </c>
      <c r="J31" s="16">
        <f>F31*E31</f>
        <v/>
      </c>
      <c r="K31" s="11">
        <f>SUMIF($J$5:$J$120,"&gt;="&amp;J31)/SUM($J$5:$J$120)</f>
        <v/>
      </c>
      <c r="L31" s="12">
        <f>IF(K31&lt;=Assumptions!$B$7,"A",IF(K31&lt;=Assumptions!$B$8,"B","C"))</f>
        <v/>
      </c>
      <c r="M31" s="12">
        <f>IF(I31&lt;=Assumptions!$B$9,"X",IF(I31&lt;=Assumptions!$B$10,"Y","Z"))</f>
        <v/>
      </c>
      <c r="N31" s="12">
        <f>L31&amp;M31</f>
        <v/>
      </c>
      <c r="O31" s="11">
        <f>INDEX(Assumptions!$F$4:$F$6,MATCH(L31,Assumptions!$E$4:$E$6,0))</f>
        <v/>
      </c>
      <c r="P31" s="29">
        <f>NORMSINV(O31)</f>
        <v/>
      </c>
      <c r="Q31" s="30">
        <f>IFERROR(AVERAGEIFS(PO_Lines!$R$2:$R$2025,PO_Lines!$B$2:$B$2025,$A31,PO_Lines!$Q$2:$Q$2025,1),INDEX(Items!$F$2:$F$117,MATCH($A31,Items!$A$2:$A$117,0)))</f>
        <v/>
      </c>
      <c r="R31" s="30">
        <f>IFERROR(SQRT(SUMPRODUCT((PO_Lines!$B$2:$B$2025=$A31)*PO_Lines!$Q$2:$Q$2025*(PO_Lines!$R$2:$R$2025-Q31)^2)/(COUNTIFS(PO_Lines!$B$2:$B$2025,$A31,PO_Lines!$Q$2:$Q$2025,1)-1)),0)</f>
        <v/>
      </c>
      <c r="S31" s="28">
        <f>ROUNDUP(P31*SQRT((Q31/Assumptions!$B$11)*H31^2+G31^2*(R31/Assumptions!$B$11)^2),0)</f>
        <v/>
      </c>
      <c r="T31" s="28">
        <f>ROUNDUP(G31*Q31/Assumptions!$B$11+S31,0)</f>
        <v/>
      </c>
      <c r="U31" s="28">
        <f>ROUNDUP(MAX(INDEX(Items!$G$2:$G$117,MATCH($A31,Items!$A$2:$A$117,0)),SQRT(2*F31*Assumptions!$B$5/(Assumptions!$B$6*E31)),G31*Assumptions!$B$16),0)</f>
        <v/>
      </c>
      <c r="V31" s="28">
        <f>INDEX(Stock_Snapshot!$B$2:$B$117,MATCH($A31,Stock_Snapshot!$A$2:$A$117,0))</f>
        <v/>
      </c>
      <c r="W31" s="28">
        <f>INDEX(Stock_Snapshot!$C$2:$C$117,MATCH($A31,Stock_Snapshot!$A$2:$A$117,0))</f>
        <v/>
      </c>
      <c r="X31" s="28">
        <f>V31+W31</f>
        <v/>
      </c>
      <c r="Y31" s="10">
        <f>IF(G31&gt;0,V31/(G31/Assumptions!$B$11),999)</f>
        <v/>
      </c>
      <c r="Z31" s="28">
        <f>S31+U31</f>
        <v/>
      </c>
      <c r="AA31" s="12">
        <f>IF(V31&lt;S31,"Below safety stock",IF(X31&lt;=T31,"Reorder now",IF(V31&gt;Z31,"Excess","Healthy")))</f>
        <v/>
      </c>
      <c r="AB31" s="16">
        <f>V31*E31</f>
        <v/>
      </c>
      <c r="AC31" s="16">
        <f>MAX(0,V31-Z31)*E31</f>
        <v/>
      </c>
      <c r="AD31" s="28">
        <f>IF(X31&lt;=T31,ROUNDUP(T31+U31-X31,0),0)</f>
        <v/>
      </c>
      <c r="AE31" s="16">
        <f>MAX(0,T31-X31)*E31</f>
        <v/>
      </c>
      <c r="AF31" s="31">
        <f>IF(INDEX(Stock_Snapshot!$D$2:$D$117,MATCH($A31,Stock_Snapshot!$A$2:$A$117,0))="","",INDEX(Stock_Snapshot!$D$2:$D$117,MATCH($A31,Stock_Snapshot!$A$2:$A$117,0)))</f>
        <v/>
      </c>
      <c r="AG31" s="12">
        <f>IF(AF31="","",IF(AF31&lt;=EDATE(Assumptions!$B$4,Assumptions!$B$12),"Expires &lt; "&amp;Assumptions!$B$12&amp;" m","OK"))</f>
        <v/>
      </c>
    </row>
    <row r="32">
      <c r="A32" s="12" t="inlineStr">
        <is>
          <t>CMD-0028</t>
        </is>
      </c>
      <c r="B32" s="12">
        <f>INDEX(Items!$B$2:$B$117,MATCH($A32,Items!$A$2:$A$117,0))</f>
        <v/>
      </c>
      <c r="C32" s="12">
        <f>INDEX(Items!$C$2:$C$117,MATCH($A32,Items!$A$2:$A$117,0))</f>
        <v/>
      </c>
      <c r="D32" s="12">
        <f>INDEX(Items!$D$2:$D$117,MATCH($A32,Items!$A$2:$A$117,0))</f>
        <v/>
      </c>
      <c r="E32" s="27">
        <f>INDEX(Items!$E$2:$E$117,MATCH($A32,Items!$A$2:$A$117,0))</f>
        <v/>
      </c>
      <c r="F32" s="28">
        <f>SUM(INDEX(Demand!$N$2:$Y$117,MATCH($A32,Demand!$A$2:$A$117,0),0))</f>
        <v/>
      </c>
      <c r="G32" s="28">
        <f>F32/12</f>
        <v/>
      </c>
      <c r="H32" s="28">
        <f>STDEV(INDEX(Demand!$N$2:$Y$117,MATCH($A32,Demand!$A$2:$A$117,0),0))</f>
        <v/>
      </c>
      <c r="I32" s="29">
        <f>IF(G32&gt;0,H32/G32,0)</f>
        <v/>
      </c>
      <c r="J32" s="16">
        <f>F32*E32</f>
        <v/>
      </c>
      <c r="K32" s="11">
        <f>SUMIF($J$5:$J$120,"&gt;="&amp;J32)/SUM($J$5:$J$120)</f>
        <v/>
      </c>
      <c r="L32" s="12">
        <f>IF(K32&lt;=Assumptions!$B$7,"A",IF(K32&lt;=Assumptions!$B$8,"B","C"))</f>
        <v/>
      </c>
      <c r="M32" s="12">
        <f>IF(I32&lt;=Assumptions!$B$9,"X",IF(I32&lt;=Assumptions!$B$10,"Y","Z"))</f>
        <v/>
      </c>
      <c r="N32" s="12">
        <f>L32&amp;M32</f>
        <v/>
      </c>
      <c r="O32" s="11">
        <f>INDEX(Assumptions!$F$4:$F$6,MATCH(L32,Assumptions!$E$4:$E$6,0))</f>
        <v/>
      </c>
      <c r="P32" s="29">
        <f>NORMSINV(O32)</f>
        <v/>
      </c>
      <c r="Q32" s="30">
        <f>IFERROR(AVERAGEIFS(PO_Lines!$R$2:$R$2025,PO_Lines!$B$2:$B$2025,$A32,PO_Lines!$Q$2:$Q$2025,1),INDEX(Items!$F$2:$F$117,MATCH($A32,Items!$A$2:$A$117,0)))</f>
        <v/>
      </c>
      <c r="R32" s="30">
        <f>IFERROR(SQRT(SUMPRODUCT((PO_Lines!$B$2:$B$2025=$A32)*PO_Lines!$Q$2:$Q$2025*(PO_Lines!$R$2:$R$2025-Q32)^2)/(COUNTIFS(PO_Lines!$B$2:$B$2025,$A32,PO_Lines!$Q$2:$Q$2025,1)-1)),0)</f>
        <v/>
      </c>
      <c r="S32" s="28">
        <f>ROUNDUP(P32*SQRT((Q32/Assumptions!$B$11)*H32^2+G32^2*(R32/Assumptions!$B$11)^2),0)</f>
        <v/>
      </c>
      <c r="T32" s="28">
        <f>ROUNDUP(G32*Q32/Assumptions!$B$11+S32,0)</f>
        <v/>
      </c>
      <c r="U32" s="28">
        <f>ROUNDUP(MAX(INDEX(Items!$G$2:$G$117,MATCH($A32,Items!$A$2:$A$117,0)),SQRT(2*F32*Assumptions!$B$5/(Assumptions!$B$6*E32)),G32*Assumptions!$B$16),0)</f>
        <v/>
      </c>
      <c r="V32" s="28">
        <f>INDEX(Stock_Snapshot!$B$2:$B$117,MATCH($A32,Stock_Snapshot!$A$2:$A$117,0))</f>
        <v/>
      </c>
      <c r="W32" s="28">
        <f>INDEX(Stock_Snapshot!$C$2:$C$117,MATCH($A32,Stock_Snapshot!$A$2:$A$117,0))</f>
        <v/>
      </c>
      <c r="X32" s="28">
        <f>V32+W32</f>
        <v/>
      </c>
      <c r="Y32" s="10">
        <f>IF(G32&gt;0,V32/(G32/Assumptions!$B$11),999)</f>
        <v/>
      </c>
      <c r="Z32" s="28">
        <f>S32+U32</f>
        <v/>
      </c>
      <c r="AA32" s="12">
        <f>IF(V32&lt;S32,"Below safety stock",IF(X32&lt;=T32,"Reorder now",IF(V32&gt;Z32,"Excess","Healthy")))</f>
        <v/>
      </c>
      <c r="AB32" s="16">
        <f>V32*E32</f>
        <v/>
      </c>
      <c r="AC32" s="16">
        <f>MAX(0,V32-Z32)*E32</f>
        <v/>
      </c>
      <c r="AD32" s="28">
        <f>IF(X32&lt;=T32,ROUNDUP(T32+U32-X32,0),0)</f>
        <v/>
      </c>
      <c r="AE32" s="16">
        <f>MAX(0,T32-X32)*E32</f>
        <v/>
      </c>
      <c r="AF32" s="31">
        <f>IF(INDEX(Stock_Snapshot!$D$2:$D$117,MATCH($A32,Stock_Snapshot!$A$2:$A$117,0))="","",INDEX(Stock_Snapshot!$D$2:$D$117,MATCH($A32,Stock_Snapshot!$A$2:$A$117,0)))</f>
        <v/>
      </c>
      <c r="AG32" s="12">
        <f>IF(AF32="","",IF(AF32&lt;=EDATE(Assumptions!$B$4,Assumptions!$B$12),"Expires &lt; "&amp;Assumptions!$B$12&amp;" m","OK"))</f>
        <v/>
      </c>
    </row>
    <row r="33">
      <c r="A33" s="12" t="inlineStr">
        <is>
          <t>CMD-0029</t>
        </is>
      </c>
      <c r="B33" s="12">
        <f>INDEX(Items!$B$2:$B$117,MATCH($A33,Items!$A$2:$A$117,0))</f>
        <v/>
      </c>
      <c r="C33" s="12">
        <f>INDEX(Items!$C$2:$C$117,MATCH($A33,Items!$A$2:$A$117,0))</f>
        <v/>
      </c>
      <c r="D33" s="12">
        <f>INDEX(Items!$D$2:$D$117,MATCH($A33,Items!$A$2:$A$117,0))</f>
        <v/>
      </c>
      <c r="E33" s="27">
        <f>INDEX(Items!$E$2:$E$117,MATCH($A33,Items!$A$2:$A$117,0))</f>
        <v/>
      </c>
      <c r="F33" s="28">
        <f>SUM(INDEX(Demand!$N$2:$Y$117,MATCH($A33,Demand!$A$2:$A$117,0),0))</f>
        <v/>
      </c>
      <c r="G33" s="28">
        <f>F33/12</f>
        <v/>
      </c>
      <c r="H33" s="28">
        <f>STDEV(INDEX(Demand!$N$2:$Y$117,MATCH($A33,Demand!$A$2:$A$117,0),0))</f>
        <v/>
      </c>
      <c r="I33" s="29">
        <f>IF(G33&gt;0,H33/G33,0)</f>
        <v/>
      </c>
      <c r="J33" s="16">
        <f>F33*E33</f>
        <v/>
      </c>
      <c r="K33" s="11">
        <f>SUMIF($J$5:$J$120,"&gt;="&amp;J33)/SUM($J$5:$J$120)</f>
        <v/>
      </c>
      <c r="L33" s="12">
        <f>IF(K33&lt;=Assumptions!$B$7,"A",IF(K33&lt;=Assumptions!$B$8,"B","C"))</f>
        <v/>
      </c>
      <c r="M33" s="12">
        <f>IF(I33&lt;=Assumptions!$B$9,"X",IF(I33&lt;=Assumptions!$B$10,"Y","Z"))</f>
        <v/>
      </c>
      <c r="N33" s="12">
        <f>L33&amp;M33</f>
        <v/>
      </c>
      <c r="O33" s="11">
        <f>INDEX(Assumptions!$F$4:$F$6,MATCH(L33,Assumptions!$E$4:$E$6,0))</f>
        <v/>
      </c>
      <c r="P33" s="29">
        <f>NORMSINV(O33)</f>
        <v/>
      </c>
      <c r="Q33" s="30">
        <f>IFERROR(AVERAGEIFS(PO_Lines!$R$2:$R$2025,PO_Lines!$B$2:$B$2025,$A33,PO_Lines!$Q$2:$Q$2025,1),INDEX(Items!$F$2:$F$117,MATCH($A33,Items!$A$2:$A$117,0)))</f>
        <v/>
      </c>
      <c r="R33" s="30">
        <f>IFERROR(SQRT(SUMPRODUCT((PO_Lines!$B$2:$B$2025=$A33)*PO_Lines!$Q$2:$Q$2025*(PO_Lines!$R$2:$R$2025-Q33)^2)/(COUNTIFS(PO_Lines!$B$2:$B$2025,$A33,PO_Lines!$Q$2:$Q$2025,1)-1)),0)</f>
        <v/>
      </c>
      <c r="S33" s="28">
        <f>ROUNDUP(P33*SQRT((Q33/Assumptions!$B$11)*H33^2+G33^2*(R33/Assumptions!$B$11)^2),0)</f>
        <v/>
      </c>
      <c r="T33" s="28">
        <f>ROUNDUP(G33*Q33/Assumptions!$B$11+S33,0)</f>
        <v/>
      </c>
      <c r="U33" s="28">
        <f>ROUNDUP(MAX(INDEX(Items!$G$2:$G$117,MATCH($A33,Items!$A$2:$A$117,0)),SQRT(2*F33*Assumptions!$B$5/(Assumptions!$B$6*E33)),G33*Assumptions!$B$16),0)</f>
        <v/>
      </c>
      <c r="V33" s="28">
        <f>INDEX(Stock_Snapshot!$B$2:$B$117,MATCH($A33,Stock_Snapshot!$A$2:$A$117,0))</f>
        <v/>
      </c>
      <c r="W33" s="28">
        <f>INDEX(Stock_Snapshot!$C$2:$C$117,MATCH($A33,Stock_Snapshot!$A$2:$A$117,0))</f>
        <v/>
      </c>
      <c r="X33" s="28">
        <f>V33+W33</f>
        <v/>
      </c>
      <c r="Y33" s="10">
        <f>IF(G33&gt;0,V33/(G33/Assumptions!$B$11),999)</f>
        <v/>
      </c>
      <c r="Z33" s="28">
        <f>S33+U33</f>
        <v/>
      </c>
      <c r="AA33" s="12">
        <f>IF(V33&lt;S33,"Below safety stock",IF(X33&lt;=T33,"Reorder now",IF(V33&gt;Z33,"Excess","Healthy")))</f>
        <v/>
      </c>
      <c r="AB33" s="16">
        <f>V33*E33</f>
        <v/>
      </c>
      <c r="AC33" s="16">
        <f>MAX(0,V33-Z33)*E33</f>
        <v/>
      </c>
      <c r="AD33" s="28">
        <f>IF(X33&lt;=T33,ROUNDUP(T33+U33-X33,0),0)</f>
        <v/>
      </c>
      <c r="AE33" s="16">
        <f>MAX(0,T33-X33)*E33</f>
        <v/>
      </c>
      <c r="AF33" s="31">
        <f>IF(INDEX(Stock_Snapshot!$D$2:$D$117,MATCH($A33,Stock_Snapshot!$A$2:$A$117,0))="","",INDEX(Stock_Snapshot!$D$2:$D$117,MATCH($A33,Stock_Snapshot!$A$2:$A$117,0)))</f>
        <v/>
      </c>
      <c r="AG33" s="12">
        <f>IF(AF33="","",IF(AF33&lt;=EDATE(Assumptions!$B$4,Assumptions!$B$12),"Expires &lt; "&amp;Assumptions!$B$12&amp;" m","OK"))</f>
        <v/>
      </c>
    </row>
    <row r="34">
      <c r="A34" s="12" t="inlineStr">
        <is>
          <t>CMD-0030</t>
        </is>
      </c>
      <c r="B34" s="12">
        <f>INDEX(Items!$B$2:$B$117,MATCH($A34,Items!$A$2:$A$117,0))</f>
        <v/>
      </c>
      <c r="C34" s="12">
        <f>INDEX(Items!$C$2:$C$117,MATCH($A34,Items!$A$2:$A$117,0))</f>
        <v/>
      </c>
      <c r="D34" s="12">
        <f>INDEX(Items!$D$2:$D$117,MATCH($A34,Items!$A$2:$A$117,0))</f>
        <v/>
      </c>
      <c r="E34" s="27">
        <f>INDEX(Items!$E$2:$E$117,MATCH($A34,Items!$A$2:$A$117,0))</f>
        <v/>
      </c>
      <c r="F34" s="28">
        <f>SUM(INDEX(Demand!$N$2:$Y$117,MATCH($A34,Demand!$A$2:$A$117,0),0))</f>
        <v/>
      </c>
      <c r="G34" s="28">
        <f>F34/12</f>
        <v/>
      </c>
      <c r="H34" s="28">
        <f>STDEV(INDEX(Demand!$N$2:$Y$117,MATCH($A34,Demand!$A$2:$A$117,0),0))</f>
        <v/>
      </c>
      <c r="I34" s="29">
        <f>IF(G34&gt;0,H34/G34,0)</f>
        <v/>
      </c>
      <c r="J34" s="16">
        <f>F34*E34</f>
        <v/>
      </c>
      <c r="K34" s="11">
        <f>SUMIF($J$5:$J$120,"&gt;="&amp;J34)/SUM($J$5:$J$120)</f>
        <v/>
      </c>
      <c r="L34" s="12">
        <f>IF(K34&lt;=Assumptions!$B$7,"A",IF(K34&lt;=Assumptions!$B$8,"B","C"))</f>
        <v/>
      </c>
      <c r="M34" s="12">
        <f>IF(I34&lt;=Assumptions!$B$9,"X",IF(I34&lt;=Assumptions!$B$10,"Y","Z"))</f>
        <v/>
      </c>
      <c r="N34" s="12">
        <f>L34&amp;M34</f>
        <v/>
      </c>
      <c r="O34" s="11">
        <f>INDEX(Assumptions!$F$4:$F$6,MATCH(L34,Assumptions!$E$4:$E$6,0))</f>
        <v/>
      </c>
      <c r="P34" s="29">
        <f>NORMSINV(O34)</f>
        <v/>
      </c>
      <c r="Q34" s="30">
        <f>IFERROR(AVERAGEIFS(PO_Lines!$R$2:$R$2025,PO_Lines!$B$2:$B$2025,$A34,PO_Lines!$Q$2:$Q$2025,1),INDEX(Items!$F$2:$F$117,MATCH($A34,Items!$A$2:$A$117,0)))</f>
        <v/>
      </c>
      <c r="R34" s="30">
        <f>IFERROR(SQRT(SUMPRODUCT((PO_Lines!$B$2:$B$2025=$A34)*PO_Lines!$Q$2:$Q$2025*(PO_Lines!$R$2:$R$2025-Q34)^2)/(COUNTIFS(PO_Lines!$B$2:$B$2025,$A34,PO_Lines!$Q$2:$Q$2025,1)-1)),0)</f>
        <v/>
      </c>
      <c r="S34" s="28">
        <f>ROUNDUP(P34*SQRT((Q34/Assumptions!$B$11)*H34^2+G34^2*(R34/Assumptions!$B$11)^2),0)</f>
        <v/>
      </c>
      <c r="T34" s="28">
        <f>ROUNDUP(G34*Q34/Assumptions!$B$11+S34,0)</f>
        <v/>
      </c>
      <c r="U34" s="28">
        <f>ROUNDUP(MAX(INDEX(Items!$G$2:$G$117,MATCH($A34,Items!$A$2:$A$117,0)),SQRT(2*F34*Assumptions!$B$5/(Assumptions!$B$6*E34)),G34*Assumptions!$B$16),0)</f>
        <v/>
      </c>
      <c r="V34" s="28">
        <f>INDEX(Stock_Snapshot!$B$2:$B$117,MATCH($A34,Stock_Snapshot!$A$2:$A$117,0))</f>
        <v/>
      </c>
      <c r="W34" s="28">
        <f>INDEX(Stock_Snapshot!$C$2:$C$117,MATCH($A34,Stock_Snapshot!$A$2:$A$117,0))</f>
        <v/>
      </c>
      <c r="X34" s="28">
        <f>V34+W34</f>
        <v/>
      </c>
      <c r="Y34" s="10">
        <f>IF(G34&gt;0,V34/(G34/Assumptions!$B$11),999)</f>
        <v/>
      </c>
      <c r="Z34" s="28">
        <f>S34+U34</f>
        <v/>
      </c>
      <c r="AA34" s="12">
        <f>IF(V34&lt;S34,"Below safety stock",IF(X34&lt;=T34,"Reorder now",IF(V34&gt;Z34,"Excess","Healthy")))</f>
        <v/>
      </c>
      <c r="AB34" s="16">
        <f>V34*E34</f>
        <v/>
      </c>
      <c r="AC34" s="16">
        <f>MAX(0,V34-Z34)*E34</f>
        <v/>
      </c>
      <c r="AD34" s="28">
        <f>IF(X34&lt;=T34,ROUNDUP(T34+U34-X34,0),0)</f>
        <v/>
      </c>
      <c r="AE34" s="16">
        <f>MAX(0,T34-X34)*E34</f>
        <v/>
      </c>
      <c r="AF34" s="31">
        <f>IF(INDEX(Stock_Snapshot!$D$2:$D$117,MATCH($A34,Stock_Snapshot!$A$2:$A$117,0))="","",INDEX(Stock_Snapshot!$D$2:$D$117,MATCH($A34,Stock_Snapshot!$A$2:$A$117,0)))</f>
        <v/>
      </c>
      <c r="AG34" s="12">
        <f>IF(AF34="","",IF(AF34&lt;=EDATE(Assumptions!$B$4,Assumptions!$B$12),"Expires &lt; "&amp;Assumptions!$B$12&amp;" m","OK"))</f>
        <v/>
      </c>
    </row>
    <row r="35">
      <c r="A35" s="12" t="inlineStr">
        <is>
          <t>CMD-0031</t>
        </is>
      </c>
      <c r="B35" s="12">
        <f>INDEX(Items!$B$2:$B$117,MATCH($A35,Items!$A$2:$A$117,0))</f>
        <v/>
      </c>
      <c r="C35" s="12">
        <f>INDEX(Items!$C$2:$C$117,MATCH($A35,Items!$A$2:$A$117,0))</f>
        <v/>
      </c>
      <c r="D35" s="12">
        <f>INDEX(Items!$D$2:$D$117,MATCH($A35,Items!$A$2:$A$117,0))</f>
        <v/>
      </c>
      <c r="E35" s="27">
        <f>INDEX(Items!$E$2:$E$117,MATCH($A35,Items!$A$2:$A$117,0))</f>
        <v/>
      </c>
      <c r="F35" s="28">
        <f>SUM(INDEX(Demand!$N$2:$Y$117,MATCH($A35,Demand!$A$2:$A$117,0),0))</f>
        <v/>
      </c>
      <c r="G35" s="28">
        <f>F35/12</f>
        <v/>
      </c>
      <c r="H35" s="28">
        <f>STDEV(INDEX(Demand!$N$2:$Y$117,MATCH($A35,Demand!$A$2:$A$117,0),0))</f>
        <v/>
      </c>
      <c r="I35" s="29">
        <f>IF(G35&gt;0,H35/G35,0)</f>
        <v/>
      </c>
      <c r="J35" s="16">
        <f>F35*E35</f>
        <v/>
      </c>
      <c r="K35" s="11">
        <f>SUMIF($J$5:$J$120,"&gt;="&amp;J35)/SUM($J$5:$J$120)</f>
        <v/>
      </c>
      <c r="L35" s="12">
        <f>IF(K35&lt;=Assumptions!$B$7,"A",IF(K35&lt;=Assumptions!$B$8,"B","C"))</f>
        <v/>
      </c>
      <c r="M35" s="12">
        <f>IF(I35&lt;=Assumptions!$B$9,"X",IF(I35&lt;=Assumptions!$B$10,"Y","Z"))</f>
        <v/>
      </c>
      <c r="N35" s="12">
        <f>L35&amp;M35</f>
        <v/>
      </c>
      <c r="O35" s="11">
        <f>INDEX(Assumptions!$F$4:$F$6,MATCH(L35,Assumptions!$E$4:$E$6,0))</f>
        <v/>
      </c>
      <c r="P35" s="29">
        <f>NORMSINV(O35)</f>
        <v/>
      </c>
      <c r="Q35" s="30">
        <f>IFERROR(AVERAGEIFS(PO_Lines!$R$2:$R$2025,PO_Lines!$B$2:$B$2025,$A35,PO_Lines!$Q$2:$Q$2025,1),INDEX(Items!$F$2:$F$117,MATCH($A35,Items!$A$2:$A$117,0)))</f>
        <v/>
      </c>
      <c r="R35" s="30">
        <f>IFERROR(SQRT(SUMPRODUCT((PO_Lines!$B$2:$B$2025=$A35)*PO_Lines!$Q$2:$Q$2025*(PO_Lines!$R$2:$R$2025-Q35)^2)/(COUNTIFS(PO_Lines!$B$2:$B$2025,$A35,PO_Lines!$Q$2:$Q$2025,1)-1)),0)</f>
        <v/>
      </c>
      <c r="S35" s="28">
        <f>ROUNDUP(P35*SQRT((Q35/Assumptions!$B$11)*H35^2+G35^2*(R35/Assumptions!$B$11)^2),0)</f>
        <v/>
      </c>
      <c r="T35" s="28">
        <f>ROUNDUP(G35*Q35/Assumptions!$B$11+S35,0)</f>
        <v/>
      </c>
      <c r="U35" s="28">
        <f>ROUNDUP(MAX(INDEX(Items!$G$2:$G$117,MATCH($A35,Items!$A$2:$A$117,0)),SQRT(2*F35*Assumptions!$B$5/(Assumptions!$B$6*E35)),G35*Assumptions!$B$16),0)</f>
        <v/>
      </c>
      <c r="V35" s="28">
        <f>INDEX(Stock_Snapshot!$B$2:$B$117,MATCH($A35,Stock_Snapshot!$A$2:$A$117,0))</f>
        <v/>
      </c>
      <c r="W35" s="28">
        <f>INDEX(Stock_Snapshot!$C$2:$C$117,MATCH($A35,Stock_Snapshot!$A$2:$A$117,0))</f>
        <v/>
      </c>
      <c r="X35" s="28">
        <f>V35+W35</f>
        <v/>
      </c>
      <c r="Y35" s="10">
        <f>IF(G35&gt;0,V35/(G35/Assumptions!$B$11),999)</f>
        <v/>
      </c>
      <c r="Z35" s="28">
        <f>S35+U35</f>
        <v/>
      </c>
      <c r="AA35" s="12">
        <f>IF(V35&lt;S35,"Below safety stock",IF(X35&lt;=T35,"Reorder now",IF(V35&gt;Z35,"Excess","Healthy")))</f>
        <v/>
      </c>
      <c r="AB35" s="16">
        <f>V35*E35</f>
        <v/>
      </c>
      <c r="AC35" s="16">
        <f>MAX(0,V35-Z35)*E35</f>
        <v/>
      </c>
      <c r="AD35" s="28">
        <f>IF(X35&lt;=T35,ROUNDUP(T35+U35-X35,0),0)</f>
        <v/>
      </c>
      <c r="AE35" s="16">
        <f>MAX(0,T35-X35)*E35</f>
        <v/>
      </c>
      <c r="AF35" s="31">
        <f>IF(INDEX(Stock_Snapshot!$D$2:$D$117,MATCH($A35,Stock_Snapshot!$A$2:$A$117,0))="","",INDEX(Stock_Snapshot!$D$2:$D$117,MATCH($A35,Stock_Snapshot!$A$2:$A$117,0)))</f>
        <v/>
      </c>
      <c r="AG35" s="12">
        <f>IF(AF35="","",IF(AF35&lt;=EDATE(Assumptions!$B$4,Assumptions!$B$12),"Expires &lt; "&amp;Assumptions!$B$12&amp;" m","OK"))</f>
        <v/>
      </c>
    </row>
    <row r="36">
      <c r="A36" s="12" t="inlineStr">
        <is>
          <t>CMD-0032</t>
        </is>
      </c>
      <c r="B36" s="12">
        <f>INDEX(Items!$B$2:$B$117,MATCH($A36,Items!$A$2:$A$117,0))</f>
        <v/>
      </c>
      <c r="C36" s="12">
        <f>INDEX(Items!$C$2:$C$117,MATCH($A36,Items!$A$2:$A$117,0))</f>
        <v/>
      </c>
      <c r="D36" s="12">
        <f>INDEX(Items!$D$2:$D$117,MATCH($A36,Items!$A$2:$A$117,0))</f>
        <v/>
      </c>
      <c r="E36" s="27">
        <f>INDEX(Items!$E$2:$E$117,MATCH($A36,Items!$A$2:$A$117,0))</f>
        <v/>
      </c>
      <c r="F36" s="28">
        <f>SUM(INDEX(Demand!$N$2:$Y$117,MATCH($A36,Demand!$A$2:$A$117,0),0))</f>
        <v/>
      </c>
      <c r="G36" s="28">
        <f>F36/12</f>
        <v/>
      </c>
      <c r="H36" s="28">
        <f>STDEV(INDEX(Demand!$N$2:$Y$117,MATCH($A36,Demand!$A$2:$A$117,0),0))</f>
        <v/>
      </c>
      <c r="I36" s="29">
        <f>IF(G36&gt;0,H36/G36,0)</f>
        <v/>
      </c>
      <c r="J36" s="16">
        <f>F36*E36</f>
        <v/>
      </c>
      <c r="K36" s="11">
        <f>SUMIF($J$5:$J$120,"&gt;="&amp;J36)/SUM($J$5:$J$120)</f>
        <v/>
      </c>
      <c r="L36" s="12">
        <f>IF(K36&lt;=Assumptions!$B$7,"A",IF(K36&lt;=Assumptions!$B$8,"B","C"))</f>
        <v/>
      </c>
      <c r="M36" s="12">
        <f>IF(I36&lt;=Assumptions!$B$9,"X",IF(I36&lt;=Assumptions!$B$10,"Y","Z"))</f>
        <v/>
      </c>
      <c r="N36" s="12">
        <f>L36&amp;M36</f>
        <v/>
      </c>
      <c r="O36" s="11">
        <f>INDEX(Assumptions!$F$4:$F$6,MATCH(L36,Assumptions!$E$4:$E$6,0))</f>
        <v/>
      </c>
      <c r="P36" s="29">
        <f>NORMSINV(O36)</f>
        <v/>
      </c>
      <c r="Q36" s="30">
        <f>IFERROR(AVERAGEIFS(PO_Lines!$R$2:$R$2025,PO_Lines!$B$2:$B$2025,$A36,PO_Lines!$Q$2:$Q$2025,1),INDEX(Items!$F$2:$F$117,MATCH($A36,Items!$A$2:$A$117,0)))</f>
        <v/>
      </c>
      <c r="R36" s="30">
        <f>IFERROR(SQRT(SUMPRODUCT((PO_Lines!$B$2:$B$2025=$A36)*PO_Lines!$Q$2:$Q$2025*(PO_Lines!$R$2:$R$2025-Q36)^2)/(COUNTIFS(PO_Lines!$B$2:$B$2025,$A36,PO_Lines!$Q$2:$Q$2025,1)-1)),0)</f>
        <v/>
      </c>
      <c r="S36" s="28">
        <f>ROUNDUP(P36*SQRT((Q36/Assumptions!$B$11)*H36^2+G36^2*(R36/Assumptions!$B$11)^2),0)</f>
        <v/>
      </c>
      <c r="T36" s="28">
        <f>ROUNDUP(G36*Q36/Assumptions!$B$11+S36,0)</f>
        <v/>
      </c>
      <c r="U36" s="28">
        <f>ROUNDUP(MAX(INDEX(Items!$G$2:$G$117,MATCH($A36,Items!$A$2:$A$117,0)),SQRT(2*F36*Assumptions!$B$5/(Assumptions!$B$6*E36)),G36*Assumptions!$B$16),0)</f>
        <v/>
      </c>
      <c r="V36" s="28">
        <f>INDEX(Stock_Snapshot!$B$2:$B$117,MATCH($A36,Stock_Snapshot!$A$2:$A$117,0))</f>
        <v/>
      </c>
      <c r="W36" s="28">
        <f>INDEX(Stock_Snapshot!$C$2:$C$117,MATCH($A36,Stock_Snapshot!$A$2:$A$117,0))</f>
        <v/>
      </c>
      <c r="X36" s="28">
        <f>V36+W36</f>
        <v/>
      </c>
      <c r="Y36" s="10">
        <f>IF(G36&gt;0,V36/(G36/Assumptions!$B$11),999)</f>
        <v/>
      </c>
      <c r="Z36" s="28">
        <f>S36+U36</f>
        <v/>
      </c>
      <c r="AA36" s="12">
        <f>IF(V36&lt;S36,"Below safety stock",IF(X36&lt;=T36,"Reorder now",IF(V36&gt;Z36,"Excess","Healthy")))</f>
        <v/>
      </c>
      <c r="AB36" s="16">
        <f>V36*E36</f>
        <v/>
      </c>
      <c r="AC36" s="16">
        <f>MAX(0,V36-Z36)*E36</f>
        <v/>
      </c>
      <c r="AD36" s="28">
        <f>IF(X36&lt;=T36,ROUNDUP(T36+U36-X36,0),0)</f>
        <v/>
      </c>
      <c r="AE36" s="16">
        <f>MAX(0,T36-X36)*E36</f>
        <v/>
      </c>
      <c r="AF36" s="31">
        <f>IF(INDEX(Stock_Snapshot!$D$2:$D$117,MATCH($A36,Stock_Snapshot!$A$2:$A$117,0))="","",INDEX(Stock_Snapshot!$D$2:$D$117,MATCH($A36,Stock_Snapshot!$A$2:$A$117,0)))</f>
        <v/>
      </c>
      <c r="AG36" s="12">
        <f>IF(AF36="","",IF(AF36&lt;=EDATE(Assumptions!$B$4,Assumptions!$B$12),"Expires &lt; "&amp;Assumptions!$B$12&amp;" m","OK"))</f>
        <v/>
      </c>
    </row>
    <row r="37">
      <c r="A37" s="12" t="inlineStr">
        <is>
          <t>CMD-0033</t>
        </is>
      </c>
      <c r="B37" s="12">
        <f>INDEX(Items!$B$2:$B$117,MATCH($A37,Items!$A$2:$A$117,0))</f>
        <v/>
      </c>
      <c r="C37" s="12">
        <f>INDEX(Items!$C$2:$C$117,MATCH($A37,Items!$A$2:$A$117,0))</f>
        <v/>
      </c>
      <c r="D37" s="12">
        <f>INDEX(Items!$D$2:$D$117,MATCH($A37,Items!$A$2:$A$117,0))</f>
        <v/>
      </c>
      <c r="E37" s="27">
        <f>INDEX(Items!$E$2:$E$117,MATCH($A37,Items!$A$2:$A$117,0))</f>
        <v/>
      </c>
      <c r="F37" s="28">
        <f>SUM(INDEX(Demand!$N$2:$Y$117,MATCH($A37,Demand!$A$2:$A$117,0),0))</f>
        <v/>
      </c>
      <c r="G37" s="28">
        <f>F37/12</f>
        <v/>
      </c>
      <c r="H37" s="28">
        <f>STDEV(INDEX(Demand!$N$2:$Y$117,MATCH($A37,Demand!$A$2:$A$117,0),0))</f>
        <v/>
      </c>
      <c r="I37" s="29">
        <f>IF(G37&gt;0,H37/G37,0)</f>
        <v/>
      </c>
      <c r="J37" s="16">
        <f>F37*E37</f>
        <v/>
      </c>
      <c r="K37" s="11">
        <f>SUMIF($J$5:$J$120,"&gt;="&amp;J37)/SUM($J$5:$J$120)</f>
        <v/>
      </c>
      <c r="L37" s="12">
        <f>IF(K37&lt;=Assumptions!$B$7,"A",IF(K37&lt;=Assumptions!$B$8,"B","C"))</f>
        <v/>
      </c>
      <c r="M37" s="12">
        <f>IF(I37&lt;=Assumptions!$B$9,"X",IF(I37&lt;=Assumptions!$B$10,"Y","Z"))</f>
        <v/>
      </c>
      <c r="N37" s="12">
        <f>L37&amp;M37</f>
        <v/>
      </c>
      <c r="O37" s="11">
        <f>INDEX(Assumptions!$F$4:$F$6,MATCH(L37,Assumptions!$E$4:$E$6,0))</f>
        <v/>
      </c>
      <c r="P37" s="29">
        <f>NORMSINV(O37)</f>
        <v/>
      </c>
      <c r="Q37" s="30">
        <f>IFERROR(AVERAGEIFS(PO_Lines!$R$2:$R$2025,PO_Lines!$B$2:$B$2025,$A37,PO_Lines!$Q$2:$Q$2025,1),INDEX(Items!$F$2:$F$117,MATCH($A37,Items!$A$2:$A$117,0)))</f>
        <v/>
      </c>
      <c r="R37" s="30">
        <f>IFERROR(SQRT(SUMPRODUCT((PO_Lines!$B$2:$B$2025=$A37)*PO_Lines!$Q$2:$Q$2025*(PO_Lines!$R$2:$R$2025-Q37)^2)/(COUNTIFS(PO_Lines!$B$2:$B$2025,$A37,PO_Lines!$Q$2:$Q$2025,1)-1)),0)</f>
        <v/>
      </c>
      <c r="S37" s="28">
        <f>ROUNDUP(P37*SQRT((Q37/Assumptions!$B$11)*H37^2+G37^2*(R37/Assumptions!$B$11)^2),0)</f>
        <v/>
      </c>
      <c r="T37" s="28">
        <f>ROUNDUP(G37*Q37/Assumptions!$B$11+S37,0)</f>
        <v/>
      </c>
      <c r="U37" s="28">
        <f>ROUNDUP(MAX(INDEX(Items!$G$2:$G$117,MATCH($A37,Items!$A$2:$A$117,0)),SQRT(2*F37*Assumptions!$B$5/(Assumptions!$B$6*E37)),G37*Assumptions!$B$16),0)</f>
        <v/>
      </c>
      <c r="V37" s="28">
        <f>INDEX(Stock_Snapshot!$B$2:$B$117,MATCH($A37,Stock_Snapshot!$A$2:$A$117,0))</f>
        <v/>
      </c>
      <c r="W37" s="28">
        <f>INDEX(Stock_Snapshot!$C$2:$C$117,MATCH($A37,Stock_Snapshot!$A$2:$A$117,0))</f>
        <v/>
      </c>
      <c r="X37" s="28">
        <f>V37+W37</f>
        <v/>
      </c>
      <c r="Y37" s="10">
        <f>IF(G37&gt;0,V37/(G37/Assumptions!$B$11),999)</f>
        <v/>
      </c>
      <c r="Z37" s="28">
        <f>S37+U37</f>
        <v/>
      </c>
      <c r="AA37" s="12">
        <f>IF(V37&lt;S37,"Below safety stock",IF(X37&lt;=T37,"Reorder now",IF(V37&gt;Z37,"Excess","Healthy")))</f>
        <v/>
      </c>
      <c r="AB37" s="16">
        <f>V37*E37</f>
        <v/>
      </c>
      <c r="AC37" s="16">
        <f>MAX(0,V37-Z37)*E37</f>
        <v/>
      </c>
      <c r="AD37" s="28">
        <f>IF(X37&lt;=T37,ROUNDUP(T37+U37-X37,0),0)</f>
        <v/>
      </c>
      <c r="AE37" s="16">
        <f>MAX(0,T37-X37)*E37</f>
        <v/>
      </c>
      <c r="AF37" s="31">
        <f>IF(INDEX(Stock_Snapshot!$D$2:$D$117,MATCH($A37,Stock_Snapshot!$A$2:$A$117,0))="","",INDEX(Stock_Snapshot!$D$2:$D$117,MATCH($A37,Stock_Snapshot!$A$2:$A$117,0)))</f>
        <v/>
      </c>
      <c r="AG37" s="12">
        <f>IF(AF37="","",IF(AF37&lt;=EDATE(Assumptions!$B$4,Assumptions!$B$12),"Expires &lt; "&amp;Assumptions!$B$12&amp;" m","OK"))</f>
        <v/>
      </c>
    </row>
    <row r="38">
      <c r="A38" s="12" t="inlineStr">
        <is>
          <t>CMD-0034</t>
        </is>
      </c>
      <c r="B38" s="12">
        <f>INDEX(Items!$B$2:$B$117,MATCH($A38,Items!$A$2:$A$117,0))</f>
        <v/>
      </c>
      <c r="C38" s="12">
        <f>INDEX(Items!$C$2:$C$117,MATCH($A38,Items!$A$2:$A$117,0))</f>
        <v/>
      </c>
      <c r="D38" s="12">
        <f>INDEX(Items!$D$2:$D$117,MATCH($A38,Items!$A$2:$A$117,0))</f>
        <v/>
      </c>
      <c r="E38" s="27">
        <f>INDEX(Items!$E$2:$E$117,MATCH($A38,Items!$A$2:$A$117,0))</f>
        <v/>
      </c>
      <c r="F38" s="28">
        <f>SUM(INDEX(Demand!$N$2:$Y$117,MATCH($A38,Demand!$A$2:$A$117,0),0))</f>
        <v/>
      </c>
      <c r="G38" s="28">
        <f>F38/12</f>
        <v/>
      </c>
      <c r="H38" s="28">
        <f>STDEV(INDEX(Demand!$N$2:$Y$117,MATCH($A38,Demand!$A$2:$A$117,0),0))</f>
        <v/>
      </c>
      <c r="I38" s="29">
        <f>IF(G38&gt;0,H38/G38,0)</f>
        <v/>
      </c>
      <c r="J38" s="16">
        <f>F38*E38</f>
        <v/>
      </c>
      <c r="K38" s="11">
        <f>SUMIF($J$5:$J$120,"&gt;="&amp;J38)/SUM($J$5:$J$120)</f>
        <v/>
      </c>
      <c r="L38" s="12">
        <f>IF(K38&lt;=Assumptions!$B$7,"A",IF(K38&lt;=Assumptions!$B$8,"B","C"))</f>
        <v/>
      </c>
      <c r="M38" s="12">
        <f>IF(I38&lt;=Assumptions!$B$9,"X",IF(I38&lt;=Assumptions!$B$10,"Y","Z"))</f>
        <v/>
      </c>
      <c r="N38" s="12">
        <f>L38&amp;M38</f>
        <v/>
      </c>
      <c r="O38" s="11">
        <f>INDEX(Assumptions!$F$4:$F$6,MATCH(L38,Assumptions!$E$4:$E$6,0))</f>
        <v/>
      </c>
      <c r="P38" s="29">
        <f>NORMSINV(O38)</f>
        <v/>
      </c>
      <c r="Q38" s="30">
        <f>IFERROR(AVERAGEIFS(PO_Lines!$R$2:$R$2025,PO_Lines!$B$2:$B$2025,$A38,PO_Lines!$Q$2:$Q$2025,1),INDEX(Items!$F$2:$F$117,MATCH($A38,Items!$A$2:$A$117,0)))</f>
        <v/>
      </c>
      <c r="R38" s="30">
        <f>IFERROR(SQRT(SUMPRODUCT((PO_Lines!$B$2:$B$2025=$A38)*PO_Lines!$Q$2:$Q$2025*(PO_Lines!$R$2:$R$2025-Q38)^2)/(COUNTIFS(PO_Lines!$B$2:$B$2025,$A38,PO_Lines!$Q$2:$Q$2025,1)-1)),0)</f>
        <v/>
      </c>
      <c r="S38" s="28">
        <f>ROUNDUP(P38*SQRT((Q38/Assumptions!$B$11)*H38^2+G38^2*(R38/Assumptions!$B$11)^2),0)</f>
        <v/>
      </c>
      <c r="T38" s="28">
        <f>ROUNDUP(G38*Q38/Assumptions!$B$11+S38,0)</f>
        <v/>
      </c>
      <c r="U38" s="28">
        <f>ROUNDUP(MAX(INDEX(Items!$G$2:$G$117,MATCH($A38,Items!$A$2:$A$117,0)),SQRT(2*F38*Assumptions!$B$5/(Assumptions!$B$6*E38)),G38*Assumptions!$B$16),0)</f>
        <v/>
      </c>
      <c r="V38" s="28">
        <f>INDEX(Stock_Snapshot!$B$2:$B$117,MATCH($A38,Stock_Snapshot!$A$2:$A$117,0))</f>
        <v/>
      </c>
      <c r="W38" s="28">
        <f>INDEX(Stock_Snapshot!$C$2:$C$117,MATCH($A38,Stock_Snapshot!$A$2:$A$117,0))</f>
        <v/>
      </c>
      <c r="X38" s="28">
        <f>V38+W38</f>
        <v/>
      </c>
      <c r="Y38" s="10">
        <f>IF(G38&gt;0,V38/(G38/Assumptions!$B$11),999)</f>
        <v/>
      </c>
      <c r="Z38" s="28">
        <f>S38+U38</f>
        <v/>
      </c>
      <c r="AA38" s="12">
        <f>IF(V38&lt;S38,"Below safety stock",IF(X38&lt;=T38,"Reorder now",IF(V38&gt;Z38,"Excess","Healthy")))</f>
        <v/>
      </c>
      <c r="AB38" s="16">
        <f>V38*E38</f>
        <v/>
      </c>
      <c r="AC38" s="16">
        <f>MAX(0,V38-Z38)*E38</f>
        <v/>
      </c>
      <c r="AD38" s="28">
        <f>IF(X38&lt;=T38,ROUNDUP(T38+U38-X38,0),0)</f>
        <v/>
      </c>
      <c r="AE38" s="16">
        <f>MAX(0,T38-X38)*E38</f>
        <v/>
      </c>
      <c r="AF38" s="31">
        <f>IF(INDEX(Stock_Snapshot!$D$2:$D$117,MATCH($A38,Stock_Snapshot!$A$2:$A$117,0))="","",INDEX(Stock_Snapshot!$D$2:$D$117,MATCH($A38,Stock_Snapshot!$A$2:$A$117,0)))</f>
        <v/>
      </c>
      <c r="AG38" s="12">
        <f>IF(AF38="","",IF(AF38&lt;=EDATE(Assumptions!$B$4,Assumptions!$B$12),"Expires &lt; "&amp;Assumptions!$B$12&amp;" m","OK"))</f>
        <v/>
      </c>
    </row>
    <row r="39">
      <c r="A39" s="12" t="inlineStr">
        <is>
          <t>CMD-0035</t>
        </is>
      </c>
      <c r="B39" s="12">
        <f>INDEX(Items!$B$2:$B$117,MATCH($A39,Items!$A$2:$A$117,0))</f>
        <v/>
      </c>
      <c r="C39" s="12">
        <f>INDEX(Items!$C$2:$C$117,MATCH($A39,Items!$A$2:$A$117,0))</f>
        <v/>
      </c>
      <c r="D39" s="12">
        <f>INDEX(Items!$D$2:$D$117,MATCH($A39,Items!$A$2:$A$117,0))</f>
        <v/>
      </c>
      <c r="E39" s="27">
        <f>INDEX(Items!$E$2:$E$117,MATCH($A39,Items!$A$2:$A$117,0))</f>
        <v/>
      </c>
      <c r="F39" s="28">
        <f>SUM(INDEX(Demand!$N$2:$Y$117,MATCH($A39,Demand!$A$2:$A$117,0),0))</f>
        <v/>
      </c>
      <c r="G39" s="28">
        <f>F39/12</f>
        <v/>
      </c>
      <c r="H39" s="28">
        <f>STDEV(INDEX(Demand!$N$2:$Y$117,MATCH($A39,Demand!$A$2:$A$117,0),0))</f>
        <v/>
      </c>
      <c r="I39" s="29">
        <f>IF(G39&gt;0,H39/G39,0)</f>
        <v/>
      </c>
      <c r="J39" s="16">
        <f>F39*E39</f>
        <v/>
      </c>
      <c r="K39" s="11">
        <f>SUMIF($J$5:$J$120,"&gt;="&amp;J39)/SUM($J$5:$J$120)</f>
        <v/>
      </c>
      <c r="L39" s="12">
        <f>IF(K39&lt;=Assumptions!$B$7,"A",IF(K39&lt;=Assumptions!$B$8,"B","C"))</f>
        <v/>
      </c>
      <c r="M39" s="12">
        <f>IF(I39&lt;=Assumptions!$B$9,"X",IF(I39&lt;=Assumptions!$B$10,"Y","Z"))</f>
        <v/>
      </c>
      <c r="N39" s="12">
        <f>L39&amp;M39</f>
        <v/>
      </c>
      <c r="O39" s="11">
        <f>INDEX(Assumptions!$F$4:$F$6,MATCH(L39,Assumptions!$E$4:$E$6,0))</f>
        <v/>
      </c>
      <c r="P39" s="29">
        <f>NORMSINV(O39)</f>
        <v/>
      </c>
      <c r="Q39" s="30">
        <f>IFERROR(AVERAGEIFS(PO_Lines!$R$2:$R$2025,PO_Lines!$B$2:$B$2025,$A39,PO_Lines!$Q$2:$Q$2025,1),INDEX(Items!$F$2:$F$117,MATCH($A39,Items!$A$2:$A$117,0)))</f>
        <v/>
      </c>
      <c r="R39" s="30">
        <f>IFERROR(SQRT(SUMPRODUCT((PO_Lines!$B$2:$B$2025=$A39)*PO_Lines!$Q$2:$Q$2025*(PO_Lines!$R$2:$R$2025-Q39)^2)/(COUNTIFS(PO_Lines!$B$2:$B$2025,$A39,PO_Lines!$Q$2:$Q$2025,1)-1)),0)</f>
        <v/>
      </c>
      <c r="S39" s="28">
        <f>ROUNDUP(P39*SQRT((Q39/Assumptions!$B$11)*H39^2+G39^2*(R39/Assumptions!$B$11)^2),0)</f>
        <v/>
      </c>
      <c r="T39" s="28">
        <f>ROUNDUP(G39*Q39/Assumptions!$B$11+S39,0)</f>
        <v/>
      </c>
      <c r="U39" s="28">
        <f>ROUNDUP(MAX(INDEX(Items!$G$2:$G$117,MATCH($A39,Items!$A$2:$A$117,0)),SQRT(2*F39*Assumptions!$B$5/(Assumptions!$B$6*E39)),G39*Assumptions!$B$16),0)</f>
        <v/>
      </c>
      <c r="V39" s="28">
        <f>INDEX(Stock_Snapshot!$B$2:$B$117,MATCH($A39,Stock_Snapshot!$A$2:$A$117,0))</f>
        <v/>
      </c>
      <c r="W39" s="28">
        <f>INDEX(Stock_Snapshot!$C$2:$C$117,MATCH($A39,Stock_Snapshot!$A$2:$A$117,0))</f>
        <v/>
      </c>
      <c r="X39" s="28">
        <f>V39+W39</f>
        <v/>
      </c>
      <c r="Y39" s="10">
        <f>IF(G39&gt;0,V39/(G39/Assumptions!$B$11),999)</f>
        <v/>
      </c>
      <c r="Z39" s="28">
        <f>S39+U39</f>
        <v/>
      </c>
      <c r="AA39" s="12">
        <f>IF(V39&lt;S39,"Below safety stock",IF(X39&lt;=T39,"Reorder now",IF(V39&gt;Z39,"Excess","Healthy")))</f>
        <v/>
      </c>
      <c r="AB39" s="16">
        <f>V39*E39</f>
        <v/>
      </c>
      <c r="AC39" s="16">
        <f>MAX(0,V39-Z39)*E39</f>
        <v/>
      </c>
      <c r="AD39" s="28">
        <f>IF(X39&lt;=T39,ROUNDUP(T39+U39-X39,0),0)</f>
        <v/>
      </c>
      <c r="AE39" s="16">
        <f>MAX(0,T39-X39)*E39</f>
        <v/>
      </c>
      <c r="AF39" s="31">
        <f>IF(INDEX(Stock_Snapshot!$D$2:$D$117,MATCH($A39,Stock_Snapshot!$A$2:$A$117,0))="","",INDEX(Stock_Snapshot!$D$2:$D$117,MATCH($A39,Stock_Snapshot!$A$2:$A$117,0)))</f>
        <v/>
      </c>
      <c r="AG39" s="12">
        <f>IF(AF39="","",IF(AF39&lt;=EDATE(Assumptions!$B$4,Assumptions!$B$12),"Expires &lt; "&amp;Assumptions!$B$12&amp;" m","OK"))</f>
        <v/>
      </c>
    </row>
    <row r="40">
      <c r="A40" s="12" t="inlineStr">
        <is>
          <t>CMD-0036</t>
        </is>
      </c>
      <c r="B40" s="12">
        <f>INDEX(Items!$B$2:$B$117,MATCH($A40,Items!$A$2:$A$117,0))</f>
        <v/>
      </c>
      <c r="C40" s="12">
        <f>INDEX(Items!$C$2:$C$117,MATCH($A40,Items!$A$2:$A$117,0))</f>
        <v/>
      </c>
      <c r="D40" s="12">
        <f>INDEX(Items!$D$2:$D$117,MATCH($A40,Items!$A$2:$A$117,0))</f>
        <v/>
      </c>
      <c r="E40" s="27">
        <f>INDEX(Items!$E$2:$E$117,MATCH($A40,Items!$A$2:$A$117,0))</f>
        <v/>
      </c>
      <c r="F40" s="28">
        <f>SUM(INDEX(Demand!$N$2:$Y$117,MATCH($A40,Demand!$A$2:$A$117,0),0))</f>
        <v/>
      </c>
      <c r="G40" s="28">
        <f>F40/12</f>
        <v/>
      </c>
      <c r="H40" s="28">
        <f>STDEV(INDEX(Demand!$N$2:$Y$117,MATCH($A40,Demand!$A$2:$A$117,0),0))</f>
        <v/>
      </c>
      <c r="I40" s="29">
        <f>IF(G40&gt;0,H40/G40,0)</f>
        <v/>
      </c>
      <c r="J40" s="16">
        <f>F40*E40</f>
        <v/>
      </c>
      <c r="K40" s="11">
        <f>SUMIF($J$5:$J$120,"&gt;="&amp;J40)/SUM($J$5:$J$120)</f>
        <v/>
      </c>
      <c r="L40" s="12">
        <f>IF(K40&lt;=Assumptions!$B$7,"A",IF(K40&lt;=Assumptions!$B$8,"B","C"))</f>
        <v/>
      </c>
      <c r="M40" s="12">
        <f>IF(I40&lt;=Assumptions!$B$9,"X",IF(I40&lt;=Assumptions!$B$10,"Y","Z"))</f>
        <v/>
      </c>
      <c r="N40" s="12">
        <f>L40&amp;M40</f>
        <v/>
      </c>
      <c r="O40" s="11">
        <f>INDEX(Assumptions!$F$4:$F$6,MATCH(L40,Assumptions!$E$4:$E$6,0))</f>
        <v/>
      </c>
      <c r="P40" s="29">
        <f>NORMSINV(O40)</f>
        <v/>
      </c>
      <c r="Q40" s="30">
        <f>IFERROR(AVERAGEIFS(PO_Lines!$R$2:$R$2025,PO_Lines!$B$2:$B$2025,$A40,PO_Lines!$Q$2:$Q$2025,1),INDEX(Items!$F$2:$F$117,MATCH($A40,Items!$A$2:$A$117,0)))</f>
        <v/>
      </c>
      <c r="R40" s="30">
        <f>IFERROR(SQRT(SUMPRODUCT((PO_Lines!$B$2:$B$2025=$A40)*PO_Lines!$Q$2:$Q$2025*(PO_Lines!$R$2:$R$2025-Q40)^2)/(COUNTIFS(PO_Lines!$B$2:$B$2025,$A40,PO_Lines!$Q$2:$Q$2025,1)-1)),0)</f>
        <v/>
      </c>
      <c r="S40" s="28">
        <f>ROUNDUP(P40*SQRT((Q40/Assumptions!$B$11)*H40^2+G40^2*(R40/Assumptions!$B$11)^2),0)</f>
        <v/>
      </c>
      <c r="T40" s="28">
        <f>ROUNDUP(G40*Q40/Assumptions!$B$11+S40,0)</f>
        <v/>
      </c>
      <c r="U40" s="28">
        <f>ROUNDUP(MAX(INDEX(Items!$G$2:$G$117,MATCH($A40,Items!$A$2:$A$117,0)),SQRT(2*F40*Assumptions!$B$5/(Assumptions!$B$6*E40)),G40*Assumptions!$B$16),0)</f>
        <v/>
      </c>
      <c r="V40" s="28">
        <f>INDEX(Stock_Snapshot!$B$2:$B$117,MATCH($A40,Stock_Snapshot!$A$2:$A$117,0))</f>
        <v/>
      </c>
      <c r="W40" s="28">
        <f>INDEX(Stock_Snapshot!$C$2:$C$117,MATCH($A40,Stock_Snapshot!$A$2:$A$117,0))</f>
        <v/>
      </c>
      <c r="X40" s="28">
        <f>V40+W40</f>
        <v/>
      </c>
      <c r="Y40" s="10">
        <f>IF(G40&gt;0,V40/(G40/Assumptions!$B$11),999)</f>
        <v/>
      </c>
      <c r="Z40" s="28">
        <f>S40+U40</f>
        <v/>
      </c>
      <c r="AA40" s="12">
        <f>IF(V40&lt;S40,"Below safety stock",IF(X40&lt;=T40,"Reorder now",IF(V40&gt;Z40,"Excess","Healthy")))</f>
        <v/>
      </c>
      <c r="AB40" s="16">
        <f>V40*E40</f>
        <v/>
      </c>
      <c r="AC40" s="16">
        <f>MAX(0,V40-Z40)*E40</f>
        <v/>
      </c>
      <c r="AD40" s="28">
        <f>IF(X40&lt;=T40,ROUNDUP(T40+U40-X40,0),0)</f>
        <v/>
      </c>
      <c r="AE40" s="16">
        <f>MAX(0,T40-X40)*E40</f>
        <v/>
      </c>
      <c r="AF40" s="31">
        <f>IF(INDEX(Stock_Snapshot!$D$2:$D$117,MATCH($A40,Stock_Snapshot!$A$2:$A$117,0))="","",INDEX(Stock_Snapshot!$D$2:$D$117,MATCH($A40,Stock_Snapshot!$A$2:$A$117,0)))</f>
        <v/>
      </c>
      <c r="AG40" s="12">
        <f>IF(AF40="","",IF(AF40&lt;=EDATE(Assumptions!$B$4,Assumptions!$B$12),"Expires &lt; "&amp;Assumptions!$B$12&amp;" m","OK"))</f>
        <v/>
      </c>
    </row>
    <row r="41">
      <c r="A41" s="12" t="inlineStr">
        <is>
          <t>CMD-0037</t>
        </is>
      </c>
      <c r="B41" s="12">
        <f>INDEX(Items!$B$2:$B$117,MATCH($A41,Items!$A$2:$A$117,0))</f>
        <v/>
      </c>
      <c r="C41" s="12">
        <f>INDEX(Items!$C$2:$C$117,MATCH($A41,Items!$A$2:$A$117,0))</f>
        <v/>
      </c>
      <c r="D41" s="12">
        <f>INDEX(Items!$D$2:$D$117,MATCH($A41,Items!$A$2:$A$117,0))</f>
        <v/>
      </c>
      <c r="E41" s="27">
        <f>INDEX(Items!$E$2:$E$117,MATCH($A41,Items!$A$2:$A$117,0))</f>
        <v/>
      </c>
      <c r="F41" s="28">
        <f>SUM(INDEX(Demand!$N$2:$Y$117,MATCH($A41,Demand!$A$2:$A$117,0),0))</f>
        <v/>
      </c>
      <c r="G41" s="28">
        <f>F41/12</f>
        <v/>
      </c>
      <c r="H41" s="28">
        <f>STDEV(INDEX(Demand!$N$2:$Y$117,MATCH($A41,Demand!$A$2:$A$117,0),0))</f>
        <v/>
      </c>
      <c r="I41" s="29">
        <f>IF(G41&gt;0,H41/G41,0)</f>
        <v/>
      </c>
      <c r="J41" s="16">
        <f>F41*E41</f>
        <v/>
      </c>
      <c r="K41" s="11">
        <f>SUMIF($J$5:$J$120,"&gt;="&amp;J41)/SUM($J$5:$J$120)</f>
        <v/>
      </c>
      <c r="L41" s="12">
        <f>IF(K41&lt;=Assumptions!$B$7,"A",IF(K41&lt;=Assumptions!$B$8,"B","C"))</f>
        <v/>
      </c>
      <c r="M41" s="12">
        <f>IF(I41&lt;=Assumptions!$B$9,"X",IF(I41&lt;=Assumptions!$B$10,"Y","Z"))</f>
        <v/>
      </c>
      <c r="N41" s="12">
        <f>L41&amp;M41</f>
        <v/>
      </c>
      <c r="O41" s="11">
        <f>INDEX(Assumptions!$F$4:$F$6,MATCH(L41,Assumptions!$E$4:$E$6,0))</f>
        <v/>
      </c>
      <c r="P41" s="29">
        <f>NORMSINV(O41)</f>
        <v/>
      </c>
      <c r="Q41" s="30">
        <f>IFERROR(AVERAGEIFS(PO_Lines!$R$2:$R$2025,PO_Lines!$B$2:$B$2025,$A41,PO_Lines!$Q$2:$Q$2025,1),INDEX(Items!$F$2:$F$117,MATCH($A41,Items!$A$2:$A$117,0)))</f>
        <v/>
      </c>
      <c r="R41" s="30">
        <f>IFERROR(SQRT(SUMPRODUCT((PO_Lines!$B$2:$B$2025=$A41)*PO_Lines!$Q$2:$Q$2025*(PO_Lines!$R$2:$R$2025-Q41)^2)/(COUNTIFS(PO_Lines!$B$2:$B$2025,$A41,PO_Lines!$Q$2:$Q$2025,1)-1)),0)</f>
        <v/>
      </c>
      <c r="S41" s="28">
        <f>ROUNDUP(P41*SQRT((Q41/Assumptions!$B$11)*H41^2+G41^2*(R41/Assumptions!$B$11)^2),0)</f>
        <v/>
      </c>
      <c r="T41" s="28">
        <f>ROUNDUP(G41*Q41/Assumptions!$B$11+S41,0)</f>
        <v/>
      </c>
      <c r="U41" s="28">
        <f>ROUNDUP(MAX(INDEX(Items!$G$2:$G$117,MATCH($A41,Items!$A$2:$A$117,0)),SQRT(2*F41*Assumptions!$B$5/(Assumptions!$B$6*E41)),G41*Assumptions!$B$16),0)</f>
        <v/>
      </c>
      <c r="V41" s="28">
        <f>INDEX(Stock_Snapshot!$B$2:$B$117,MATCH($A41,Stock_Snapshot!$A$2:$A$117,0))</f>
        <v/>
      </c>
      <c r="W41" s="28">
        <f>INDEX(Stock_Snapshot!$C$2:$C$117,MATCH($A41,Stock_Snapshot!$A$2:$A$117,0))</f>
        <v/>
      </c>
      <c r="X41" s="28">
        <f>V41+W41</f>
        <v/>
      </c>
      <c r="Y41" s="10">
        <f>IF(G41&gt;0,V41/(G41/Assumptions!$B$11),999)</f>
        <v/>
      </c>
      <c r="Z41" s="28">
        <f>S41+U41</f>
        <v/>
      </c>
      <c r="AA41" s="12">
        <f>IF(V41&lt;S41,"Below safety stock",IF(X41&lt;=T41,"Reorder now",IF(V41&gt;Z41,"Excess","Healthy")))</f>
        <v/>
      </c>
      <c r="AB41" s="16">
        <f>V41*E41</f>
        <v/>
      </c>
      <c r="AC41" s="16">
        <f>MAX(0,V41-Z41)*E41</f>
        <v/>
      </c>
      <c r="AD41" s="28">
        <f>IF(X41&lt;=T41,ROUNDUP(T41+U41-X41,0),0)</f>
        <v/>
      </c>
      <c r="AE41" s="16">
        <f>MAX(0,T41-X41)*E41</f>
        <v/>
      </c>
      <c r="AF41" s="31">
        <f>IF(INDEX(Stock_Snapshot!$D$2:$D$117,MATCH($A41,Stock_Snapshot!$A$2:$A$117,0))="","",INDEX(Stock_Snapshot!$D$2:$D$117,MATCH($A41,Stock_Snapshot!$A$2:$A$117,0)))</f>
        <v/>
      </c>
      <c r="AG41" s="12">
        <f>IF(AF41="","",IF(AF41&lt;=EDATE(Assumptions!$B$4,Assumptions!$B$12),"Expires &lt; "&amp;Assumptions!$B$12&amp;" m","OK"))</f>
        <v/>
      </c>
    </row>
    <row r="42">
      <c r="A42" s="12" t="inlineStr">
        <is>
          <t>CMD-0038</t>
        </is>
      </c>
      <c r="B42" s="12">
        <f>INDEX(Items!$B$2:$B$117,MATCH($A42,Items!$A$2:$A$117,0))</f>
        <v/>
      </c>
      <c r="C42" s="12">
        <f>INDEX(Items!$C$2:$C$117,MATCH($A42,Items!$A$2:$A$117,0))</f>
        <v/>
      </c>
      <c r="D42" s="12">
        <f>INDEX(Items!$D$2:$D$117,MATCH($A42,Items!$A$2:$A$117,0))</f>
        <v/>
      </c>
      <c r="E42" s="27">
        <f>INDEX(Items!$E$2:$E$117,MATCH($A42,Items!$A$2:$A$117,0))</f>
        <v/>
      </c>
      <c r="F42" s="28">
        <f>SUM(INDEX(Demand!$N$2:$Y$117,MATCH($A42,Demand!$A$2:$A$117,0),0))</f>
        <v/>
      </c>
      <c r="G42" s="28">
        <f>F42/12</f>
        <v/>
      </c>
      <c r="H42" s="28">
        <f>STDEV(INDEX(Demand!$N$2:$Y$117,MATCH($A42,Demand!$A$2:$A$117,0),0))</f>
        <v/>
      </c>
      <c r="I42" s="29">
        <f>IF(G42&gt;0,H42/G42,0)</f>
        <v/>
      </c>
      <c r="J42" s="16">
        <f>F42*E42</f>
        <v/>
      </c>
      <c r="K42" s="11">
        <f>SUMIF($J$5:$J$120,"&gt;="&amp;J42)/SUM($J$5:$J$120)</f>
        <v/>
      </c>
      <c r="L42" s="12">
        <f>IF(K42&lt;=Assumptions!$B$7,"A",IF(K42&lt;=Assumptions!$B$8,"B","C"))</f>
        <v/>
      </c>
      <c r="M42" s="12">
        <f>IF(I42&lt;=Assumptions!$B$9,"X",IF(I42&lt;=Assumptions!$B$10,"Y","Z"))</f>
        <v/>
      </c>
      <c r="N42" s="12">
        <f>L42&amp;M42</f>
        <v/>
      </c>
      <c r="O42" s="11">
        <f>INDEX(Assumptions!$F$4:$F$6,MATCH(L42,Assumptions!$E$4:$E$6,0))</f>
        <v/>
      </c>
      <c r="P42" s="29">
        <f>NORMSINV(O42)</f>
        <v/>
      </c>
      <c r="Q42" s="30">
        <f>IFERROR(AVERAGEIFS(PO_Lines!$R$2:$R$2025,PO_Lines!$B$2:$B$2025,$A42,PO_Lines!$Q$2:$Q$2025,1),INDEX(Items!$F$2:$F$117,MATCH($A42,Items!$A$2:$A$117,0)))</f>
        <v/>
      </c>
      <c r="R42" s="30">
        <f>IFERROR(SQRT(SUMPRODUCT((PO_Lines!$B$2:$B$2025=$A42)*PO_Lines!$Q$2:$Q$2025*(PO_Lines!$R$2:$R$2025-Q42)^2)/(COUNTIFS(PO_Lines!$B$2:$B$2025,$A42,PO_Lines!$Q$2:$Q$2025,1)-1)),0)</f>
        <v/>
      </c>
      <c r="S42" s="28">
        <f>ROUNDUP(P42*SQRT((Q42/Assumptions!$B$11)*H42^2+G42^2*(R42/Assumptions!$B$11)^2),0)</f>
        <v/>
      </c>
      <c r="T42" s="28">
        <f>ROUNDUP(G42*Q42/Assumptions!$B$11+S42,0)</f>
        <v/>
      </c>
      <c r="U42" s="28">
        <f>ROUNDUP(MAX(INDEX(Items!$G$2:$G$117,MATCH($A42,Items!$A$2:$A$117,0)),SQRT(2*F42*Assumptions!$B$5/(Assumptions!$B$6*E42)),G42*Assumptions!$B$16),0)</f>
        <v/>
      </c>
      <c r="V42" s="28">
        <f>INDEX(Stock_Snapshot!$B$2:$B$117,MATCH($A42,Stock_Snapshot!$A$2:$A$117,0))</f>
        <v/>
      </c>
      <c r="W42" s="28">
        <f>INDEX(Stock_Snapshot!$C$2:$C$117,MATCH($A42,Stock_Snapshot!$A$2:$A$117,0))</f>
        <v/>
      </c>
      <c r="X42" s="28">
        <f>V42+W42</f>
        <v/>
      </c>
      <c r="Y42" s="10">
        <f>IF(G42&gt;0,V42/(G42/Assumptions!$B$11),999)</f>
        <v/>
      </c>
      <c r="Z42" s="28">
        <f>S42+U42</f>
        <v/>
      </c>
      <c r="AA42" s="12">
        <f>IF(V42&lt;S42,"Below safety stock",IF(X42&lt;=T42,"Reorder now",IF(V42&gt;Z42,"Excess","Healthy")))</f>
        <v/>
      </c>
      <c r="AB42" s="16">
        <f>V42*E42</f>
        <v/>
      </c>
      <c r="AC42" s="16">
        <f>MAX(0,V42-Z42)*E42</f>
        <v/>
      </c>
      <c r="AD42" s="28">
        <f>IF(X42&lt;=T42,ROUNDUP(T42+U42-X42,0),0)</f>
        <v/>
      </c>
      <c r="AE42" s="16">
        <f>MAX(0,T42-X42)*E42</f>
        <v/>
      </c>
      <c r="AF42" s="31">
        <f>IF(INDEX(Stock_Snapshot!$D$2:$D$117,MATCH($A42,Stock_Snapshot!$A$2:$A$117,0))="","",INDEX(Stock_Snapshot!$D$2:$D$117,MATCH($A42,Stock_Snapshot!$A$2:$A$117,0)))</f>
        <v/>
      </c>
      <c r="AG42" s="12">
        <f>IF(AF42="","",IF(AF42&lt;=EDATE(Assumptions!$B$4,Assumptions!$B$12),"Expires &lt; "&amp;Assumptions!$B$12&amp;" m","OK"))</f>
        <v/>
      </c>
    </row>
    <row r="43">
      <c r="A43" s="12" t="inlineStr">
        <is>
          <t>CMD-0039</t>
        </is>
      </c>
      <c r="B43" s="12">
        <f>INDEX(Items!$B$2:$B$117,MATCH($A43,Items!$A$2:$A$117,0))</f>
        <v/>
      </c>
      <c r="C43" s="12">
        <f>INDEX(Items!$C$2:$C$117,MATCH($A43,Items!$A$2:$A$117,0))</f>
        <v/>
      </c>
      <c r="D43" s="12">
        <f>INDEX(Items!$D$2:$D$117,MATCH($A43,Items!$A$2:$A$117,0))</f>
        <v/>
      </c>
      <c r="E43" s="27">
        <f>INDEX(Items!$E$2:$E$117,MATCH($A43,Items!$A$2:$A$117,0))</f>
        <v/>
      </c>
      <c r="F43" s="28">
        <f>SUM(INDEX(Demand!$N$2:$Y$117,MATCH($A43,Demand!$A$2:$A$117,0),0))</f>
        <v/>
      </c>
      <c r="G43" s="28">
        <f>F43/12</f>
        <v/>
      </c>
      <c r="H43" s="28">
        <f>STDEV(INDEX(Demand!$N$2:$Y$117,MATCH($A43,Demand!$A$2:$A$117,0),0))</f>
        <v/>
      </c>
      <c r="I43" s="29">
        <f>IF(G43&gt;0,H43/G43,0)</f>
        <v/>
      </c>
      <c r="J43" s="16">
        <f>F43*E43</f>
        <v/>
      </c>
      <c r="K43" s="11">
        <f>SUMIF($J$5:$J$120,"&gt;="&amp;J43)/SUM($J$5:$J$120)</f>
        <v/>
      </c>
      <c r="L43" s="12">
        <f>IF(K43&lt;=Assumptions!$B$7,"A",IF(K43&lt;=Assumptions!$B$8,"B","C"))</f>
        <v/>
      </c>
      <c r="M43" s="12">
        <f>IF(I43&lt;=Assumptions!$B$9,"X",IF(I43&lt;=Assumptions!$B$10,"Y","Z"))</f>
        <v/>
      </c>
      <c r="N43" s="12">
        <f>L43&amp;M43</f>
        <v/>
      </c>
      <c r="O43" s="11">
        <f>INDEX(Assumptions!$F$4:$F$6,MATCH(L43,Assumptions!$E$4:$E$6,0))</f>
        <v/>
      </c>
      <c r="P43" s="29">
        <f>NORMSINV(O43)</f>
        <v/>
      </c>
      <c r="Q43" s="30">
        <f>IFERROR(AVERAGEIFS(PO_Lines!$R$2:$R$2025,PO_Lines!$B$2:$B$2025,$A43,PO_Lines!$Q$2:$Q$2025,1),INDEX(Items!$F$2:$F$117,MATCH($A43,Items!$A$2:$A$117,0)))</f>
        <v/>
      </c>
      <c r="R43" s="30">
        <f>IFERROR(SQRT(SUMPRODUCT((PO_Lines!$B$2:$B$2025=$A43)*PO_Lines!$Q$2:$Q$2025*(PO_Lines!$R$2:$R$2025-Q43)^2)/(COUNTIFS(PO_Lines!$B$2:$B$2025,$A43,PO_Lines!$Q$2:$Q$2025,1)-1)),0)</f>
        <v/>
      </c>
      <c r="S43" s="28">
        <f>ROUNDUP(P43*SQRT((Q43/Assumptions!$B$11)*H43^2+G43^2*(R43/Assumptions!$B$11)^2),0)</f>
        <v/>
      </c>
      <c r="T43" s="28">
        <f>ROUNDUP(G43*Q43/Assumptions!$B$11+S43,0)</f>
        <v/>
      </c>
      <c r="U43" s="28">
        <f>ROUNDUP(MAX(INDEX(Items!$G$2:$G$117,MATCH($A43,Items!$A$2:$A$117,0)),SQRT(2*F43*Assumptions!$B$5/(Assumptions!$B$6*E43)),G43*Assumptions!$B$16),0)</f>
        <v/>
      </c>
      <c r="V43" s="28">
        <f>INDEX(Stock_Snapshot!$B$2:$B$117,MATCH($A43,Stock_Snapshot!$A$2:$A$117,0))</f>
        <v/>
      </c>
      <c r="W43" s="28">
        <f>INDEX(Stock_Snapshot!$C$2:$C$117,MATCH($A43,Stock_Snapshot!$A$2:$A$117,0))</f>
        <v/>
      </c>
      <c r="X43" s="28">
        <f>V43+W43</f>
        <v/>
      </c>
      <c r="Y43" s="10">
        <f>IF(G43&gt;0,V43/(G43/Assumptions!$B$11),999)</f>
        <v/>
      </c>
      <c r="Z43" s="28">
        <f>S43+U43</f>
        <v/>
      </c>
      <c r="AA43" s="12">
        <f>IF(V43&lt;S43,"Below safety stock",IF(X43&lt;=T43,"Reorder now",IF(V43&gt;Z43,"Excess","Healthy")))</f>
        <v/>
      </c>
      <c r="AB43" s="16">
        <f>V43*E43</f>
        <v/>
      </c>
      <c r="AC43" s="16">
        <f>MAX(0,V43-Z43)*E43</f>
        <v/>
      </c>
      <c r="AD43" s="28">
        <f>IF(X43&lt;=T43,ROUNDUP(T43+U43-X43,0),0)</f>
        <v/>
      </c>
      <c r="AE43" s="16">
        <f>MAX(0,T43-X43)*E43</f>
        <v/>
      </c>
      <c r="AF43" s="31">
        <f>IF(INDEX(Stock_Snapshot!$D$2:$D$117,MATCH($A43,Stock_Snapshot!$A$2:$A$117,0))="","",INDEX(Stock_Snapshot!$D$2:$D$117,MATCH($A43,Stock_Snapshot!$A$2:$A$117,0)))</f>
        <v/>
      </c>
      <c r="AG43" s="12">
        <f>IF(AF43="","",IF(AF43&lt;=EDATE(Assumptions!$B$4,Assumptions!$B$12),"Expires &lt; "&amp;Assumptions!$B$12&amp;" m","OK"))</f>
        <v/>
      </c>
    </row>
    <row r="44">
      <c r="A44" s="12" t="inlineStr">
        <is>
          <t>CMD-0040</t>
        </is>
      </c>
      <c r="B44" s="12">
        <f>INDEX(Items!$B$2:$B$117,MATCH($A44,Items!$A$2:$A$117,0))</f>
        <v/>
      </c>
      <c r="C44" s="12">
        <f>INDEX(Items!$C$2:$C$117,MATCH($A44,Items!$A$2:$A$117,0))</f>
        <v/>
      </c>
      <c r="D44" s="12">
        <f>INDEX(Items!$D$2:$D$117,MATCH($A44,Items!$A$2:$A$117,0))</f>
        <v/>
      </c>
      <c r="E44" s="27">
        <f>INDEX(Items!$E$2:$E$117,MATCH($A44,Items!$A$2:$A$117,0))</f>
        <v/>
      </c>
      <c r="F44" s="28">
        <f>SUM(INDEX(Demand!$N$2:$Y$117,MATCH($A44,Demand!$A$2:$A$117,0),0))</f>
        <v/>
      </c>
      <c r="G44" s="28">
        <f>F44/12</f>
        <v/>
      </c>
      <c r="H44" s="28">
        <f>STDEV(INDEX(Demand!$N$2:$Y$117,MATCH($A44,Demand!$A$2:$A$117,0),0))</f>
        <v/>
      </c>
      <c r="I44" s="29">
        <f>IF(G44&gt;0,H44/G44,0)</f>
        <v/>
      </c>
      <c r="J44" s="16">
        <f>F44*E44</f>
        <v/>
      </c>
      <c r="K44" s="11">
        <f>SUMIF($J$5:$J$120,"&gt;="&amp;J44)/SUM($J$5:$J$120)</f>
        <v/>
      </c>
      <c r="L44" s="12">
        <f>IF(K44&lt;=Assumptions!$B$7,"A",IF(K44&lt;=Assumptions!$B$8,"B","C"))</f>
        <v/>
      </c>
      <c r="M44" s="12">
        <f>IF(I44&lt;=Assumptions!$B$9,"X",IF(I44&lt;=Assumptions!$B$10,"Y","Z"))</f>
        <v/>
      </c>
      <c r="N44" s="12">
        <f>L44&amp;M44</f>
        <v/>
      </c>
      <c r="O44" s="11">
        <f>INDEX(Assumptions!$F$4:$F$6,MATCH(L44,Assumptions!$E$4:$E$6,0))</f>
        <v/>
      </c>
      <c r="P44" s="29">
        <f>NORMSINV(O44)</f>
        <v/>
      </c>
      <c r="Q44" s="30">
        <f>IFERROR(AVERAGEIFS(PO_Lines!$R$2:$R$2025,PO_Lines!$B$2:$B$2025,$A44,PO_Lines!$Q$2:$Q$2025,1),INDEX(Items!$F$2:$F$117,MATCH($A44,Items!$A$2:$A$117,0)))</f>
        <v/>
      </c>
      <c r="R44" s="30">
        <f>IFERROR(SQRT(SUMPRODUCT((PO_Lines!$B$2:$B$2025=$A44)*PO_Lines!$Q$2:$Q$2025*(PO_Lines!$R$2:$R$2025-Q44)^2)/(COUNTIFS(PO_Lines!$B$2:$B$2025,$A44,PO_Lines!$Q$2:$Q$2025,1)-1)),0)</f>
        <v/>
      </c>
      <c r="S44" s="28">
        <f>ROUNDUP(P44*SQRT((Q44/Assumptions!$B$11)*H44^2+G44^2*(R44/Assumptions!$B$11)^2),0)</f>
        <v/>
      </c>
      <c r="T44" s="28">
        <f>ROUNDUP(G44*Q44/Assumptions!$B$11+S44,0)</f>
        <v/>
      </c>
      <c r="U44" s="28">
        <f>ROUNDUP(MAX(INDEX(Items!$G$2:$G$117,MATCH($A44,Items!$A$2:$A$117,0)),SQRT(2*F44*Assumptions!$B$5/(Assumptions!$B$6*E44)),G44*Assumptions!$B$16),0)</f>
        <v/>
      </c>
      <c r="V44" s="28">
        <f>INDEX(Stock_Snapshot!$B$2:$B$117,MATCH($A44,Stock_Snapshot!$A$2:$A$117,0))</f>
        <v/>
      </c>
      <c r="W44" s="28">
        <f>INDEX(Stock_Snapshot!$C$2:$C$117,MATCH($A44,Stock_Snapshot!$A$2:$A$117,0))</f>
        <v/>
      </c>
      <c r="X44" s="28">
        <f>V44+W44</f>
        <v/>
      </c>
      <c r="Y44" s="10">
        <f>IF(G44&gt;0,V44/(G44/Assumptions!$B$11),999)</f>
        <v/>
      </c>
      <c r="Z44" s="28">
        <f>S44+U44</f>
        <v/>
      </c>
      <c r="AA44" s="12">
        <f>IF(V44&lt;S44,"Below safety stock",IF(X44&lt;=T44,"Reorder now",IF(V44&gt;Z44,"Excess","Healthy")))</f>
        <v/>
      </c>
      <c r="AB44" s="16">
        <f>V44*E44</f>
        <v/>
      </c>
      <c r="AC44" s="16">
        <f>MAX(0,V44-Z44)*E44</f>
        <v/>
      </c>
      <c r="AD44" s="28">
        <f>IF(X44&lt;=T44,ROUNDUP(T44+U44-X44,0),0)</f>
        <v/>
      </c>
      <c r="AE44" s="16">
        <f>MAX(0,T44-X44)*E44</f>
        <v/>
      </c>
      <c r="AF44" s="31">
        <f>IF(INDEX(Stock_Snapshot!$D$2:$D$117,MATCH($A44,Stock_Snapshot!$A$2:$A$117,0))="","",INDEX(Stock_Snapshot!$D$2:$D$117,MATCH($A44,Stock_Snapshot!$A$2:$A$117,0)))</f>
        <v/>
      </c>
      <c r="AG44" s="12">
        <f>IF(AF44="","",IF(AF44&lt;=EDATE(Assumptions!$B$4,Assumptions!$B$12),"Expires &lt; "&amp;Assumptions!$B$12&amp;" m","OK"))</f>
        <v/>
      </c>
    </row>
    <row r="45">
      <c r="A45" s="12" t="inlineStr">
        <is>
          <t>CMD-0041</t>
        </is>
      </c>
      <c r="B45" s="12">
        <f>INDEX(Items!$B$2:$B$117,MATCH($A45,Items!$A$2:$A$117,0))</f>
        <v/>
      </c>
      <c r="C45" s="12">
        <f>INDEX(Items!$C$2:$C$117,MATCH($A45,Items!$A$2:$A$117,0))</f>
        <v/>
      </c>
      <c r="D45" s="12">
        <f>INDEX(Items!$D$2:$D$117,MATCH($A45,Items!$A$2:$A$117,0))</f>
        <v/>
      </c>
      <c r="E45" s="27">
        <f>INDEX(Items!$E$2:$E$117,MATCH($A45,Items!$A$2:$A$117,0))</f>
        <v/>
      </c>
      <c r="F45" s="28">
        <f>SUM(INDEX(Demand!$N$2:$Y$117,MATCH($A45,Demand!$A$2:$A$117,0),0))</f>
        <v/>
      </c>
      <c r="G45" s="28">
        <f>F45/12</f>
        <v/>
      </c>
      <c r="H45" s="28">
        <f>STDEV(INDEX(Demand!$N$2:$Y$117,MATCH($A45,Demand!$A$2:$A$117,0),0))</f>
        <v/>
      </c>
      <c r="I45" s="29">
        <f>IF(G45&gt;0,H45/G45,0)</f>
        <v/>
      </c>
      <c r="J45" s="16">
        <f>F45*E45</f>
        <v/>
      </c>
      <c r="K45" s="11">
        <f>SUMIF($J$5:$J$120,"&gt;="&amp;J45)/SUM($J$5:$J$120)</f>
        <v/>
      </c>
      <c r="L45" s="12">
        <f>IF(K45&lt;=Assumptions!$B$7,"A",IF(K45&lt;=Assumptions!$B$8,"B","C"))</f>
        <v/>
      </c>
      <c r="M45" s="12">
        <f>IF(I45&lt;=Assumptions!$B$9,"X",IF(I45&lt;=Assumptions!$B$10,"Y","Z"))</f>
        <v/>
      </c>
      <c r="N45" s="12">
        <f>L45&amp;M45</f>
        <v/>
      </c>
      <c r="O45" s="11">
        <f>INDEX(Assumptions!$F$4:$F$6,MATCH(L45,Assumptions!$E$4:$E$6,0))</f>
        <v/>
      </c>
      <c r="P45" s="29">
        <f>NORMSINV(O45)</f>
        <v/>
      </c>
      <c r="Q45" s="30">
        <f>IFERROR(AVERAGEIFS(PO_Lines!$R$2:$R$2025,PO_Lines!$B$2:$B$2025,$A45,PO_Lines!$Q$2:$Q$2025,1),INDEX(Items!$F$2:$F$117,MATCH($A45,Items!$A$2:$A$117,0)))</f>
        <v/>
      </c>
      <c r="R45" s="30">
        <f>IFERROR(SQRT(SUMPRODUCT((PO_Lines!$B$2:$B$2025=$A45)*PO_Lines!$Q$2:$Q$2025*(PO_Lines!$R$2:$R$2025-Q45)^2)/(COUNTIFS(PO_Lines!$B$2:$B$2025,$A45,PO_Lines!$Q$2:$Q$2025,1)-1)),0)</f>
        <v/>
      </c>
      <c r="S45" s="28">
        <f>ROUNDUP(P45*SQRT((Q45/Assumptions!$B$11)*H45^2+G45^2*(R45/Assumptions!$B$11)^2),0)</f>
        <v/>
      </c>
      <c r="T45" s="28">
        <f>ROUNDUP(G45*Q45/Assumptions!$B$11+S45,0)</f>
        <v/>
      </c>
      <c r="U45" s="28">
        <f>ROUNDUP(MAX(INDEX(Items!$G$2:$G$117,MATCH($A45,Items!$A$2:$A$117,0)),SQRT(2*F45*Assumptions!$B$5/(Assumptions!$B$6*E45)),G45*Assumptions!$B$16),0)</f>
        <v/>
      </c>
      <c r="V45" s="28">
        <f>INDEX(Stock_Snapshot!$B$2:$B$117,MATCH($A45,Stock_Snapshot!$A$2:$A$117,0))</f>
        <v/>
      </c>
      <c r="W45" s="28">
        <f>INDEX(Stock_Snapshot!$C$2:$C$117,MATCH($A45,Stock_Snapshot!$A$2:$A$117,0))</f>
        <v/>
      </c>
      <c r="X45" s="28">
        <f>V45+W45</f>
        <v/>
      </c>
      <c r="Y45" s="10">
        <f>IF(G45&gt;0,V45/(G45/Assumptions!$B$11),999)</f>
        <v/>
      </c>
      <c r="Z45" s="28">
        <f>S45+U45</f>
        <v/>
      </c>
      <c r="AA45" s="12">
        <f>IF(V45&lt;S45,"Below safety stock",IF(X45&lt;=T45,"Reorder now",IF(V45&gt;Z45,"Excess","Healthy")))</f>
        <v/>
      </c>
      <c r="AB45" s="16">
        <f>V45*E45</f>
        <v/>
      </c>
      <c r="AC45" s="16">
        <f>MAX(0,V45-Z45)*E45</f>
        <v/>
      </c>
      <c r="AD45" s="28">
        <f>IF(X45&lt;=T45,ROUNDUP(T45+U45-X45,0),0)</f>
        <v/>
      </c>
      <c r="AE45" s="16">
        <f>MAX(0,T45-X45)*E45</f>
        <v/>
      </c>
      <c r="AF45" s="31">
        <f>IF(INDEX(Stock_Snapshot!$D$2:$D$117,MATCH($A45,Stock_Snapshot!$A$2:$A$117,0))="","",INDEX(Stock_Snapshot!$D$2:$D$117,MATCH($A45,Stock_Snapshot!$A$2:$A$117,0)))</f>
        <v/>
      </c>
      <c r="AG45" s="12">
        <f>IF(AF45="","",IF(AF45&lt;=EDATE(Assumptions!$B$4,Assumptions!$B$12),"Expires &lt; "&amp;Assumptions!$B$12&amp;" m","OK"))</f>
        <v/>
      </c>
    </row>
    <row r="46">
      <c r="A46" s="12" t="inlineStr">
        <is>
          <t>CMD-0042</t>
        </is>
      </c>
      <c r="B46" s="12">
        <f>INDEX(Items!$B$2:$B$117,MATCH($A46,Items!$A$2:$A$117,0))</f>
        <v/>
      </c>
      <c r="C46" s="12">
        <f>INDEX(Items!$C$2:$C$117,MATCH($A46,Items!$A$2:$A$117,0))</f>
        <v/>
      </c>
      <c r="D46" s="12">
        <f>INDEX(Items!$D$2:$D$117,MATCH($A46,Items!$A$2:$A$117,0))</f>
        <v/>
      </c>
      <c r="E46" s="27">
        <f>INDEX(Items!$E$2:$E$117,MATCH($A46,Items!$A$2:$A$117,0))</f>
        <v/>
      </c>
      <c r="F46" s="28">
        <f>SUM(INDEX(Demand!$N$2:$Y$117,MATCH($A46,Demand!$A$2:$A$117,0),0))</f>
        <v/>
      </c>
      <c r="G46" s="28">
        <f>F46/12</f>
        <v/>
      </c>
      <c r="H46" s="28">
        <f>STDEV(INDEX(Demand!$N$2:$Y$117,MATCH($A46,Demand!$A$2:$A$117,0),0))</f>
        <v/>
      </c>
      <c r="I46" s="29">
        <f>IF(G46&gt;0,H46/G46,0)</f>
        <v/>
      </c>
      <c r="J46" s="16">
        <f>F46*E46</f>
        <v/>
      </c>
      <c r="K46" s="11">
        <f>SUMIF($J$5:$J$120,"&gt;="&amp;J46)/SUM($J$5:$J$120)</f>
        <v/>
      </c>
      <c r="L46" s="12">
        <f>IF(K46&lt;=Assumptions!$B$7,"A",IF(K46&lt;=Assumptions!$B$8,"B","C"))</f>
        <v/>
      </c>
      <c r="M46" s="12">
        <f>IF(I46&lt;=Assumptions!$B$9,"X",IF(I46&lt;=Assumptions!$B$10,"Y","Z"))</f>
        <v/>
      </c>
      <c r="N46" s="12">
        <f>L46&amp;M46</f>
        <v/>
      </c>
      <c r="O46" s="11">
        <f>INDEX(Assumptions!$F$4:$F$6,MATCH(L46,Assumptions!$E$4:$E$6,0))</f>
        <v/>
      </c>
      <c r="P46" s="29">
        <f>NORMSINV(O46)</f>
        <v/>
      </c>
      <c r="Q46" s="30">
        <f>IFERROR(AVERAGEIFS(PO_Lines!$R$2:$R$2025,PO_Lines!$B$2:$B$2025,$A46,PO_Lines!$Q$2:$Q$2025,1),INDEX(Items!$F$2:$F$117,MATCH($A46,Items!$A$2:$A$117,0)))</f>
        <v/>
      </c>
      <c r="R46" s="30">
        <f>IFERROR(SQRT(SUMPRODUCT((PO_Lines!$B$2:$B$2025=$A46)*PO_Lines!$Q$2:$Q$2025*(PO_Lines!$R$2:$R$2025-Q46)^2)/(COUNTIFS(PO_Lines!$B$2:$B$2025,$A46,PO_Lines!$Q$2:$Q$2025,1)-1)),0)</f>
        <v/>
      </c>
      <c r="S46" s="28">
        <f>ROUNDUP(P46*SQRT((Q46/Assumptions!$B$11)*H46^2+G46^2*(R46/Assumptions!$B$11)^2),0)</f>
        <v/>
      </c>
      <c r="T46" s="28">
        <f>ROUNDUP(G46*Q46/Assumptions!$B$11+S46,0)</f>
        <v/>
      </c>
      <c r="U46" s="28">
        <f>ROUNDUP(MAX(INDEX(Items!$G$2:$G$117,MATCH($A46,Items!$A$2:$A$117,0)),SQRT(2*F46*Assumptions!$B$5/(Assumptions!$B$6*E46)),G46*Assumptions!$B$16),0)</f>
        <v/>
      </c>
      <c r="V46" s="28">
        <f>INDEX(Stock_Snapshot!$B$2:$B$117,MATCH($A46,Stock_Snapshot!$A$2:$A$117,0))</f>
        <v/>
      </c>
      <c r="W46" s="28">
        <f>INDEX(Stock_Snapshot!$C$2:$C$117,MATCH($A46,Stock_Snapshot!$A$2:$A$117,0))</f>
        <v/>
      </c>
      <c r="X46" s="28">
        <f>V46+W46</f>
        <v/>
      </c>
      <c r="Y46" s="10">
        <f>IF(G46&gt;0,V46/(G46/Assumptions!$B$11),999)</f>
        <v/>
      </c>
      <c r="Z46" s="28">
        <f>S46+U46</f>
        <v/>
      </c>
      <c r="AA46" s="12">
        <f>IF(V46&lt;S46,"Below safety stock",IF(X46&lt;=T46,"Reorder now",IF(V46&gt;Z46,"Excess","Healthy")))</f>
        <v/>
      </c>
      <c r="AB46" s="16">
        <f>V46*E46</f>
        <v/>
      </c>
      <c r="AC46" s="16">
        <f>MAX(0,V46-Z46)*E46</f>
        <v/>
      </c>
      <c r="AD46" s="28">
        <f>IF(X46&lt;=T46,ROUNDUP(T46+U46-X46,0),0)</f>
        <v/>
      </c>
      <c r="AE46" s="16">
        <f>MAX(0,T46-X46)*E46</f>
        <v/>
      </c>
      <c r="AF46" s="31">
        <f>IF(INDEX(Stock_Snapshot!$D$2:$D$117,MATCH($A46,Stock_Snapshot!$A$2:$A$117,0))="","",INDEX(Stock_Snapshot!$D$2:$D$117,MATCH($A46,Stock_Snapshot!$A$2:$A$117,0)))</f>
        <v/>
      </c>
      <c r="AG46" s="12">
        <f>IF(AF46="","",IF(AF46&lt;=EDATE(Assumptions!$B$4,Assumptions!$B$12),"Expires &lt; "&amp;Assumptions!$B$12&amp;" m","OK"))</f>
        <v/>
      </c>
    </row>
    <row r="47">
      <c r="A47" s="12" t="inlineStr">
        <is>
          <t>CMD-0043</t>
        </is>
      </c>
      <c r="B47" s="12">
        <f>INDEX(Items!$B$2:$B$117,MATCH($A47,Items!$A$2:$A$117,0))</f>
        <v/>
      </c>
      <c r="C47" s="12">
        <f>INDEX(Items!$C$2:$C$117,MATCH($A47,Items!$A$2:$A$117,0))</f>
        <v/>
      </c>
      <c r="D47" s="12">
        <f>INDEX(Items!$D$2:$D$117,MATCH($A47,Items!$A$2:$A$117,0))</f>
        <v/>
      </c>
      <c r="E47" s="27">
        <f>INDEX(Items!$E$2:$E$117,MATCH($A47,Items!$A$2:$A$117,0))</f>
        <v/>
      </c>
      <c r="F47" s="28">
        <f>SUM(INDEX(Demand!$N$2:$Y$117,MATCH($A47,Demand!$A$2:$A$117,0),0))</f>
        <v/>
      </c>
      <c r="G47" s="28">
        <f>F47/12</f>
        <v/>
      </c>
      <c r="H47" s="28">
        <f>STDEV(INDEX(Demand!$N$2:$Y$117,MATCH($A47,Demand!$A$2:$A$117,0),0))</f>
        <v/>
      </c>
      <c r="I47" s="29">
        <f>IF(G47&gt;0,H47/G47,0)</f>
        <v/>
      </c>
      <c r="J47" s="16">
        <f>F47*E47</f>
        <v/>
      </c>
      <c r="K47" s="11">
        <f>SUMIF($J$5:$J$120,"&gt;="&amp;J47)/SUM($J$5:$J$120)</f>
        <v/>
      </c>
      <c r="L47" s="12">
        <f>IF(K47&lt;=Assumptions!$B$7,"A",IF(K47&lt;=Assumptions!$B$8,"B","C"))</f>
        <v/>
      </c>
      <c r="M47" s="12">
        <f>IF(I47&lt;=Assumptions!$B$9,"X",IF(I47&lt;=Assumptions!$B$10,"Y","Z"))</f>
        <v/>
      </c>
      <c r="N47" s="12">
        <f>L47&amp;M47</f>
        <v/>
      </c>
      <c r="O47" s="11">
        <f>INDEX(Assumptions!$F$4:$F$6,MATCH(L47,Assumptions!$E$4:$E$6,0))</f>
        <v/>
      </c>
      <c r="P47" s="29">
        <f>NORMSINV(O47)</f>
        <v/>
      </c>
      <c r="Q47" s="30">
        <f>IFERROR(AVERAGEIFS(PO_Lines!$R$2:$R$2025,PO_Lines!$B$2:$B$2025,$A47,PO_Lines!$Q$2:$Q$2025,1),INDEX(Items!$F$2:$F$117,MATCH($A47,Items!$A$2:$A$117,0)))</f>
        <v/>
      </c>
      <c r="R47" s="30">
        <f>IFERROR(SQRT(SUMPRODUCT((PO_Lines!$B$2:$B$2025=$A47)*PO_Lines!$Q$2:$Q$2025*(PO_Lines!$R$2:$R$2025-Q47)^2)/(COUNTIFS(PO_Lines!$B$2:$B$2025,$A47,PO_Lines!$Q$2:$Q$2025,1)-1)),0)</f>
        <v/>
      </c>
      <c r="S47" s="28">
        <f>ROUNDUP(P47*SQRT((Q47/Assumptions!$B$11)*H47^2+G47^2*(R47/Assumptions!$B$11)^2),0)</f>
        <v/>
      </c>
      <c r="T47" s="28">
        <f>ROUNDUP(G47*Q47/Assumptions!$B$11+S47,0)</f>
        <v/>
      </c>
      <c r="U47" s="28">
        <f>ROUNDUP(MAX(INDEX(Items!$G$2:$G$117,MATCH($A47,Items!$A$2:$A$117,0)),SQRT(2*F47*Assumptions!$B$5/(Assumptions!$B$6*E47)),G47*Assumptions!$B$16),0)</f>
        <v/>
      </c>
      <c r="V47" s="28">
        <f>INDEX(Stock_Snapshot!$B$2:$B$117,MATCH($A47,Stock_Snapshot!$A$2:$A$117,0))</f>
        <v/>
      </c>
      <c r="W47" s="28">
        <f>INDEX(Stock_Snapshot!$C$2:$C$117,MATCH($A47,Stock_Snapshot!$A$2:$A$117,0))</f>
        <v/>
      </c>
      <c r="X47" s="28">
        <f>V47+W47</f>
        <v/>
      </c>
      <c r="Y47" s="10">
        <f>IF(G47&gt;0,V47/(G47/Assumptions!$B$11),999)</f>
        <v/>
      </c>
      <c r="Z47" s="28">
        <f>S47+U47</f>
        <v/>
      </c>
      <c r="AA47" s="12">
        <f>IF(V47&lt;S47,"Below safety stock",IF(X47&lt;=T47,"Reorder now",IF(V47&gt;Z47,"Excess","Healthy")))</f>
        <v/>
      </c>
      <c r="AB47" s="16">
        <f>V47*E47</f>
        <v/>
      </c>
      <c r="AC47" s="16">
        <f>MAX(0,V47-Z47)*E47</f>
        <v/>
      </c>
      <c r="AD47" s="28">
        <f>IF(X47&lt;=T47,ROUNDUP(T47+U47-X47,0),0)</f>
        <v/>
      </c>
      <c r="AE47" s="16">
        <f>MAX(0,T47-X47)*E47</f>
        <v/>
      </c>
      <c r="AF47" s="31">
        <f>IF(INDEX(Stock_Snapshot!$D$2:$D$117,MATCH($A47,Stock_Snapshot!$A$2:$A$117,0))="","",INDEX(Stock_Snapshot!$D$2:$D$117,MATCH($A47,Stock_Snapshot!$A$2:$A$117,0)))</f>
        <v/>
      </c>
      <c r="AG47" s="12">
        <f>IF(AF47="","",IF(AF47&lt;=EDATE(Assumptions!$B$4,Assumptions!$B$12),"Expires &lt; "&amp;Assumptions!$B$12&amp;" m","OK"))</f>
        <v/>
      </c>
    </row>
    <row r="48">
      <c r="A48" s="12" t="inlineStr">
        <is>
          <t>CMD-0044</t>
        </is>
      </c>
      <c r="B48" s="12">
        <f>INDEX(Items!$B$2:$B$117,MATCH($A48,Items!$A$2:$A$117,0))</f>
        <v/>
      </c>
      <c r="C48" s="12">
        <f>INDEX(Items!$C$2:$C$117,MATCH($A48,Items!$A$2:$A$117,0))</f>
        <v/>
      </c>
      <c r="D48" s="12">
        <f>INDEX(Items!$D$2:$D$117,MATCH($A48,Items!$A$2:$A$117,0))</f>
        <v/>
      </c>
      <c r="E48" s="27">
        <f>INDEX(Items!$E$2:$E$117,MATCH($A48,Items!$A$2:$A$117,0))</f>
        <v/>
      </c>
      <c r="F48" s="28">
        <f>SUM(INDEX(Demand!$N$2:$Y$117,MATCH($A48,Demand!$A$2:$A$117,0),0))</f>
        <v/>
      </c>
      <c r="G48" s="28">
        <f>F48/12</f>
        <v/>
      </c>
      <c r="H48" s="28">
        <f>STDEV(INDEX(Demand!$N$2:$Y$117,MATCH($A48,Demand!$A$2:$A$117,0),0))</f>
        <v/>
      </c>
      <c r="I48" s="29">
        <f>IF(G48&gt;0,H48/G48,0)</f>
        <v/>
      </c>
      <c r="J48" s="16">
        <f>F48*E48</f>
        <v/>
      </c>
      <c r="K48" s="11">
        <f>SUMIF($J$5:$J$120,"&gt;="&amp;J48)/SUM($J$5:$J$120)</f>
        <v/>
      </c>
      <c r="L48" s="12">
        <f>IF(K48&lt;=Assumptions!$B$7,"A",IF(K48&lt;=Assumptions!$B$8,"B","C"))</f>
        <v/>
      </c>
      <c r="M48" s="12">
        <f>IF(I48&lt;=Assumptions!$B$9,"X",IF(I48&lt;=Assumptions!$B$10,"Y","Z"))</f>
        <v/>
      </c>
      <c r="N48" s="12">
        <f>L48&amp;M48</f>
        <v/>
      </c>
      <c r="O48" s="11">
        <f>INDEX(Assumptions!$F$4:$F$6,MATCH(L48,Assumptions!$E$4:$E$6,0))</f>
        <v/>
      </c>
      <c r="P48" s="29">
        <f>NORMSINV(O48)</f>
        <v/>
      </c>
      <c r="Q48" s="30">
        <f>IFERROR(AVERAGEIFS(PO_Lines!$R$2:$R$2025,PO_Lines!$B$2:$B$2025,$A48,PO_Lines!$Q$2:$Q$2025,1),INDEX(Items!$F$2:$F$117,MATCH($A48,Items!$A$2:$A$117,0)))</f>
        <v/>
      </c>
      <c r="R48" s="30">
        <f>IFERROR(SQRT(SUMPRODUCT((PO_Lines!$B$2:$B$2025=$A48)*PO_Lines!$Q$2:$Q$2025*(PO_Lines!$R$2:$R$2025-Q48)^2)/(COUNTIFS(PO_Lines!$B$2:$B$2025,$A48,PO_Lines!$Q$2:$Q$2025,1)-1)),0)</f>
        <v/>
      </c>
      <c r="S48" s="28">
        <f>ROUNDUP(P48*SQRT((Q48/Assumptions!$B$11)*H48^2+G48^2*(R48/Assumptions!$B$11)^2),0)</f>
        <v/>
      </c>
      <c r="T48" s="28">
        <f>ROUNDUP(G48*Q48/Assumptions!$B$11+S48,0)</f>
        <v/>
      </c>
      <c r="U48" s="28">
        <f>ROUNDUP(MAX(INDEX(Items!$G$2:$G$117,MATCH($A48,Items!$A$2:$A$117,0)),SQRT(2*F48*Assumptions!$B$5/(Assumptions!$B$6*E48)),G48*Assumptions!$B$16),0)</f>
        <v/>
      </c>
      <c r="V48" s="28">
        <f>INDEX(Stock_Snapshot!$B$2:$B$117,MATCH($A48,Stock_Snapshot!$A$2:$A$117,0))</f>
        <v/>
      </c>
      <c r="W48" s="28">
        <f>INDEX(Stock_Snapshot!$C$2:$C$117,MATCH($A48,Stock_Snapshot!$A$2:$A$117,0))</f>
        <v/>
      </c>
      <c r="X48" s="28">
        <f>V48+W48</f>
        <v/>
      </c>
      <c r="Y48" s="10">
        <f>IF(G48&gt;0,V48/(G48/Assumptions!$B$11),999)</f>
        <v/>
      </c>
      <c r="Z48" s="28">
        <f>S48+U48</f>
        <v/>
      </c>
      <c r="AA48" s="12">
        <f>IF(V48&lt;S48,"Below safety stock",IF(X48&lt;=T48,"Reorder now",IF(V48&gt;Z48,"Excess","Healthy")))</f>
        <v/>
      </c>
      <c r="AB48" s="16">
        <f>V48*E48</f>
        <v/>
      </c>
      <c r="AC48" s="16">
        <f>MAX(0,V48-Z48)*E48</f>
        <v/>
      </c>
      <c r="AD48" s="28">
        <f>IF(X48&lt;=T48,ROUNDUP(T48+U48-X48,0),0)</f>
        <v/>
      </c>
      <c r="AE48" s="16">
        <f>MAX(0,T48-X48)*E48</f>
        <v/>
      </c>
      <c r="AF48" s="31">
        <f>IF(INDEX(Stock_Snapshot!$D$2:$D$117,MATCH($A48,Stock_Snapshot!$A$2:$A$117,0))="","",INDEX(Stock_Snapshot!$D$2:$D$117,MATCH($A48,Stock_Snapshot!$A$2:$A$117,0)))</f>
        <v/>
      </c>
      <c r="AG48" s="12">
        <f>IF(AF48="","",IF(AF48&lt;=EDATE(Assumptions!$B$4,Assumptions!$B$12),"Expires &lt; "&amp;Assumptions!$B$12&amp;" m","OK"))</f>
        <v/>
      </c>
    </row>
    <row r="49">
      <c r="A49" s="12" t="inlineStr">
        <is>
          <t>CMD-0045</t>
        </is>
      </c>
      <c r="B49" s="12">
        <f>INDEX(Items!$B$2:$B$117,MATCH($A49,Items!$A$2:$A$117,0))</f>
        <v/>
      </c>
      <c r="C49" s="12">
        <f>INDEX(Items!$C$2:$C$117,MATCH($A49,Items!$A$2:$A$117,0))</f>
        <v/>
      </c>
      <c r="D49" s="12">
        <f>INDEX(Items!$D$2:$D$117,MATCH($A49,Items!$A$2:$A$117,0))</f>
        <v/>
      </c>
      <c r="E49" s="27">
        <f>INDEX(Items!$E$2:$E$117,MATCH($A49,Items!$A$2:$A$117,0))</f>
        <v/>
      </c>
      <c r="F49" s="28">
        <f>SUM(INDEX(Demand!$N$2:$Y$117,MATCH($A49,Demand!$A$2:$A$117,0),0))</f>
        <v/>
      </c>
      <c r="G49" s="28">
        <f>F49/12</f>
        <v/>
      </c>
      <c r="H49" s="28">
        <f>STDEV(INDEX(Demand!$N$2:$Y$117,MATCH($A49,Demand!$A$2:$A$117,0),0))</f>
        <v/>
      </c>
      <c r="I49" s="29">
        <f>IF(G49&gt;0,H49/G49,0)</f>
        <v/>
      </c>
      <c r="J49" s="16">
        <f>F49*E49</f>
        <v/>
      </c>
      <c r="K49" s="11">
        <f>SUMIF($J$5:$J$120,"&gt;="&amp;J49)/SUM($J$5:$J$120)</f>
        <v/>
      </c>
      <c r="L49" s="12">
        <f>IF(K49&lt;=Assumptions!$B$7,"A",IF(K49&lt;=Assumptions!$B$8,"B","C"))</f>
        <v/>
      </c>
      <c r="M49" s="12">
        <f>IF(I49&lt;=Assumptions!$B$9,"X",IF(I49&lt;=Assumptions!$B$10,"Y","Z"))</f>
        <v/>
      </c>
      <c r="N49" s="12">
        <f>L49&amp;M49</f>
        <v/>
      </c>
      <c r="O49" s="11">
        <f>INDEX(Assumptions!$F$4:$F$6,MATCH(L49,Assumptions!$E$4:$E$6,0))</f>
        <v/>
      </c>
      <c r="P49" s="29">
        <f>NORMSINV(O49)</f>
        <v/>
      </c>
      <c r="Q49" s="30">
        <f>IFERROR(AVERAGEIFS(PO_Lines!$R$2:$R$2025,PO_Lines!$B$2:$B$2025,$A49,PO_Lines!$Q$2:$Q$2025,1),INDEX(Items!$F$2:$F$117,MATCH($A49,Items!$A$2:$A$117,0)))</f>
        <v/>
      </c>
      <c r="R49" s="30">
        <f>IFERROR(SQRT(SUMPRODUCT((PO_Lines!$B$2:$B$2025=$A49)*PO_Lines!$Q$2:$Q$2025*(PO_Lines!$R$2:$R$2025-Q49)^2)/(COUNTIFS(PO_Lines!$B$2:$B$2025,$A49,PO_Lines!$Q$2:$Q$2025,1)-1)),0)</f>
        <v/>
      </c>
      <c r="S49" s="28">
        <f>ROUNDUP(P49*SQRT((Q49/Assumptions!$B$11)*H49^2+G49^2*(R49/Assumptions!$B$11)^2),0)</f>
        <v/>
      </c>
      <c r="T49" s="28">
        <f>ROUNDUP(G49*Q49/Assumptions!$B$11+S49,0)</f>
        <v/>
      </c>
      <c r="U49" s="28">
        <f>ROUNDUP(MAX(INDEX(Items!$G$2:$G$117,MATCH($A49,Items!$A$2:$A$117,0)),SQRT(2*F49*Assumptions!$B$5/(Assumptions!$B$6*E49)),G49*Assumptions!$B$16),0)</f>
        <v/>
      </c>
      <c r="V49" s="28">
        <f>INDEX(Stock_Snapshot!$B$2:$B$117,MATCH($A49,Stock_Snapshot!$A$2:$A$117,0))</f>
        <v/>
      </c>
      <c r="W49" s="28">
        <f>INDEX(Stock_Snapshot!$C$2:$C$117,MATCH($A49,Stock_Snapshot!$A$2:$A$117,0))</f>
        <v/>
      </c>
      <c r="X49" s="28">
        <f>V49+W49</f>
        <v/>
      </c>
      <c r="Y49" s="10">
        <f>IF(G49&gt;0,V49/(G49/Assumptions!$B$11),999)</f>
        <v/>
      </c>
      <c r="Z49" s="28">
        <f>S49+U49</f>
        <v/>
      </c>
      <c r="AA49" s="12">
        <f>IF(V49&lt;S49,"Below safety stock",IF(X49&lt;=T49,"Reorder now",IF(V49&gt;Z49,"Excess","Healthy")))</f>
        <v/>
      </c>
      <c r="AB49" s="16">
        <f>V49*E49</f>
        <v/>
      </c>
      <c r="AC49" s="16">
        <f>MAX(0,V49-Z49)*E49</f>
        <v/>
      </c>
      <c r="AD49" s="28">
        <f>IF(X49&lt;=T49,ROUNDUP(T49+U49-X49,0),0)</f>
        <v/>
      </c>
      <c r="AE49" s="16">
        <f>MAX(0,T49-X49)*E49</f>
        <v/>
      </c>
      <c r="AF49" s="31">
        <f>IF(INDEX(Stock_Snapshot!$D$2:$D$117,MATCH($A49,Stock_Snapshot!$A$2:$A$117,0))="","",INDEX(Stock_Snapshot!$D$2:$D$117,MATCH($A49,Stock_Snapshot!$A$2:$A$117,0)))</f>
        <v/>
      </c>
      <c r="AG49" s="12">
        <f>IF(AF49="","",IF(AF49&lt;=EDATE(Assumptions!$B$4,Assumptions!$B$12),"Expires &lt; "&amp;Assumptions!$B$12&amp;" m","OK"))</f>
        <v/>
      </c>
    </row>
    <row r="50">
      <c r="A50" s="12" t="inlineStr">
        <is>
          <t>CMD-0046</t>
        </is>
      </c>
      <c r="B50" s="12">
        <f>INDEX(Items!$B$2:$B$117,MATCH($A50,Items!$A$2:$A$117,0))</f>
        <v/>
      </c>
      <c r="C50" s="12">
        <f>INDEX(Items!$C$2:$C$117,MATCH($A50,Items!$A$2:$A$117,0))</f>
        <v/>
      </c>
      <c r="D50" s="12">
        <f>INDEX(Items!$D$2:$D$117,MATCH($A50,Items!$A$2:$A$117,0))</f>
        <v/>
      </c>
      <c r="E50" s="27">
        <f>INDEX(Items!$E$2:$E$117,MATCH($A50,Items!$A$2:$A$117,0))</f>
        <v/>
      </c>
      <c r="F50" s="28">
        <f>SUM(INDEX(Demand!$N$2:$Y$117,MATCH($A50,Demand!$A$2:$A$117,0),0))</f>
        <v/>
      </c>
      <c r="G50" s="28">
        <f>F50/12</f>
        <v/>
      </c>
      <c r="H50" s="28">
        <f>STDEV(INDEX(Demand!$N$2:$Y$117,MATCH($A50,Demand!$A$2:$A$117,0),0))</f>
        <v/>
      </c>
      <c r="I50" s="29">
        <f>IF(G50&gt;0,H50/G50,0)</f>
        <v/>
      </c>
      <c r="J50" s="16">
        <f>F50*E50</f>
        <v/>
      </c>
      <c r="K50" s="11">
        <f>SUMIF($J$5:$J$120,"&gt;="&amp;J50)/SUM($J$5:$J$120)</f>
        <v/>
      </c>
      <c r="L50" s="12">
        <f>IF(K50&lt;=Assumptions!$B$7,"A",IF(K50&lt;=Assumptions!$B$8,"B","C"))</f>
        <v/>
      </c>
      <c r="M50" s="12">
        <f>IF(I50&lt;=Assumptions!$B$9,"X",IF(I50&lt;=Assumptions!$B$10,"Y","Z"))</f>
        <v/>
      </c>
      <c r="N50" s="12">
        <f>L50&amp;M50</f>
        <v/>
      </c>
      <c r="O50" s="11">
        <f>INDEX(Assumptions!$F$4:$F$6,MATCH(L50,Assumptions!$E$4:$E$6,0))</f>
        <v/>
      </c>
      <c r="P50" s="29">
        <f>NORMSINV(O50)</f>
        <v/>
      </c>
      <c r="Q50" s="30">
        <f>IFERROR(AVERAGEIFS(PO_Lines!$R$2:$R$2025,PO_Lines!$B$2:$B$2025,$A50,PO_Lines!$Q$2:$Q$2025,1),INDEX(Items!$F$2:$F$117,MATCH($A50,Items!$A$2:$A$117,0)))</f>
        <v/>
      </c>
      <c r="R50" s="30">
        <f>IFERROR(SQRT(SUMPRODUCT((PO_Lines!$B$2:$B$2025=$A50)*PO_Lines!$Q$2:$Q$2025*(PO_Lines!$R$2:$R$2025-Q50)^2)/(COUNTIFS(PO_Lines!$B$2:$B$2025,$A50,PO_Lines!$Q$2:$Q$2025,1)-1)),0)</f>
        <v/>
      </c>
      <c r="S50" s="28">
        <f>ROUNDUP(P50*SQRT((Q50/Assumptions!$B$11)*H50^2+G50^2*(R50/Assumptions!$B$11)^2),0)</f>
        <v/>
      </c>
      <c r="T50" s="28">
        <f>ROUNDUP(G50*Q50/Assumptions!$B$11+S50,0)</f>
        <v/>
      </c>
      <c r="U50" s="28">
        <f>ROUNDUP(MAX(INDEX(Items!$G$2:$G$117,MATCH($A50,Items!$A$2:$A$117,0)),SQRT(2*F50*Assumptions!$B$5/(Assumptions!$B$6*E50)),G50*Assumptions!$B$16),0)</f>
        <v/>
      </c>
      <c r="V50" s="28">
        <f>INDEX(Stock_Snapshot!$B$2:$B$117,MATCH($A50,Stock_Snapshot!$A$2:$A$117,0))</f>
        <v/>
      </c>
      <c r="W50" s="28">
        <f>INDEX(Stock_Snapshot!$C$2:$C$117,MATCH($A50,Stock_Snapshot!$A$2:$A$117,0))</f>
        <v/>
      </c>
      <c r="X50" s="28">
        <f>V50+W50</f>
        <v/>
      </c>
      <c r="Y50" s="10">
        <f>IF(G50&gt;0,V50/(G50/Assumptions!$B$11),999)</f>
        <v/>
      </c>
      <c r="Z50" s="28">
        <f>S50+U50</f>
        <v/>
      </c>
      <c r="AA50" s="12">
        <f>IF(V50&lt;S50,"Below safety stock",IF(X50&lt;=T50,"Reorder now",IF(V50&gt;Z50,"Excess","Healthy")))</f>
        <v/>
      </c>
      <c r="AB50" s="16">
        <f>V50*E50</f>
        <v/>
      </c>
      <c r="AC50" s="16">
        <f>MAX(0,V50-Z50)*E50</f>
        <v/>
      </c>
      <c r="AD50" s="28">
        <f>IF(X50&lt;=T50,ROUNDUP(T50+U50-X50,0),0)</f>
        <v/>
      </c>
      <c r="AE50" s="16">
        <f>MAX(0,T50-X50)*E50</f>
        <v/>
      </c>
      <c r="AF50" s="31">
        <f>IF(INDEX(Stock_Snapshot!$D$2:$D$117,MATCH($A50,Stock_Snapshot!$A$2:$A$117,0))="","",INDEX(Stock_Snapshot!$D$2:$D$117,MATCH($A50,Stock_Snapshot!$A$2:$A$117,0)))</f>
        <v/>
      </c>
      <c r="AG50" s="12">
        <f>IF(AF50="","",IF(AF50&lt;=EDATE(Assumptions!$B$4,Assumptions!$B$12),"Expires &lt; "&amp;Assumptions!$B$12&amp;" m","OK"))</f>
        <v/>
      </c>
    </row>
    <row r="51">
      <c r="A51" s="12" t="inlineStr">
        <is>
          <t>CMD-0047</t>
        </is>
      </c>
      <c r="B51" s="12">
        <f>INDEX(Items!$B$2:$B$117,MATCH($A51,Items!$A$2:$A$117,0))</f>
        <v/>
      </c>
      <c r="C51" s="12">
        <f>INDEX(Items!$C$2:$C$117,MATCH($A51,Items!$A$2:$A$117,0))</f>
        <v/>
      </c>
      <c r="D51" s="12">
        <f>INDEX(Items!$D$2:$D$117,MATCH($A51,Items!$A$2:$A$117,0))</f>
        <v/>
      </c>
      <c r="E51" s="27">
        <f>INDEX(Items!$E$2:$E$117,MATCH($A51,Items!$A$2:$A$117,0))</f>
        <v/>
      </c>
      <c r="F51" s="28">
        <f>SUM(INDEX(Demand!$N$2:$Y$117,MATCH($A51,Demand!$A$2:$A$117,0),0))</f>
        <v/>
      </c>
      <c r="G51" s="28">
        <f>F51/12</f>
        <v/>
      </c>
      <c r="H51" s="28">
        <f>STDEV(INDEX(Demand!$N$2:$Y$117,MATCH($A51,Demand!$A$2:$A$117,0),0))</f>
        <v/>
      </c>
      <c r="I51" s="29">
        <f>IF(G51&gt;0,H51/G51,0)</f>
        <v/>
      </c>
      <c r="J51" s="16">
        <f>F51*E51</f>
        <v/>
      </c>
      <c r="K51" s="11">
        <f>SUMIF($J$5:$J$120,"&gt;="&amp;J51)/SUM($J$5:$J$120)</f>
        <v/>
      </c>
      <c r="L51" s="12">
        <f>IF(K51&lt;=Assumptions!$B$7,"A",IF(K51&lt;=Assumptions!$B$8,"B","C"))</f>
        <v/>
      </c>
      <c r="M51" s="12">
        <f>IF(I51&lt;=Assumptions!$B$9,"X",IF(I51&lt;=Assumptions!$B$10,"Y","Z"))</f>
        <v/>
      </c>
      <c r="N51" s="12">
        <f>L51&amp;M51</f>
        <v/>
      </c>
      <c r="O51" s="11">
        <f>INDEX(Assumptions!$F$4:$F$6,MATCH(L51,Assumptions!$E$4:$E$6,0))</f>
        <v/>
      </c>
      <c r="P51" s="29">
        <f>NORMSINV(O51)</f>
        <v/>
      </c>
      <c r="Q51" s="30">
        <f>IFERROR(AVERAGEIFS(PO_Lines!$R$2:$R$2025,PO_Lines!$B$2:$B$2025,$A51,PO_Lines!$Q$2:$Q$2025,1),INDEX(Items!$F$2:$F$117,MATCH($A51,Items!$A$2:$A$117,0)))</f>
        <v/>
      </c>
      <c r="R51" s="30">
        <f>IFERROR(SQRT(SUMPRODUCT((PO_Lines!$B$2:$B$2025=$A51)*PO_Lines!$Q$2:$Q$2025*(PO_Lines!$R$2:$R$2025-Q51)^2)/(COUNTIFS(PO_Lines!$B$2:$B$2025,$A51,PO_Lines!$Q$2:$Q$2025,1)-1)),0)</f>
        <v/>
      </c>
      <c r="S51" s="28">
        <f>ROUNDUP(P51*SQRT((Q51/Assumptions!$B$11)*H51^2+G51^2*(R51/Assumptions!$B$11)^2),0)</f>
        <v/>
      </c>
      <c r="T51" s="28">
        <f>ROUNDUP(G51*Q51/Assumptions!$B$11+S51,0)</f>
        <v/>
      </c>
      <c r="U51" s="28">
        <f>ROUNDUP(MAX(INDEX(Items!$G$2:$G$117,MATCH($A51,Items!$A$2:$A$117,0)),SQRT(2*F51*Assumptions!$B$5/(Assumptions!$B$6*E51)),G51*Assumptions!$B$16),0)</f>
        <v/>
      </c>
      <c r="V51" s="28">
        <f>INDEX(Stock_Snapshot!$B$2:$B$117,MATCH($A51,Stock_Snapshot!$A$2:$A$117,0))</f>
        <v/>
      </c>
      <c r="W51" s="28">
        <f>INDEX(Stock_Snapshot!$C$2:$C$117,MATCH($A51,Stock_Snapshot!$A$2:$A$117,0))</f>
        <v/>
      </c>
      <c r="X51" s="28">
        <f>V51+W51</f>
        <v/>
      </c>
      <c r="Y51" s="10">
        <f>IF(G51&gt;0,V51/(G51/Assumptions!$B$11),999)</f>
        <v/>
      </c>
      <c r="Z51" s="28">
        <f>S51+U51</f>
        <v/>
      </c>
      <c r="AA51" s="12">
        <f>IF(V51&lt;S51,"Below safety stock",IF(X51&lt;=T51,"Reorder now",IF(V51&gt;Z51,"Excess","Healthy")))</f>
        <v/>
      </c>
      <c r="AB51" s="16">
        <f>V51*E51</f>
        <v/>
      </c>
      <c r="AC51" s="16">
        <f>MAX(0,V51-Z51)*E51</f>
        <v/>
      </c>
      <c r="AD51" s="28">
        <f>IF(X51&lt;=T51,ROUNDUP(T51+U51-X51,0),0)</f>
        <v/>
      </c>
      <c r="AE51" s="16">
        <f>MAX(0,T51-X51)*E51</f>
        <v/>
      </c>
      <c r="AF51" s="31">
        <f>IF(INDEX(Stock_Snapshot!$D$2:$D$117,MATCH($A51,Stock_Snapshot!$A$2:$A$117,0))="","",INDEX(Stock_Snapshot!$D$2:$D$117,MATCH($A51,Stock_Snapshot!$A$2:$A$117,0)))</f>
        <v/>
      </c>
      <c r="AG51" s="12">
        <f>IF(AF51="","",IF(AF51&lt;=EDATE(Assumptions!$B$4,Assumptions!$B$12),"Expires &lt; "&amp;Assumptions!$B$12&amp;" m","OK"))</f>
        <v/>
      </c>
    </row>
    <row r="52">
      <c r="A52" s="12" t="inlineStr">
        <is>
          <t>CMD-0048</t>
        </is>
      </c>
      <c r="B52" s="12">
        <f>INDEX(Items!$B$2:$B$117,MATCH($A52,Items!$A$2:$A$117,0))</f>
        <v/>
      </c>
      <c r="C52" s="12">
        <f>INDEX(Items!$C$2:$C$117,MATCH($A52,Items!$A$2:$A$117,0))</f>
        <v/>
      </c>
      <c r="D52" s="12">
        <f>INDEX(Items!$D$2:$D$117,MATCH($A52,Items!$A$2:$A$117,0))</f>
        <v/>
      </c>
      <c r="E52" s="27">
        <f>INDEX(Items!$E$2:$E$117,MATCH($A52,Items!$A$2:$A$117,0))</f>
        <v/>
      </c>
      <c r="F52" s="28">
        <f>SUM(INDEX(Demand!$N$2:$Y$117,MATCH($A52,Demand!$A$2:$A$117,0),0))</f>
        <v/>
      </c>
      <c r="G52" s="28">
        <f>F52/12</f>
        <v/>
      </c>
      <c r="H52" s="28">
        <f>STDEV(INDEX(Demand!$N$2:$Y$117,MATCH($A52,Demand!$A$2:$A$117,0),0))</f>
        <v/>
      </c>
      <c r="I52" s="29">
        <f>IF(G52&gt;0,H52/G52,0)</f>
        <v/>
      </c>
      <c r="J52" s="16">
        <f>F52*E52</f>
        <v/>
      </c>
      <c r="K52" s="11">
        <f>SUMIF($J$5:$J$120,"&gt;="&amp;J52)/SUM($J$5:$J$120)</f>
        <v/>
      </c>
      <c r="L52" s="12">
        <f>IF(K52&lt;=Assumptions!$B$7,"A",IF(K52&lt;=Assumptions!$B$8,"B","C"))</f>
        <v/>
      </c>
      <c r="M52" s="12">
        <f>IF(I52&lt;=Assumptions!$B$9,"X",IF(I52&lt;=Assumptions!$B$10,"Y","Z"))</f>
        <v/>
      </c>
      <c r="N52" s="12">
        <f>L52&amp;M52</f>
        <v/>
      </c>
      <c r="O52" s="11">
        <f>INDEX(Assumptions!$F$4:$F$6,MATCH(L52,Assumptions!$E$4:$E$6,0))</f>
        <v/>
      </c>
      <c r="P52" s="29">
        <f>NORMSINV(O52)</f>
        <v/>
      </c>
      <c r="Q52" s="30">
        <f>IFERROR(AVERAGEIFS(PO_Lines!$R$2:$R$2025,PO_Lines!$B$2:$B$2025,$A52,PO_Lines!$Q$2:$Q$2025,1),INDEX(Items!$F$2:$F$117,MATCH($A52,Items!$A$2:$A$117,0)))</f>
        <v/>
      </c>
      <c r="R52" s="30">
        <f>IFERROR(SQRT(SUMPRODUCT((PO_Lines!$B$2:$B$2025=$A52)*PO_Lines!$Q$2:$Q$2025*(PO_Lines!$R$2:$R$2025-Q52)^2)/(COUNTIFS(PO_Lines!$B$2:$B$2025,$A52,PO_Lines!$Q$2:$Q$2025,1)-1)),0)</f>
        <v/>
      </c>
      <c r="S52" s="28">
        <f>ROUNDUP(P52*SQRT((Q52/Assumptions!$B$11)*H52^2+G52^2*(R52/Assumptions!$B$11)^2),0)</f>
        <v/>
      </c>
      <c r="T52" s="28">
        <f>ROUNDUP(G52*Q52/Assumptions!$B$11+S52,0)</f>
        <v/>
      </c>
      <c r="U52" s="28">
        <f>ROUNDUP(MAX(INDEX(Items!$G$2:$G$117,MATCH($A52,Items!$A$2:$A$117,0)),SQRT(2*F52*Assumptions!$B$5/(Assumptions!$B$6*E52)),G52*Assumptions!$B$16),0)</f>
        <v/>
      </c>
      <c r="V52" s="28">
        <f>INDEX(Stock_Snapshot!$B$2:$B$117,MATCH($A52,Stock_Snapshot!$A$2:$A$117,0))</f>
        <v/>
      </c>
      <c r="W52" s="28">
        <f>INDEX(Stock_Snapshot!$C$2:$C$117,MATCH($A52,Stock_Snapshot!$A$2:$A$117,0))</f>
        <v/>
      </c>
      <c r="X52" s="28">
        <f>V52+W52</f>
        <v/>
      </c>
      <c r="Y52" s="10">
        <f>IF(G52&gt;0,V52/(G52/Assumptions!$B$11),999)</f>
        <v/>
      </c>
      <c r="Z52" s="28">
        <f>S52+U52</f>
        <v/>
      </c>
      <c r="AA52" s="12">
        <f>IF(V52&lt;S52,"Below safety stock",IF(X52&lt;=T52,"Reorder now",IF(V52&gt;Z52,"Excess","Healthy")))</f>
        <v/>
      </c>
      <c r="AB52" s="16">
        <f>V52*E52</f>
        <v/>
      </c>
      <c r="AC52" s="16">
        <f>MAX(0,V52-Z52)*E52</f>
        <v/>
      </c>
      <c r="AD52" s="28">
        <f>IF(X52&lt;=T52,ROUNDUP(T52+U52-X52,0),0)</f>
        <v/>
      </c>
      <c r="AE52" s="16">
        <f>MAX(0,T52-X52)*E52</f>
        <v/>
      </c>
      <c r="AF52" s="31">
        <f>IF(INDEX(Stock_Snapshot!$D$2:$D$117,MATCH($A52,Stock_Snapshot!$A$2:$A$117,0))="","",INDEX(Stock_Snapshot!$D$2:$D$117,MATCH($A52,Stock_Snapshot!$A$2:$A$117,0)))</f>
        <v/>
      </c>
      <c r="AG52" s="12">
        <f>IF(AF52="","",IF(AF52&lt;=EDATE(Assumptions!$B$4,Assumptions!$B$12),"Expires &lt; "&amp;Assumptions!$B$12&amp;" m","OK"))</f>
        <v/>
      </c>
    </row>
    <row r="53">
      <c r="A53" s="12" t="inlineStr">
        <is>
          <t>CMD-0049</t>
        </is>
      </c>
      <c r="B53" s="12">
        <f>INDEX(Items!$B$2:$B$117,MATCH($A53,Items!$A$2:$A$117,0))</f>
        <v/>
      </c>
      <c r="C53" s="12">
        <f>INDEX(Items!$C$2:$C$117,MATCH($A53,Items!$A$2:$A$117,0))</f>
        <v/>
      </c>
      <c r="D53" s="12">
        <f>INDEX(Items!$D$2:$D$117,MATCH($A53,Items!$A$2:$A$117,0))</f>
        <v/>
      </c>
      <c r="E53" s="27">
        <f>INDEX(Items!$E$2:$E$117,MATCH($A53,Items!$A$2:$A$117,0))</f>
        <v/>
      </c>
      <c r="F53" s="28">
        <f>SUM(INDEX(Demand!$N$2:$Y$117,MATCH($A53,Demand!$A$2:$A$117,0),0))</f>
        <v/>
      </c>
      <c r="G53" s="28">
        <f>F53/12</f>
        <v/>
      </c>
      <c r="H53" s="28">
        <f>STDEV(INDEX(Demand!$N$2:$Y$117,MATCH($A53,Demand!$A$2:$A$117,0),0))</f>
        <v/>
      </c>
      <c r="I53" s="29">
        <f>IF(G53&gt;0,H53/G53,0)</f>
        <v/>
      </c>
      <c r="J53" s="16">
        <f>F53*E53</f>
        <v/>
      </c>
      <c r="K53" s="11">
        <f>SUMIF($J$5:$J$120,"&gt;="&amp;J53)/SUM($J$5:$J$120)</f>
        <v/>
      </c>
      <c r="L53" s="12">
        <f>IF(K53&lt;=Assumptions!$B$7,"A",IF(K53&lt;=Assumptions!$B$8,"B","C"))</f>
        <v/>
      </c>
      <c r="M53" s="12">
        <f>IF(I53&lt;=Assumptions!$B$9,"X",IF(I53&lt;=Assumptions!$B$10,"Y","Z"))</f>
        <v/>
      </c>
      <c r="N53" s="12">
        <f>L53&amp;M53</f>
        <v/>
      </c>
      <c r="O53" s="11">
        <f>INDEX(Assumptions!$F$4:$F$6,MATCH(L53,Assumptions!$E$4:$E$6,0))</f>
        <v/>
      </c>
      <c r="P53" s="29">
        <f>NORMSINV(O53)</f>
        <v/>
      </c>
      <c r="Q53" s="30">
        <f>IFERROR(AVERAGEIFS(PO_Lines!$R$2:$R$2025,PO_Lines!$B$2:$B$2025,$A53,PO_Lines!$Q$2:$Q$2025,1),INDEX(Items!$F$2:$F$117,MATCH($A53,Items!$A$2:$A$117,0)))</f>
        <v/>
      </c>
      <c r="R53" s="30">
        <f>IFERROR(SQRT(SUMPRODUCT((PO_Lines!$B$2:$B$2025=$A53)*PO_Lines!$Q$2:$Q$2025*(PO_Lines!$R$2:$R$2025-Q53)^2)/(COUNTIFS(PO_Lines!$B$2:$B$2025,$A53,PO_Lines!$Q$2:$Q$2025,1)-1)),0)</f>
        <v/>
      </c>
      <c r="S53" s="28">
        <f>ROUNDUP(P53*SQRT((Q53/Assumptions!$B$11)*H53^2+G53^2*(R53/Assumptions!$B$11)^2),0)</f>
        <v/>
      </c>
      <c r="T53" s="28">
        <f>ROUNDUP(G53*Q53/Assumptions!$B$11+S53,0)</f>
        <v/>
      </c>
      <c r="U53" s="28">
        <f>ROUNDUP(MAX(INDEX(Items!$G$2:$G$117,MATCH($A53,Items!$A$2:$A$117,0)),SQRT(2*F53*Assumptions!$B$5/(Assumptions!$B$6*E53)),G53*Assumptions!$B$16),0)</f>
        <v/>
      </c>
      <c r="V53" s="28">
        <f>INDEX(Stock_Snapshot!$B$2:$B$117,MATCH($A53,Stock_Snapshot!$A$2:$A$117,0))</f>
        <v/>
      </c>
      <c r="W53" s="28">
        <f>INDEX(Stock_Snapshot!$C$2:$C$117,MATCH($A53,Stock_Snapshot!$A$2:$A$117,0))</f>
        <v/>
      </c>
      <c r="X53" s="28">
        <f>V53+W53</f>
        <v/>
      </c>
      <c r="Y53" s="10">
        <f>IF(G53&gt;0,V53/(G53/Assumptions!$B$11),999)</f>
        <v/>
      </c>
      <c r="Z53" s="28">
        <f>S53+U53</f>
        <v/>
      </c>
      <c r="AA53" s="12">
        <f>IF(V53&lt;S53,"Below safety stock",IF(X53&lt;=T53,"Reorder now",IF(V53&gt;Z53,"Excess","Healthy")))</f>
        <v/>
      </c>
      <c r="AB53" s="16">
        <f>V53*E53</f>
        <v/>
      </c>
      <c r="AC53" s="16">
        <f>MAX(0,V53-Z53)*E53</f>
        <v/>
      </c>
      <c r="AD53" s="28">
        <f>IF(X53&lt;=T53,ROUNDUP(T53+U53-X53,0),0)</f>
        <v/>
      </c>
      <c r="AE53" s="16">
        <f>MAX(0,T53-X53)*E53</f>
        <v/>
      </c>
      <c r="AF53" s="31">
        <f>IF(INDEX(Stock_Snapshot!$D$2:$D$117,MATCH($A53,Stock_Snapshot!$A$2:$A$117,0))="","",INDEX(Stock_Snapshot!$D$2:$D$117,MATCH($A53,Stock_Snapshot!$A$2:$A$117,0)))</f>
        <v/>
      </c>
      <c r="AG53" s="12">
        <f>IF(AF53="","",IF(AF53&lt;=EDATE(Assumptions!$B$4,Assumptions!$B$12),"Expires &lt; "&amp;Assumptions!$B$12&amp;" m","OK"))</f>
        <v/>
      </c>
    </row>
    <row r="54">
      <c r="A54" s="12" t="inlineStr">
        <is>
          <t>CMD-0050</t>
        </is>
      </c>
      <c r="B54" s="12">
        <f>INDEX(Items!$B$2:$B$117,MATCH($A54,Items!$A$2:$A$117,0))</f>
        <v/>
      </c>
      <c r="C54" s="12">
        <f>INDEX(Items!$C$2:$C$117,MATCH($A54,Items!$A$2:$A$117,0))</f>
        <v/>
      </c>
      <c r="D54" s="12">
        <f>INDEX(Items!$D$2:$D$117,MATCH($A54,Items!$A$2:$A$117,0))</f>
        <v/>
      </c>
      <c r="E54" s="27">
        <f>INDEX(Items!$E$2:$E$117,MATCH($A54,Items!$A$2:$A$117,0))</f>
        <v/>
      </c>
      <c r="F54" s="28">
        <f>SUM(INDEX(Demand!$N$2:$Y$117,MATCH($A54,Demand!$A$2:$A$117,0),0))</f>
        <v/>
      </c>
      <c r="G54" s="28">
        <f>F54/12</f>
        <v/>
      </c>
      <c r="H54" s="28">
        <f>STDEV(INDEX(Demand!$N$2:$Y$117,MATCH($A54,Demand!$A$2:$A$117,0),0))</f>
        <v/>
      </c>
      <c r="I54" s="29">
        <f>IF(G54&gt;0,H54/G54,0)</f>
        <v/>
      </c>
      <c r="J54" s="16">
        <f>F54*E54</f>
        <v/>
      </c>
      <c r="K54" s="11">
        <f>SUMIF($J$5:$J$120,"&gt;="&amp;J54)/SUM($J$5:$J$120)</f>
        <v/>
      </c>
      <c r="L54" s="12">
        <f>IF(K54&lt;=Assumptions!$B$7,"A",IF(K54&lt;=Assumptions!$B$8,"B","C"))</f>
        <v/>
      </c>
      <c r="M54" s="12">
        <f>IF(I54&lt;=Assumptions!$B$9,"X",IF(I54&lt;=Assumptions!$B$10,"Y","Z"))</f>
        <v/>
      </c>
      <c r="N54" s="12">
        <f>L54&amp;M54</f>
        <v/>
      </c>
      <c r="O54" s="11">
        <f>INDEX(Assumptions!$F$4:$F$6,MATCH(L54,Assumptions!$E$4:$E$6,0))</f>
        <v/>
      </c>
      <c r="P54" s="29">
        <f>NORMSINV(O54)</f>
        <v/>
      </c>
      <c r="Q54" s="30">
        <f>IFERROR(AVERAGEIFS(PO_Lines!$R$2:$R$2025,PO_Lines!$B$2:$B$2025,$A54,PO_Lines!$Q$2:$Q$2025,1),INDEX(Items!$F$2:$F$117,MATCH($A54,Items!$A$2:$A$117,0)))</f>
        <v/>
      </c>
      <c r="R54" s="30">
        <f>IFERROR(SQRT(SUMPRODUCT((PO_Lines!$B$2:$B$2025=$A54)*PO_Lines!$Q$2:$Q$2025*(PO_Lines!$R$2:$R$2025-Q54)^2)/(COUNTIFS(PO_Lines!$B$2:$B$2025,$A54,PO_Lines!$Q$2:$Q$2025,1)-1)),0)</f>
        <v/>
      </c>
      <c r="S54" s="28">
        <f>ROUNDUP(P54*SQRT((Q54/Assumptions!$B$11)*H54^2+G54^2*(R54/Assumptions!$B$11)^2),0)</f>
        <v/>
      </c>
      <c r="T54" s="28">
        <f>ROUNDUP(G54*Q54/Assumptions!$B$11+S54,0)</f>
        <v/>
      </c>
      <c r="U54" s="28">
        <f>ROUNDUP(MAX(INDEX(Items!$G$2:$G$117,MATCH($A54,Items!$A$2:$A$117,0)),SQRT(2*F54*Assumptions!$B$5/(Assumptions!$B$6*E54)),G54*Assumptions!$B$16),0)</f>
        <v/>
      </c>
      <c r="V54" s="28">
        <f>INDEX(Stock_Snapshot!$B$2:$B$117,MATCH($A54,Stock_Snapshot!$A$2:$A$117,0))</f>
        <v/>
      </c>
      <c r="W54" s="28">
        <f>INDEX(Stock_Snapshot!$C$2:$C$117,MATCH($A54,Stock_Snapshot!$A$2:$A$117,0))</f>
        <v/>
      </c>
      <c r="X54" s="28">
        <f>V54+W54</f>
        <v/>
      </c>
      <c r="Y54" s="10">
        <f>IF(G54&gt;0,V54/(G54/Assumptions!$B$11),999)</f>
        <v/>
      </c>
      <c r="Z54" s="28">
        <f>S54+U54</f>
        <v/>
      </c>
      <c r="AA54" s="12">
        <f>IF(V54&lt;S54,"Below safety stock",IF(X54&lt;=T54,"Reorder now",IF(V54&gt;Z54,"Excess","Healthy")))</f>
        <v/>
      </c>
      <c r="AB54" s="16">
        <f>V54*E54</f>
        <v/>
      </c>
      <c r="AC54" s="16">
        <f>MAX(0,V54-Z54)*E54</f>
        <v/>
      </c>
      <c r="AD54" s="28">
        <f>IF(X54&lt;=T54,ROUNDUP(T54+U54-X54,0),0)</f>
        <v/>
      </c>
      <c r="AE54" s="16">
        <f>MAX(0,T54-X54)*E54</f>
        <v/>
      </c>
      <c r="AF54" s="31">
        <f>IF(INDEX(Stock_Snapshot!$D$2:$D$117,MATCH($A54,Stock_Snapshot!$A$2:$A$117,0))="","",INDEX(Stock_Snapshot!$D$2:$D$117,MATCH($A54,Stock_Snapshot!$A$2:$A$117,0)))</f>
        <v/>
      </c>
      <c r="AG54" s="12">
        <f>IF(AF54="","",IF(AF54&lt;=EDATE(Assumptions!$B$4,Assumptions!$B$12),"Expires &lt; "&amp;Assumptions!$B$12&amp;" m","OK"))</f>
        <v/>
      </c>
    </row>
    <row r="55">
      <c r="A55" s="12" t="inlineStr">
        <is>
          <t>CMD-0051</t>
        </is>
      </c>
      <c r="B55" s="12">
        <f>INDEX(Items!$B$2:$B$117,MATCH($A55,Items!$A$2:$A$117,0))</f>
        <v/>
      </c>
      <c r="C55" s="12">
        <f>INDEX(Items!$C$2:$C$117,MATCH($A55,Items!$A$2:$A$117,0))</f>
        <v/>
      </c>
      <c r="D55" s="12">
        <f>INDEX(Items!$D$2:$D$117,MATCH($A55,Items!$A$2:$A$117,0))</f>
        <v/>
      </c>
      <c r="E55" s="27">
        <f>INDEX(Items!$E$2:$E$117,MATCH($A55,Items!$A$2:$A$117,0))</f>
        <v/>
      </c>
      <c r="F55" s="28">
        <f>SUM(INDEX(Demand!$N$2:$Y$117,MATCH($A55,Demand!$A$2:$A$117,0),0))</f>
        <v/>
      </c>
      <c r="G55" s="28">
        <f>F55/12</f>
        <v/>
      </c>
      <c r="H55" s="28">
        <f>STDEV(INDEX(Demand!$N$2:$Y$117,MATCH($A55,Demand!$A$2:$A$117,0),0))</f>
        <v/>
      </c>
      <c r="I55" s="29">
        <f>IF(G55&gt;0,H55/G55,0)</f>
        <v/>
      </c>
      <c r="J55" s="16">
        <f>F55*E55</f>
        <v/>
      </c>
      <c r="K55" s="11">
        <f>SUMIF($J$5:$J$120,"&gt;="&amp;J55)/SUM($J$5:$J$120)</f>
        <v/>
      </c>
      <c r="L55" s="12">
        <f>IF(K55&lt;=Assumptions!$B$7,"A",IF(K55&lt;=Assumptions!$B$8,"B","C"))</f>
        <v/>
      </c>
      <c r="M55" s="12">
        <f>IF(I55&lt;=Assumptions!$B$9,"X",IF(I55&lt;=Assumptions!$B$10,"Y","Z"))</f>
        <v/>
      </c>
      <c r="N55" s="12">
        <f>L55&amp;M55</f>
        <v/>
      </c>
      <c r="O55" s="11">
        <f>INDEX(Assumptions!$F$4:$F$6,MATCH(L55,Assumptions!$E$4:$E$6,0))</f>
        <v/>
      </c>
      <c r="P55" s="29">
        <f>NORMSINV(O55)</f>
        <v/>
      </c>
      <c r="Q55" s="30">
        <f>IFERROR(AVERAGEIFS(PO_Lines!$R$2:$R$2025,PO_Lines!$B$2:$B$2025,$A55,PO_Lines!$Q$2:$Q$2025,1),INDEX(Items!$F$2:$F$117,MATCH($A55,Items!$A$2:$A$117,0)))</f>
        <v/>
      </c>
      <c r="R55" s="30">
        <f>IFERROR(SQRT(SUMPRODUCT((PO_Lines!$B$2:$B$2025=$A55)*PO_Lines!$Q$2:$Q$2025*(PO_Lines!$R$2:$R$2025-Q55)^2)/(COUNTIFS(PO_Lines!$B$2:$B$2025,$A55,PO_Lines!$Q$2:$Q$2025,1)-1)),0)</f>
        <v/>
      </c>
      <c r="S55" s="28">
        <f>ROUNDUP(P55*SQRT((Q55/Assumptions!$B$11)*H55^2+G55^2*(R55/Assumptions!$B$11)^2),0)</f>
        <v/>
      </c>
      <c r="T55" s="28">
        <f>ROUNDUP(G55*Q55/Assumptions!$B$11+S55,0)</f>
        <v/>
      </c>
      <c r="U55" s="28">
        <f>ROUNDUP(MAX(INDEX(Items!$G$2:$G$117,MATCH($A55,Items!$A$2:$A$117,0)),SQRT(2*F55*Assumptions!$B$5/(Assumptions!$B$6*E55)),G55*Assumptions!$B$16),0)</f>
        <v/>
      </c>
      <c r="V55" s="28">
        <f>INDEX(Stock_Snapshot!$B$2:$B$117,MATCH($A55,Stock_Snapshot!$A$2:$A$117,0))</f>
        <v/>
      </c>
      <c r="W55" s="28">
        <f>INDEX(Stock_Snapshot!$C$2:$C$117,MATCH($A55,Stock_Snapshot!$A$2:$A$117,0))</f>
        <v/>
      </c>
      <c r="X55" s="28">
        <f>V55+W55</f>
        <v/>
      </c>
      <c r="Y55" s="10">
        <f>IF(G55&gt;0,V55/(G55/Assumptions!$B$11),999)</f>
        <v/>
      </c>
      <c r="Z55" s="28">
        <f>S55+U55</f>
        <v/>
      </c>
      <c r="AA55" s="12">
        <f>IF(V55&lt;S55,"Below safety stock",IF(X55&lt;=T55,"Reorder now",IF(V55&gt;Z55,"Excess","Healthy")))</f>
        <v/>
      </c>
      <c r="AB55" s="16">
        <f>V55*E55</f>
        <v/>
      </c>
      <c r="AC55" s="16">
        <f>MAX(0,V55-Z55)*E55</f>
        <v/>
      </c>
      <c r="AD55" s="28">
        <f>IF(X55&lt;=T55,ROUNDUP(T55+U55-X55,0),0)</f>
        <v/>
      </c>
      <c r="AE55" s="16">
        <f>MAX(0,T55-X55)*E55</f>
        <v/>
      </c>
      <c r="AF55" s="31">
        <f>IF(INDEX(Stock_Snapshot!$D$2:$D$117,MATCH($A55,Stock_Snapshot!$A$2:$A$117,0))="","",INDEX(Stock_Snapshot!$D$2:$D$117,MATCH($A55,Stock_Snapshot!$A$2:$A$117,0)))</f>
        <v/>
      </c>
      <c r="AG55" s="12">
        <f>IF(AF55="","",IF(AF55&lt;=EDATE(Assumptions!$B$4,Assumptions!$B$12),"Expires &lt; "&amp;Assumptions!$B$12&amp;" m","OK"))</f>
        <v/>
      </c>
    </row>
    <row r="56">
      <c r="A56" s="12" t="inlineStr">
        <is>
          <t>CMD-0052</t>
        </is>
      </c>
      <c r="B56" s="12">
        <f>INDEX(Items!$B$2:$B$117,MATCH($A56,Items!$A$2:$A$117,0))</f>
        <v/>
      </c>
      <c r="C56" s="12">
        <f>INDEX(Items!$C$2:$C$117,MATCH($A56,Items!$A$2:$A$117,0))</f>
        <v/>
      </c>
      <c r="D56" s="12">
        <f>INDEX(Items!$D$2:$D$117,MATCH($A56,Items!$A$2:$A$117,0))</f>
        <v/>
      </c>
      <c r="E56" s="27">
        <f>INDEX(Items!$E$2:$E$117,MATCH($A56,Items!$A$2:$A$117,0))</f>
        <v/>
      </c>
      <c r="F56" s="28">
        <f>SUM(INDEX(Demand!$N$2:$Y$117,MATCH($A56,Demand!$A$2:$A$117,0),0))</f>
        <v/>
      </c>
      <c r="G56" s="28">
        <f>F56/12</f>
        <v/>
      </c>
      <c r="H56" s="28">
        <f>STDEV(INDEX(Demand!$N$2:$Y$117,MATCH($A56,Demand!$A$2:$A$117,0),0))</f>
        <v/>
      </c>
      <c r="I56" s="29">
        <f>IF(G56&gt;0,H56/G56,0)</f>
        <v/>
      </c>
      <c r="J56" s="16">
        <f>F56*E56</f>
        <v/>
      </c>
      <c r="K56" s="11">
        <f>SUMIF($J$5:$J$120,"&gt;="&amp;J56)/SUM($J$5:$J$120)</f>
        <v/>
      </c>
      <c r="L56" s="12">
        <f>IF(K56&lt;=Assumptions!$B$7,"A",IF(K56&lt;=Assumptions!$B$8,"B","C"))</f>
        <v/>
      </c>
      <c r="M56" s="12">
        <f>IF(I56&lt;=Assumptions!$B$9,"X",IF(I56&lt;=Assumptions!$B$10,"Y","Z"))</f>
        <v/>
      </c>
      <c r="N56" s="12">
        <f>L56&amp;M56</f>
        <v/>
      </c>
      <c r="O56" s="11">
        <f>INDEX(Assumptions!$F$4:$F$6,MATCH(L56,Assumptions!$E$4:$E$6,0))</f>
        <v/>
      </c>
      <c r="P56" s="29">
        <f>NORMSINV(O56)</f>
        <v/>
      </c>
      <c r="Q56" s="30">
        <f>IFERROR(AVERAGEIFS(PO_Lines!$R$2:$R$2025,PO_Lines!$B$2:$B$2025,$A56,PO_Lines!$Q$2:$Q$2025,1),INDEX(Items!$F$2:$F$117,MATCH($A56,Items!$A$2:$A$117,0)))</f>
        <v/>
      </c>
      <c r="R56" s="30">
        <f>IFERROR(SQRT(SUMPRODUCT((PO_Lines!$B$2:$B$2025=$A56)*PO_Lines!$Q$2:$Q$2025*(PO_Lines!$R$2:$R$2025-Q56)^2)/(COUNTIFS(PO_Lines!$B$2:$B$2025,$A56,PO_Lines!$Q$2:$Q$2025,1)-1)),0)</f>
        <v/>
      </c>
      <c r="S56" s="28">
        <f>ROUNDUP(P56*SQRT((Q56/Assumptions!$B$11)*H56^2+G56^2*(R56/Assumptions!$B$11)^2),0)</f>
        <v/>
      </c>
      <c r="T56" s="28">
        <f>ROUNDUP(G56*Q56/Assumptions!$B$11+S56,0)</f>
        <v/>
      </c>
      <c r="U56" s="28">
        <f>ROUNDUP(MAX(INDEX(Items!$G$2:$G$117,MATCH($A56,Items!$A$2:$A$117,0)),SQRT(2*F56*Assumptions!$B$5/(Assumptions!$B$6*E56)),G56*Assumptions!$B$16),0)</f>
        <v/>
      </c>
      <c r="V56" s="28">
        <f>INDEX(Stock_Snapshot!$B$2:$B$117,MATCH($A56,Stock_Snapshot!$A$2:$A$117,0))</f>
        <v/>
      </c>
      <c r="W56" s="28">
        <f>INDEX(Stock_Snapshot!$C$2:$C$117,MATCH($A56,Stock_Snapshot!$A$2:$A$117,0))</f>
        <v/>
      </c>
      <c r="X56" s="28">
        <f>V56+W56</f>
        <v/>
      </c>
      <c r="Y56" s="10">
        <f>IF(G56&gt;0,V56/(G56/Assumptions!$B$11),999)</f>
        <v/>
      </c>
      <c r="Z56" s="28">
        <f>S56+U56</f>
        <v/>
      </c>
      <c r="AA56" s="12">
        <f>IF(V56&lt;S56,"Below safety stock",IF(X56&lt;=T56,"Reorder now",IF(V56&gt;Z56,"Excess","Healthy")))</f>
        <v/>
      </c>
      <c r="AB56" s="16">
        <f>V56*E56</f>
        <v/>
      </c>
      <c r="AC56" s="16">
        <f>MAX(0,V56-Z56)*E56</f>
        <v/>
      </c>
      <c r="AD56" s="28">
        <f>IF(X56&lt;=T56,ROUNDUP(T56+U56-X56,0),0)</f>
        <v/>
      </c>
      <c r="AE56" s="16">
        <f>MAX(0,T56-X56)*E56</f>
        <v/>
      </c>
      <c r="AF56" s="31">
        <f>IF(INDEX(Stock_Snapshot!$D$2:$D$117,MATCH($A56,Stock_Snapshot!$A$2:$A$117,0))="","",INDEX(Stock_Snapshot!$D$2:$D$117,MATCH($A56,Stock_Snapshot!$A$2:$A$117,0)))</f>
        <v/>
      </c>
      <c r="AG56" s="12">
        <f>IF(AF56="","",IF(AF56&lt;=EDATE(Assumptions!$B$4,Assumptions!$B$12),"Expires &lt; "&amp;Assumptions!$B$12&amp;" m","OK"))</f>
        <v/>
      </c>
    </row>
    <row r="57">
      <c r="A57" s="12" t="inlineStr">
        <is>
          <t>CMD-0053</t>
        </is>
      </c>
      <c r="B57" s="12">
        <f>INDEX(Items!$B$2:$B$117,MATCH($A57,Items!$A$2:$A$117,0))</f>
        <v/>
      </c>
      <c r="C57" s="12">
        <f>INDEX(Items!$C$2:$C$117,MATCH($A57,Items!$A$2:$A$117,0))</f>
        <v/>
      </c>
      <c r="D57" s="12">
        <f>INDEX(Items!$D$2:$D$117,MATCH($A57,Items!$A$2:$A$117,0))</f>
        <v/>
      </c>
      <c r="E57" s="27">
        <f>INDEX(Items!$E$2:$E$117,MATCH($A57,Items!$A$2:$A$117,0))</f>
        <v/>
      </c>
      <c r="F57" s="28">
        <f>SUM(INDEX(Demand!$N$2:$Y$117,MATCH($A57,Demand!$A$2:$A$117,0),0))</f>
        <v/>
      </c>
      <c r="G57" s="28">
        <f>F57/12</f>
        <v/>
      </c>
      <c r="H57" s="28">
        <f>STDEV(INDEX(Demand!$N$2:$Y$117,MATCH($A57,Demand!$A$2:$A$117,0),0))</f>
        <v/>
      </c>
      <c r="I57" s="29">
        <f>IF(G57&gt;0,H57/G57,0)</f>
        <v/>
      </c>
      <c r="J57" s="16">
        <f>F57*E57</f>
        <v/>
      </c>
      <c r="K57" s="11">
        <f>SUMIF($J$5:$J$120,"&gt;="&amp;J57)/SUM($J$5:$J$120)</f>
        <v/>
      </c>
      <c r="L57" s="12">
        <f>IF(K57&lt;=Assumptions!$B$7,"A",IF(K57&lt;=Assumptions!$B$8,"B","C"))</f>
        <v/>
      </c>
      <c r="M57" s="12">
        <f>IF(I57&lt;=Assumptions!$B$9,"X",IF(I57&lt;=Assumptions!$B$10,"Y","Z"))</f>
        <v/>
      </c>
      <c r="N57" s="12">
        <f>L57&amp;M57</f>
        <v/>
      </c>
      <c r="O57" s="11">
        <f>INDEX(Assumptions!$F$4:$F$6,MATCH(L57,Assumptions!$E$4:$E$6,0))</f>
        <v/>
      </c>
      <c r="P57" s="29">
        <f>NORMSINV(O57)</f>
        <v/>
      </c>
      <c r="Q57" s="30">
        <f>IFERROR(AVERAGEIFS(PO_Lines!$R$2:$R$2025,PO_Lines!$B$2:$B$2025,$A57,PO_Lines!$Q$2:$Q$2025,1),INDEX(Items!$F$2:$F$117,MATCH($A57,Items!$A$2:$A$117,0)))</f>
        <v/>
      </c>
      <c r="R57" s="30">
        <f>IFERROR(SQRT(SUMPRODUCT((PO_Lines!$B$2:$B$2025=$A57)*PO_Lines!$Q$2:$Q$2025*(PO_Lines!$R$2:$R$2025-Q57)^2)/(COUNTIFS(PO_Lines!$B$2:$B$2025,$A57,PO_Lines!$Q$2:$Q$2025,1)-1)),0)</f>
        <v/>
      </c>
      <c r="S57" s="28">
        <f>ROUNDUP(P57*SQRT((Q57/Assumptions!$B$11)*H57^2+G57^2*(R57/Assumptions!$B$11)^2),0)</f>
        <v/>
      </c>
      <c r="T57" s="28">
        <f>ROUNDUP(G57*Q57/Assumptions!$B$11+S57,0)</f>
        <v/>
      </c>
      <c r="U57" s="28">
        <f>ROUNDUP(MAX(INDEX(Items!$G$2:$G$117,MATCH($A57,Items!$A$2:$A$117,0)),SQRT(2*F57*Assumptions!$B$5/(Assumptions!$B$6*E57)),G57*Assumptions!$B$16),0)</f>
        <v/>
      </c>
      <c r="V57" s="28">
        <f>INDEX(Stock_Snapshot!$B$2:$B$117,MATCH($A57,Stock_Snapshot!$A$2:$A$117,0))</f>
        <v/>
      </c>
      <c r="W57" s="28">
        <f>INDEX(Stock_Snapshot!$C$2:$C$117,MATCH($A57,Stock_Snapshot!$A$2:$A$117,0))</f>
        <v/>
      </c>
      <c r="X57" s="28">
        <f>V57+W57</f>
        <v/>
      </c>
      <c r="Y57" s="10">
        <f>IF(G57&gt;0,V57/(G57/Assumptions!$B$11),999)</f>
        <v/>
      </c>
      <c r="Z57" s="28">
        <f>S57+U57</f>
        <v/>
      </c>
      <c r="AA57" s="12">
        <f>IF(V57&lt;S57,"Below safety stock",IF(X57&lt;=T57,"Reorder now",IF(V57&gt;Z57,"Excess","Healthy")))</f>
        <v/>
      </c>
      <c r="AB57" s="16">
        <f>V57*E57</f>
        <v/>
      </c>
      <c r="AC57" s="16">
        <f>MAX(0,V57-Z57)*E57</f>
        <v/>
      </c>
      <c r="AD57" s="28">
        <f>IF(X57&lt;=T57,ROUNDUP(T57+U57-X57,0),0)</f>
        <v/>
      </c>
      <c r="AE57" s="16">
        <f>MAX(0,T57-X57)*E57</f>
        <v/>
      </c>
      <c r="AF57" s="31">
        <f>IF(INDEX(Stock_Snapshot!$D$2:$D$117,MATCH($A57,Stock_Snapshot!$A$2:$A$117,0))="","",INDEX(Stock_Snapshot!$D$2:$D$117,MATCH($A57,Stock_Snapshot!$A$2:$A$117,0)))</f>
        <v/>
      </c>
      <c r="AG57" s="12">
        <f>IF(AF57="","",IF(AF57&lt;=EDATE(Assumptions!$B$4,Assumptions!$B$12),"Expires &lt; "&amp;Assumptions!$B$12&amp;" m","OK"))</f>
        <v/>
      </c>
    </row>
    <row r="58">
      <c r="A58" s="12" t="inlineStr">
        <is>
          <t>CMD-0054</t>
        </is>
      </c>
      <c r="B58" s="12">
        <f>INDEX(Items!$B$2:$B$117,MATCH($A58,Items!$A$2:$A$117,0))</f>
        <v/>
      </c>
      <c r="C58" s="12">
        <f>INDEX(Items!$C$2:$C$117,MATCH($A58,Items!$A$2:$A$117,0))</f>
        <v/>
      </c>
      <c r="D58" s="12">
        <f>INDEX(Items!$D$2:$D$117,MATCH($A58,Items!$A$2:$A$117,0))</f>
        <v/>
      </c>
      <c r="E58" s="27">
        <f>INDEX(Items!$E$2:$E$117,MATCH($A58,Items!$A$2:$A$117,0))</f>
        <v/>
      </c>
      <c r="F58" s="28">
        <f>SUM(INDEX(Demand!$N$2:$Y$117,MATCH($A58,Demand!$A$2:$A$117,0),0))</f>
        <v/>
      </c>
      <c r="G58" s="28">
        <f>F58/12</f>
        <v/>
      </c>
      <c r="H58" s="28">
        <f>STDEV(INDEX(Demand!$N$2:$Y$117,MATCH($A58,Demand!$A$2:$A$117,0),0))</f>
        <v/>
      </c>
      <c r="I58" s="29">
        <f>IF(G58&gt;0,H58/G58,0)</f>
        <v/>
      </c>
      <c r="J58" s="16">
        <f>F58*E58</f>
        <v/>
      </c>
      <c r="K58" s="11">
        <f>SUMIF($J$5:$J$120,"&gt;="&amp;J58)/SUM($J$5:$J$120)</f>
        <v/>
      </c>
      <c r="L58" s="12">
        <f>IF(K58&lt;=Assumptions!$B$7,"A",IF(K58&lt;=Assumptions!$B$8,"B","C"))</f>
        <v/>
      </c>
      <c r="M58" s="12">
        <f>IF(I58&lt;=Assumptions!$B$9,"X",IF(I58&lt;=Assumptions!$B$10,"Y","Z"))</f>
        <v/>
      </c>
      <c r="N58" s="12">
        <f>L58&amp;M58</f>
        <v/>
      </c>
      <c r="O58" s="11">
        <f>INDEX(Assumptions!$F$4:$F$6,MATCH(L58,Assumptions!$E$4:$E$6,0))</f>
        <v/>
      </c>
      <c r="P58" s="29">
        <f>NORMSINV(O58)</f>
        <v/>
      </c>
      <c r="Q58" s="30">
        <f>IFERROR(AVERAGEIFS(PO_Lines!$R$2:$R$2025,PO_Lines!$B$2:$B$2025,$A58,PO_Lines!$Q$2:$Q$2025,1),INDEX(Items!$F$2:$F$117,MATCH($A58,Items!$A$2:$A$117,0)))</f>
        <v/>
      </c>
      <c r="R58" s="30">
        <f>IFERROR(SQRT(SUMPRODUCT((PO_Lines!$B$2:$B$2025=$A58)*PO_Lines!$Q$2:$Q$2025*(PO_Lines!$R$2:$R$2025-Q58)^2)/(COUNTIFS(PO_Lines!$B$2:$B$2025,$A58,PO_Lines!$Q$2:$Q$2025,1)-1)),0)</f>
        <v/>
      </c>
      <c r="S58" s="28">
        <f>ROUNDUP(P58*SQRT((Q58/Assumptions!$B$11)*H58^2+G58^2*(R58/Assumptions!$B$11)^2),0)</f>
        <v/>
      </c>
      <c r="T58" s="28">
        <f>ROUNDUP(G58*Q58/Assumptions!$B$11+S58,0)</f>
        <v/>
      </c>
      <c r="U58" s="28">
        <f>ROUNDUP(MAX(INDEX(Items!$G$2:$G$117,MATCH($A58,Items!$A$2:$A$117,0)),SQRT(2*F58*Assumptions!$B$5/(Assumptions!$B$6*E58)),G58*Assumptions!$B$16),0)</f>
        <v/>
      </c>
      <c r="V58" s="28">
        <f>INDEX(Stock_Snapshot!$B$2:$B$117,MATCH($A58,Stock_Snapshot!$A$2:$A$117,0))</f>
        <v/>
      </c>
      <c r="W58" s="28">
        <f>INDEX(Stock_Snapshot!$C$2:$C$117,MATCH($A58,Stock_Snapshot!$A$2:$A$117,0))</f>
        <v/>
      </c>
      <c r="X58" s="28">
        <f>V58+W58</f>
        <v/>
      </c>
      <c r="Y58" s="10">
        <f>IF(G58&gt;0,V58/(G58/Assumptions!$B$11),999)</f>
        <v/>
      </c>
      <c r="Z58" s="28">
        <f>S58+U58</f>
        <v/>
      </c>
      <c r="AA58" s="12">
        <f>IF(V58&lt;S58,"Below safety stock",IF(X58&lt;=T58,"Reorder now",IF(V58&gt;Z58,"Excess","Healthy")))</f>
        <v/>
      </c>
      <c r="AB58" s="16">
        <f>V58*E58</f>
        <v/>
      </c>
      <c r="AC58" s="16">
        <f>MAX(0,V58-Z58)*E58</f>
        <v/>
      </c>
      <c r="AD58" s="28">
        <f>IF(X58&lt;=T58,ROUNDUP(T58+U58-X58,0),0)</f>
        <v/>
      </c>
      <c r="AE58" s="16">
        <f>MAX(0,T58-X58)*E58</f>
        <v/>
      </c>
      <c r="AF58" s="31">
        <f>IF(INDEX(Stock_Snapshot!$D$2:$D$117,MATCH($A58,Stock_Snapshot!$A$2:$A$117,0))="","",INDEX(Stock_Snapshot!$D$2:$D$117,MATCH($A58,Stock_Snapshot!$A$2:$A$117,0)))</f>
        <v/>
      </c>
      <c r="AG58" s="12">
        <f>IF(AF58="","",IF(AF58&lt;=EDATE(Assumptions!$B$4,Assumptions!$B$12),"Expires &lt; "&amp;Assumptions!$B$12&amp;" m","OK"))</f>
        <v/>
      </c>
    </row>
    <row r="59">
      <c r="A59" s="12" t="inlineStr">
        <is>
          <t>CMD-0055</t>
        </is>
      </c>
      <c r="B59" s="12">
        <f>INDEX(Items!$B$2:$B$117,MATCH($A59,Items!$A$2:$A$117,0))</f>
        <v/>
      </c>
      <c r="C59" s="12">
        <f>INDEX(Items!$C$2:$C$117,MATCH($A59,Items!$A$2:$A$117,0))</f>
        <v/>
      </c>
      <c r="D59" s="12">
        <f>INDEX(Items!$D$2:$D$117,MATCH($A59,Items!$A$2:$A$117,0))</f>
        <v/>
      </c>
      <c r="E59" s="27">
        <f>INDEX(Items!$E$2:$E$117,MATCH($A59,Items!$A$2:$A$117,0))</f>
        <v/>
      </c>
      <c r="F59" s="28">
        <f>SUM(INDEX(Demand!$N$2:$Y$117,MATCH($A59,Demand!$A$2:$A$117,0),0))</f>
        <v/>
      </c>
      <c r="G59" s="28">
        <f>F59/12</f>
        <v/>
      </c>
      <c r="H59" s="28">
        <f>STDEV(INDEX(Demand!$N$2:$Y$117,MATCH($A59,Demand!$A$2:$A$117,0),0))</f>
        <v/>
      </c>
      <c r="I59" s="29">
        <f>IF(G59&gt;0,H59/G59,0)</f>
        <v/>
      </c>
      <c r="J59" s="16">
        <f>F59*E59</f>
        <v/>
      </c>
      <c r="K59" s="11">
        <f>SUMIF($J$5:$J$120,"&gt;="&amp;J59)/SUM($J$5:$J$120)</f>
        <v/>
      </c>
      <c r="L59" s="12">
        <f>IF(K59&lt;=Assumptions!$B$7,"A",IF(K59&lt;=Assumptions!$B$8,"B","C"))</f>
        <v/>
      </c>
      <c r="M59" s="12">
        <f>IF(I59&lt;=Assumptions!$B$9,"X",IF(I59&lt;=Assumptions!$B$10,"Y","Z"))</f>
        <v/>
      </c>
      <c r="N59" s="12">
        <f>L59&amp;M59</f>
        <v/>
      </c>
      <c r="O59" s="11">
        <f>INDEX(Assumptions!$F$4:$F$6,MATCH(L59,Assumptions!$E$4:$E$6,0))</f>
        <v/>
      </c>
      <c r="P59" s="29">
        <f>NORMSINV(O59)</f>
        <v/>
      </c>
      <c r="Q59" s="30">
        <f>IFERROR(AVERAGEIFS(PO_Lines!$R$2:$R$2025,PO_Lines!$B$2:$B$2025,$A59,PO_Lines!$Q$2:$Q$2025,1),INDEX(Items!$F$2:$F$117,MATCH($A59,Items!$A$2:$A$117,0)))</f>
        <v/>
      </c>
      <c r="R59" s="30">
        <f>IFERROR(SQRT(SUMPRODUCT((PO_Lines!$B$2:$B$2025=$A59)*PO_Lines!$Q$2:$Q$2025*(PO_Lines!$R$2:$R$2025-Q59)^2)/(COUNTIFS(PO_Lines!$B$2:$B$2025,$A59,PO_Lines!$Q$2:$Q$2025,1)-1)),0)</f>
        <v/>
      </c>
      <c r="S59" s="28">
        <f>ROUNDUP(P59*SQRT((Q59/Assumptions!$B$11)*H59^2+G59^2*(R59/Assumptions!$B$11)^2),0)</f>
        <v/>
      </c>
      <c r="T59" s="28">
        <f>ROUNDUP(G59*Q59/Assumptions!$B$11+S59,0)</f>
        <v/>
      </c>
      <c r="U59" s="28">
        <f>ROUNDUP(MAX(INDEX(Items!$G$2:$G$117,MATCH($A59,Items!$A$2:$A$117,0)),SQRT(2*F59*Assumptions!$B$5/(Assumptions!$B$6*E59)),G59*Assumptions!$B$16),0)</f>
        <v/>
      </c>
      <c r="V59" s="28">
        <f>INDEX(Stock_Snapshot!$B$2:$B$117,MATCH($A59,Stock_Snapshot!$A$2:$A$117,0))</f>
        <v/>
      </c>
      <c r="W59" s="28">
        <f>INDEX(Stock_Snapshot!$C$2:$C$117,MATCH($A59,Stock_Snapshot!$A$2:$A$117,0))</f>
        <v/>
      </c>
      <c r="X59" s="28">
        <f>V59+W59</f>
        <v/>
      </c>
      <c r="Y59" s="10">
        <f>IF(G59&gt;0,V59/(G59/Assumptions!$B$11),999)</f>
        <v/>
      </c>
      <c r="Z59" s="28">
        <f>S59+U59</f>
        <v/>
      </c>
      <c r="AA59" s="12">
        <f>IF(V59&lt;S59,"Below safety stock",IF(X59&lt;=T59,"Reorder now",IF(V59&gt;Z59,"Excess","Healthy")))</f>
        <v/>
      </c>
      <c r="AB59" s="16">
        <f>V59*E59</f>
        <v/>
      </c>
      <c r="AC59" s="16">
        <f>MAX(0,V59-Z59)*E59</f>
        <v/>
      </c>
      <c r="AD59" s="28">
        <f>IF(X59&lt;=T59,ROUNDUP(T59+U59-X59,0),0)</f>
        <v/>
      </c>
      <c r="AE59" s="16">
        <f>MAX(0,T59-X59)*E59</f>
        <v/>
      </c>
      <c r="AF59" s="31">
        <f>IF(INDEX(Stock_Snapshot!$D$2:$D$117,MATCH($A59,Stock_Snapshot!$A$2:$A$117,0))="","",INDEX(Stock_Snapshot!$D$2:$D$117,MATCH($A59,Stock_Snapshot!$A$2:$A$117,0)))</f>
        <v/>
      </c>
      <c r="AG59" s="12">
        <f>IF(AF59="","",IF(AF59&lt;=EDATE(Assumptions!$B$4,Assumptions!$B$12),"Expires &lt; "&amp;Assumptions!$B$12&amp;" m","OK"))</f>
        <v/>
      </c>
    </row>
    <row r="60">
      <c r="A60" s="12" t="inlineStr">
        <is>
          <t>CMD-0056</t>
        </is>
      </c>
      <c r="B60" s="12">
        <f>INDEX(Items!$B$2:$B$117,MATCH($A60,Items!$A$2:$A$117,0))</f>
        <v/>
      </c>
      <c r="C60" s="12">
        <f>INDEX(Items!$C$2:$C$117,MATCH($A60,Items!$A$2:$A$117,0))</f>
        <v/>
      </c>
      <c r="D60" s="12">
        <f>INDEX(Items!$D$2:$D$117,MATCH($A60,Items!$A$2:$A$117,0))</f>
        <v/>
      </c>
      <c r="E60" s="27">
        <f>INDEX(Items!$E$2:$E$117,MATCH($A60,Items!$A$2:$A$117,0))</f>
        <v/>
      </c>
      <c r="F60" s="28">
        <f>SUM(INDEX(Demand!$N$2:$Y$117,MATCH($A60,Demand!$A$2:$A$117,0),0))</f>
        <v/>
      </c>
      <c r="G60" s="28">
        <f>F60/12</f>
        <v/>
      </c>
      <c r="H60" s="28">
        <f>STDEV(INDEX(Demand!$N$2:$Y$117,MATCH($A60,Demand!$A$2:$A$117,0),0))</f>
        <v/>
      </c>
      <c r="I60" s="29">
        <f>IF(G60&gt;0,H60/G60,0)</f>
        <v/>
      </c>
      <c r="J60" s="16">
        <f>F60*E60</f>
        <v/>
      </c>
      <c r="K60" s="11">
        <f>SUMIF($J$5:$J$120,"&gt;="&amp;J60)/SUM($J$5:$J$120)</f>
        <v/>
      </c>
      <c r="L60" s="12">
        <f>IF(K60&lt;=Assumptions!$B$7,"A",IF(K60&lt;=Assumptions!$B$8,"B","C"))</f>
        <v/>
      </c>
      <c r="M60" s="12">
        <f>IF(I60&lt;=Assumptions!$B$9,"X",IF(I60&lt;=Assumptions!$B$10,"Y","Z"))</f>
        <v/>
      </c>
      <c r="N60" s="12">
        <f>L60&amp;M60</f>
        <v/>
      </c>
      <c r="O60" s="11">
        <f>INDEX(Assumptions!$F$4:$F$6,MATCH(L60,Assumptions!$E$4:$E$6,0))</f>
        <v/>
      </c>
      <c r="P60" s="29">
        <f>NORMSINV(O60)</f>
        <v/>
      </c>
      <c r="Q60" s="30">
        <f>IFERROR(AVERAGEIFS(PO_Lines!$R$2:$R$2025,PO_Lines!$B$2:$B$2025,$A60,PO_Lines!$Q$2:$Q$2025,1),INDEX(Items!$F$2:$F$117,MATCH($A60,Items!$A$2:$A$117,0)))</f>
        <v/>
      </c>
      <c r="R60" s="30">
        <f>IFERROR(SQRT(SUMPRODUCT((PO_Lines!$B$2:$B$2025=$A60)*PO_Lines!$Q$2:$Q$2025*(PO_Lines!$R$2:$R$2025-Q60)^2)/(COUNTIFS(PO_Lines!$B$2:$B$2025,$A60,PO_Lines!$Q$2:$Q$2025,1)-1)),0)</f>
        <v/>
      </c>
      <c r="S60" s="28">
        <f>ROUNDUP(P60*SQRT((Q60/Assumptions!$B$11)*H60^2+G60^2*(R60/Assumptions!$B$11)^2),0)</f>
        <v/>
      </c>
      <c r="T60" s="28">
        <f>ROUNDUP(G60*Q60/Assumptions!$B$11+S60,0)</f>
        <v/>
      </c>
      <c r="U60" s="28">
        <f>ROUNDUP(MAX(INDEX(Items!$G$2:$G$117,MATCH($A60,Items!$A$2:$A$117,0)),SQRT(2*F60*Assumptions!$B$5/(Assumptions!$B$6*E60)),G60*Assumptions!$B$16),0)</f>
        <v/>
      </c>
      <c r="V60" s="28">
        <f>INDEX(Stock_Snapshot!$B$2:$B$117,MATCH($A60,Stock_Snapshot!$A$2:$A$117,0))</f>
        <v/>
      </c>
      <c r="W60" s="28">
        <f>INDEX(Stock_Snapshot!$C$2:$C$117,MATCH($A60,Stock_Snapshot!$A$2:$A$117,0))</f>
        <v/>
      </c>
      <c r="X60" s="28">
        <f>V60+W60</f>
        <v/>
      </c>
      <c r="Y60" s="10">
        <f>IF(G60&gt;0,V60/(G60/Assumptions!$B$11),999)</f>
        <v/>
      </c>
      <c r="Z60" s="28">
        <f>S60+U60</f>
        <v/>
      </c>
      <c r="AA60" s="12">
        <f>IF(V60&lt;S60,"Below safety stock",IF(X60&lt;=T60,"Reorder now",IF(V60&gt;Z60,"Excess","Healthy")))</f>
        <v/>
      </c>
      <c r="AB60" s="16">
        <f>V60*E60</f>
        <v/>
      </c>
      <c r="AC60" s="16">
        <f>MAX(0,V60-Z60)*E60</f>
        <v/>
      </c>
      <c r="AD60" s="28">
        <f>IF(X60&lt;=T60,ROUNDUP(T60+U60-X60,0),0)</f>
        <v/>
      </c>
      <c r="AE60" s="16">
        <f>MAX(0,T60-X60)*E60</f>
        <v/>
      </c>
      <c r="AF60" s="31">
        <f>IF(INDEX(Stock_Snapshot!$D$2:$D$117,MATCH($A60,Stock_Snapshot!$A$2:$A$117,0))="","",INDEX(Stock_Snapshot!$D$2:$D$117,MATCH($A60,Stock_Snapshot!$A$2:$A$117,0)))</f>
        <v/>
      </c>
      <c r="AG60" s="12">
        <f>IF(AF60="","",IF(AF60&lt;=EDATE(Assumptions!$B$4,Assumptions!$B$12),"Expires &lt; "&amp;Assumptions!$B$12&amp;" m","OK"))</f>
        <v/>
      </c>
    </row>
    <row r="61">
      <c r="A61" s="12" t="inlineStr">
        <is>
          <t>CMD-0057</t>
        </is>
      </c>
      <c r="B61" s="12">
        <f>INDEX(Items!$B$2:$B$117,MATCH($A61,Items!$A$2:$A$117,0))</f>
        <v/>
      </c>
      <c r="C61" s="12">
        <f>INDEX(Items!$C$2:$C$117,MATCH($A61,Items!$A$2:$A$117,0))</f>
        <v/>
      </c>
      <c r="D61" s="12">
        <f>INDEX(Items!$D$2:$D$117,MATCH($A61,Items!$A$2:$A$117,0))</f>
        <v/>
      </c>
      <c r="E61" s="27">
        <f>INDEX(Items!$E$2:$E$117,MATCH($A61,Items!$A$2:$A$117,0))</f>
        <v/>
      </c>
      <c r="F61" s="28">
        <f>SUM(INDEX(Demand!$N$2:$Y$117,MATCH($A61,Demand!$A$2:$A$117,0),0))</f>
        <v/>
      </c>
      <c r="G61" s="28">
        <f>F61/12</f>
        <v/>
      </c>
      <c r="H61" s="28">
        <f>STDEV(INDEX(Demand!$N$2:$Y$117,MATCH($A61,Demand!$A$2:$A$117,0),0))</f>
        <v/>
      </c>
      <c r="I61" s="29">
        <f>IF(G61&gt;0,H61/G61,0)</f>
        <v/>
      </c>
      <c r="J61" s="16">
        <f>F61*E61</f>
        <v/>
      </c>
      <c r="K61" s="11">
        <f>SUMIF($J$5:$J$120,"&gt;="&amp;J61)/SUM($J$5:$J$120)</f>
        <v/>
      </c>
      <c r="L61" s="12">
        <f>IF(K61&lt;=Assumptions!$B$7,"A",IF(K61&lt;=Assumptions!$B$8,"B","C"))</f>
        <v/>
      </c>
      <c r="M61" s="12">
        <f>IF(I61&lt;=Assumptions!$B$9,"X",IF(I61&lt;=Assumptions!$B$10,"Y","Z"))</f>
        <v/>
      </c>
      <c r="N61" s="12">
        <f>L61&amp;M61</f>
        <v/>
      </c>
      <c r="O61" s="11">
        <f>INDEX(Assumptions!$F$4:$F$6,MATCH(L61,Assumptions!$E$4:$E$6,0))</f>
        <v/>
      </c>
      <c r="P61" s="29">
        <f>NORMSINV(O61)</f>
        <v/>
      </c>
      <c r="Q61" s="30">
        <f>IFERROR(AVERAGEIFS(PO_Lines!$R$2:$R$2025,PO_Lines!$B$2:$B$2025,$A61,PO_Lines!$Q$2:$Q$2025,1),INDEX(Items!$F$2:$F$117,MATCH($A61,Items!$A$2:$A$117,0)))</f>
        <v/>
      </c>
      <c r="R61" s="30">
        <f>IFERROR(SQRT(SUMPRODUCT((PO_Lines!$B$2:$B$2025=$A61)*PO_Lines!$Q$2:$Q$2025*(PO_Lines!$R$2:$R$2025-Q61)^2)/(COUNTIFS(PO_Lines!$B$2:$B$2025,$A61,PO_Lines!$Q$2:$Q$2025,1)-1)),0)</f>
        <v/>
      </c>
      <c r="S61" s="28">
        <f>ROUNDUP(P61*SQRT((Q61/Assumptions!$B$11)*H61^2+G61^2*(R61/Assumptions!$B$11)^2),0)</f>
        <v/>
      </c>
      <c r="T61" s="28">
        <f>ROUNDUP(G61*Q61/Assumptions!$B$11+S61,0)</f>
        <v/>
      </c>
      <c r="U61" s="28">
        <f>ROUNDUP(MAX(INDEX(Items!$G$2:$G$117,MATCH($A61,Items!$A$2:$A$117,0)),SQRT(2*F61*Assumptions!$B$5/(Assumptions!$B$6*E61)),G61*Assumptions!$B$16),0)</f>
        <v/>
      </c>
      <c r="V61" s="28">
        <f>INDEX(Stock_Snapshot!$B$2:$B$117,MATCH($A61,Stock_Snapshot!$A$2:$A$117,0))</f>
        <v/>
      </c>
      <c r="W61" s="28">
        <f>INDEX(Stock_Snapshot!$C$2:$C$117,MATCH($A61,Stock_Snapshot!$A$2:$A$117,0))</f>
        <v/>
      </c>
      <c r="X61" s="28">
        <f>V61+W61</f>
        <v/>
      </c>
      <c r="Y61" s="10">
        <f>IF(G61&gt;0,V61/(G61/Assumptions!$B$11),999)</f>
        <v/>
      </c>
      <c r="Z61" s="28">
        <f>S61+U61</f>
        <v/>
      </c>
      <c r="AA61" s="12">
        <f>IF(V61&lt;S61,"Below safety stock",IF(X61&lt;=T61,"Reorder now",IF(V61&gt;Z61,"Excess","Healthy")))</f>
        <v/>
      </c>
      <c r="AB61" s="16">
        <f>V61*E61</f>
        <v/>
      </c>
      <c r="AC61" s="16">
        <f>MAX(0,V61-Z61)*E61</f>
        <v/>
      </c>
      <c r="AD61" s="28">
        <f>IF(X61&lt;=T61,ROUNDUP(T61+U61-X61,0),0)</f>
        <v/>
      </c>
      <c r="AE61" s="16">
        <f>MAX(0,T61-X61)*E61</f>
        <v/>
      </c>
      <c r="AF61" s="31">
        <f>IF(INDEX(Stock_Snapshot!$D$2:$D$117,MATCH($A61,Stock_Snapshot!$A$2:$A$117,0))="","",INDEX(Stock_Snapshot!$D$2:$D$117,MATCH($A61,Stock_Snapshot!$A$2:$A$117,0)))</f>
        <v/>
      </c>
      <c r="AG61" s="12">
        <f>IF(AF61="","",IF(AF61&lt;=EDATE(Assumptions!$B$4,Assumptions!$B$12),"Expires &lt; "&amp;Assumptions!$B$12&amp;" m","OK"))</f>
        <v/>
      </c>
    </row>
    <row r="62">
      <c r="A62" s="12" t="inlineStr">
        <is>
          <t>CMD-0058</t>
        </is>
      </c>
      <c r="B62" s="12">
        <f>INDEX(Items!$B$2:$B$117,MATCH($A62,Items!$A$2:$A$117,0))</f>
        <v/>
      </c>
      <c r="C62" s="12">
        <f>INDEX(Items!$C$2:$C$117,MATCH($A62,Items!$A$2:$A$117,0))</f>
        <v/>
      </c>
      <c r="D62" s="12">
        <f>INDEX(Items!$D$2:$D$117,MATCH($A62,Items!$A$2:$A$117,0))</f>
        <v/>
      </c>
      <c r="E62" s="27">
        <f>INDEX(Items!$E$2:$E$117,MATCH($A62,Items!$A$2:$A$117,0))</f>
        <v/>
      </c>
      <c r="F62" s="28">
        <f>SUM(INDEX(Demand!$N$2:$Y$117,MATCH($A62,Demand!$A$2:$A$117,0),0))</f>
        <v/>
      </c>
      <c r="G62" s="28">
        <f>F62/12</f>
        <v/>
      </c>
      <c r="H62" s="28">
        <f>STDEV(INDEX(Demand!$N$2:$Y$117,MATCH($A62,Demand!$A$2:$A$117,0),0))</f>
        <v/>
      </c>
      <c r="I62" s="29">
        <f>IF(G62&gt;0,H62/G62,0)</f>
        <v/>
      </c>
      <c r="J62" s="16">
        <f>F62*E62</f>
        <v/>
      </c>
      <c r="K62" s="11">
        <f>SUMIF($J$5:$J$120,"&gt;="&amp;J62)/SUM($J$5:$J$120)</f>
        <v/>
      </c>
      <c r="L62" s="12">
        <f>IF(K62&lt;=Assumptions!$B$7,"A",IF(K62&lt;=Assumptions!$B$8,"B","C"))</f>
        <v/>
      </c>
      <c r="M62" s="12">
        <f>IF(I62&lt;=Assumptions!$B$9,"X",IF(I62&lt;=Assumptions!$B$10,"Y","Z"))</f>
        <v/>
      </c>
      <c r="N62" s="12">
        <f>L62&amp;M62</f>
        <v/>
      </c>
      <c r="O62" s="11">
        <f>INDEX(Assumptions!$F$4:$F$6,MATCH(L62,Assumptions!$E$4:$E$6,0))</f>
        <v/>
      </c>
      <c r="P62" s="29">
        <f>NORMSINV(O62)</f>
        <v/>
      </c>
      <c r="Q62" s="30">
        <f>IFERROR(AVERAGEIFS(PO_Lines!$R$2:$R$2025,PO_Lines!$B$2:$B$2025,$A62,PO_Lines!$Q$2:$Q$2025,1),INDEX(Items!$F$2:$F$117,MATCH($A62,Items!$A$2:$A$117,0)))</f>
        <v/>
      </c>
      <c r="R62" s="30">
        <f>IFERROR(SQRT(SUMPRODUCT((PO_Lines!$B$2:$B$2025=$A62)*PO_Lines!$Q$2:$Q$2025*(PO_Lines!$R$2:$R$2025-Q62)^2)/(COUNTIFS(PO_Lines!$B$2:$B$2025,$A62,PO_Lines!$Q$2:$Q$2025,1)-1)),0)</f>
        <v/>
      </c>
      <c r="S62" s="28">
        <f>ROUNDUP(P62*SQRT((Q62/Assumptions!$B$11)*H62^2+G62^2*(R62/Assumptions!$B$11)^2),0)</f>
        <v/>
      </c>
      <c r="T62" s="28">
        <f>ROUNDUP(G62*Q62/Assumptions!$B$11+S62,0)</f>
        <v/>
      </c>
      <c r="U62" s="28">
        <f>ROUNDUP(MAX(INDEX(Items!$G$2:$G$117,MATCH($A62,Items!$A$2:$A$117,0)),SQRT(2*F62*Assumptions!$B$5/(Assumptions!$B$6*E62)),G62*Assumptions!$B$16),0)</f>
        <v/>
      </c>
      <c r="V62" s="28">
        <f>INDEX(Stock_Snapshot!$B$2:$B$117,MATCH($A62,Stock_Snapshot!$A$2:$A$117,0))</f>
        <v/>
      </c>
      <c r="W62" s="28">
        <f>INDEX(Stock_Snapshot!$C$2:$C$117,MATCH($A62,Stock_Snapshot!$A$2:$A$117,0))</f>
        <v/>
      </c>
      <c r="X62" s="28">
        <f>V62+W62</f>
        <v/>
      </c>
      <c r="Y62" s="10">
        <f>IF(G62&gt;0,V62/(G62/Assumptions!$B$11),999)</f>
        <v/>
      </c>
      <c r="Z62" s="28">
        <f>S62+U62</f>
        <v/>
      </c>
      <c r="AA62" s="12">
        <f>IF(V62&lt;S62,"Below safety stock",IF(X62&lt;=T62,"Reorder now",IF(V62&gt;Z62,"Excess","Healthy")))</f>
        <v/>
      </c>
      <c r="AB62" s="16">
        <f>V62*E62</f>
        <v/>
      </c>
      <c r="AC62" s="16">
        <f>MAX(0,V62-Z62)*E62</f>
        <v/>
      </c>
      <c r="AD62" s="28">
        <f>IF(X62&lt;=T62,ROUNDUP(T62+U62-X62,0),0)</f>
        <v/>
      </c>
      <c r="AE62" s="16">
        <f>MAX(0,T62-X62)*E62</f>
        <v/>
      </c>
      <c r="AF62" s="31">
        <f>IF(INDEX(Stock_Snapshot!$D$2:$D$117,MATCH($A62,Stock_Snapshot!$A$2:$A$117,0))="","",INDEX(Stock_Snapshot!$D$2:$D$117,MATCH($A62,Stock_Snapshot!$A$2:$A$117,0)))</f>
        <v/>
      </c>
      <c r="AG62" s="12">
        <f>IF(AF62="","",IF(AF62&lt;=EDATE(Assumptions!$B$4,Assumptions!$B$12),"Expires &lt; "&amp;Assumptions!$B$12&amp;" m","OK"))</f>
        <v/>
      </c>
    </row>
    <row r="63">
      <c r="A63" s="12" t="inlineStr">
        <is>
          <t>CMD-0059</t>
        </is>
      </c>
      <c r="B63" s="12">
        <f>INDEX(Items!$B$2:$B$117,MATCH($A63,Items!$A$2:$A$117,0))</f>
        <v/>
      </c>
      <c r="C63" s="12">
        <f>INDEX(Items!$C$2:$C$117,MATCH($A63,Items!$A$2:$A$117,0))</f>
        <v/>
      </c>
      <c r="D63" s="12">
        <f>INDEX(Items!$D$2:$D$117,MATCH($A63,Items!$A$2:$A$117,0))</f>
        <v/>
      </c>
      <c r="E63" s="27">
        <f>INDEX(Items!$E$2:$E$117,MATCH($A63,Items!$A$2:$A$117,0))</f>
        <v/>
      </c>
      <c r="F63" s="28">
        <f>SUM(INDEX(Demand!$N$2:$Y$117,MATCH($A63,Demand!$A$2:$A$117,0),0))</f>
        <v/>
      </c>
      <c r="G63" s="28">
        <f>F63/12</f>
        <v/>
      </c>
      <c r="H63" s="28">
        <f>STDEV(INDEX(Demand!$N$2:$Y$117,MATCH($A63,Demand!$A$2:$A$117,0),0))</f>
        <v/>
      </c>
      <c r="I63" s="29">
        <f>IF(G63&gt;0,H63/G63,0)</f>
        <v/>
      </c>
      <c r="J63" s="16">
        <f>F63*E63</f>
        <v/>
      </c>
      <c r="K63" s="11">
        <f>SUMIF($J$5:$J$120,"&gt;="&amp;J63)/SUM($J$5:$J$120)</f>
        <v/>
      </c>
      <c r="L63" s="12">
        <f>IF(K63&lt;=Assumptions!$B$7,"A",IF(K63&lt;=Assumptions!$B$8,"B","C"))</f>
        <v/>
      </c>
      <c r="M63" s="12">
        <f>IF(I63&lt;=Assumptions!$B$9,"X",IF(I63&lt;=Assumptions!$B$10,"Y","Z"))</f>
        <v/>
      </c>
      <c r="N63" s="12">
        <f>L63&amp;M63</f>
        <v/>
      </c>
      <c r="O63" s="11">
        <f>INDEX(Assumptions!$F$4:$F$6,MATCH(L63,Assumptions!$E$4:$E$6,0))</f>
        <v/>
      </c>
      <c r="P63" s="29">
        <f>NORMSINV(O63)</f>
        <v/>
      </c>
      <c r="Q63" s="30">
        <f>IFERROR(AVERAGEIFS(PO_Lines!$R$2:$R$2025,PO_Lines!$B$2:$B$2025,$A63,PO_Lines!$Q$2:$Q$2025,1),INDEX(Items!$F$2:$F$117,MATCH($A63,Items!$A$2:$A$117,0)))</f>
        <v/>
      </c>
      <c r="R63" s="30">
        <f>IFERROR(SQRT(SUMPRODUCT((PO_Lines!$B$2:$B$2025=$A63)*PO_Lines!$Q$2:$Q$2025*(PO_Lines!$R$2:$R$2025-Q63)^2)/(COUNTIFS(PO_Lines!$B$2:$B$2025,$A63,PO_Lines!$Q$2:$Q$2025,1)-1)),0)</f>
        <v/>
      </c>
      <c r="S63" s="28">
        <f>ROUNDUP(P63*SQRT((Q63/Assumptions!$B$11)*H63^2+G63^2*(R63/Assumptions!$B$11)^2),0)</f>
        <v/>
      </c>
      <c r="T63" s="28">
        <f>ROUNDUP(G63*Q63/Assumptions!$B$11+S63,0)</f>
        <v/>
      </c>
      <c r="U63" s="28">
        <f>ROUNDUP(MAX(INDEX(Items!$G$2:$G$117,MATCH($A63,Items!$A$2:$A$117,0)),SQRT(2*F63*Assumptions!$B$5/(Assumptions!$B$6*E63)),G63*Assumptions!$B$16),0)</f>
        <v/>
      </c>
      <c r="V63" s="28">
        <f>INDEX(Stock_Snapshot!$B$2:$B$117,MATCH($A63,Stock_Snapshot!$A$2:$A$117,0))</f>
        <v/>
      </c>
      <c r="W63" s="28">
        <f>INDEX(Stock_Snapshot!$C$2:$C$117,MATCH($A63,Stock_Snapshot!$A$2:$A$117,0))</f>
        <v/>
      </c>
      <c r="X63" s="28">
        <f>V63+W63</f>
        <v/>
      </c>
      <c r="Y63" s="10">
        <f>IF(G63&gt;0,V63/(G63/Assumptions!$B$11),999)</f>
        <v/>
      </c>
      <c r="Z63" s="28">
        <f>S63+U63</f>
        <v/>
      </c>
      <c r="AA63" s="12">
        <f>IF(V63&lt;S63,"Below safety stock",IF(X63&lt;=T63,"Reorder now",IF(V63&gt;Z63,"Excess","Healthy")))</f>
        <v/>
      </c>
      <c r="AB63" s="16">
        <f>V63*E63</f>
        <v/>
      </c>
      <c r="AC63" s="16">
        <f>MAX(0,V63-Z63)*E63</f>
        <v/>
      </c>
      <c r="AD63" s="28">
        <f>IF(X63&lt;=T63,ROUNDUP(T63+U63-X63,0),0)</f>
        <v/>
      </c>
      <c r="AE63" s="16">
        <f>MAX(0,T63-X63)*E63</f>
        <v/>
      </c>
      <c r="AF63" s="31">
        <f>IF(INDEX(Stock_Snapshot!$D$2:$D$117,MATCH($A63,Stock_Snapshot!$A$2:$A$117,0))="","",INDEX(Stock_Snapshot!$D$2:$D$117,MATCH($A63,Stock_Snapshot!$A$2:$A$117,0)))</f>
        <v/>
      </c>
      <c r="AG63" s="12">
        <f>IF(AF63="","",IF(AF63&lt;=EDATE(Assumptions!$B$4,Assumptions!$B$12),"Expires &lt; "&amp;Assumptions!$B$12&amp;" m","OK"))</f>
        <v/>
      </c>
    </row>
    <row r="64">
      <c r="A64" s="12" t="inlineStr">
        <is>
          <t>CMD-0060</t>
        </is>
      </c>
      <c r="B64" s="12">
        <f>INDEX(Items!$B$2:$B$117,MATCH($A64,Items!$A$2:$A$117,0))</f>
        <v/>
      </c>
      <c r="C64" s="12">
        <f>INDEX(Items!$C$2:$C$117,MATCH($A64,Items!$A$2:$A$117,0))</f>
        <v/>
      </c>
      <c r="D64" s="12">
        <f>INDEX(Items!$D$2:$D$117,MATCH($A64,Items!$A$2:$A$117,0))</f>
        <v/>
      </c>
      <c r="E64" s="27">
        <f>INDEX(Items!$E$2:$E$117,MATCH($A64,Items!$A$2:$A$117,0))</f>
        <v/>
      </c>
      <c r="F64" s="28">
        <f>SUM(INDEX(Demand!$N$2:$Y$117,MATCH($A64,Demand!$A$2:$A$117,0),0))</f>
        <v/>
      </c>
      <c r="G64" s="28">
        <f>F64/12</f>
        <v/>
      </c>
      <c r="H64" s="28">
        <f>STDEV(INDEX(Demand!$N$2:$Y$117,MATCH($A64,Demand!$A$2:$A$117,0),0))</f>
        <v/>
      </c>
      <c r="I64" s="29">
        <f>IF(G64&gt;0,H64/G64,0)</f>
        <v/>
      </c>
      <c r="J64" s="16">
        <f>F64*E64</f>
        <v/>
      </c>
      <c r="K64" s="11">
        <f>SUMIF($J$5:$J$120,"&gt;="&amp;J64)/SUM($J$5:$J$120)</f>
        <v/>
      </c>
      <c r="L64" s="12">
        <f>IF(K64&lt;=Assumptions!$B$7,"A",IF(K64&lt;=Assumptions!$B$8,"B","C"))</f>
        <v/>
      </c>
      <c r="M64" s="12">
        <f>IF(I64&lt;=Assumptions!$B$9,"X",IF(I64&lt;=Assumptions!$B$10,"Y","Z"))</f>
        <v/>
      </c>
      <c r="N64" s="12">
        <f>L64&amp;M64</f>
        <v/>
      </c>
      <c r="O64" s="11">
        <f>INDEX(Assumptions!$F$4:$F$6,MATCH(L64,Assumptions!$E$4:$E$6,0))</f>
        <v/>
      </c>
      <c r="P64" s="29">
        <f>NORMSINV(O64)</f>
        <v/>
      </c>
      <c r="Q64" s="30">
        <f>IFERROR(AVERAGEIFS(PO_Lines!$R$2:$R$2025,PO_Lines!$B$2:$B$2025,$A64,PO_Lines!$Q$2:$Q$2025,1),INDEX(Items!$F$2:$F$117,MATCH($A64,Items!$A$2:$A$117,0)))</f>
        <v/>
      </c>
      <c r="R64" s="30">
        <f>IFERROR(SQRT(SUMPRODUCT((PO_Lines!$B$2:$B$2025=$A64)*PO_Lines!$Q$2:$Q$2025*(PO_Lines!$R$2:$R$2025-Q64)^2)/(COUNTIFS(PO_Lines!$B$2:$B$2025,$A64,PO_Lines!$Q$2:$Q$2025,1)-1)),0)</f>
        <v/>
      </c>
      <c r="S64" s="28">
        <f>ROUNDUP(P64*SQRT((Q64/Assumptions!$B$11)*H64^2+G64^2*(R64/Assumptions!$B$11)^2),0)</f>
        <v/>
      </c>
      <c r="T64" s="28">
        <f>ROUNDUP(G64*Q64/Assumptions!$B$11+S64,0)</f>
        <v/>
      </c>
      <c r="U64" s="28">
        <f>ROUNDUP(MAX(INDEX(Items!$G$2:$G$117,MATCH($A64,Items!$A$2:$A$117,0)),SQRT(2*F64*Assumptions!$B$5/(Assumptions!$B$6*E64)),G64*Assumptions!$B$16),0)</f>
        <v/>
      </c>
      <c r="V64" s="28">
        <f>INDEX(Stock_Snapshot!$B$2:$B$117,MATCH($A64,Stock_Snapshot!$A$2:$A$117,0))</f>
        <v/>
      </c>
      <c r="W64" s="28">
        <f>INDEX(Stock_Snapshot!$C$2:$C$117,MATCH($A64,Stock_Snapshot!$A$2:$A$117,0))</f>
        <v/>
      </c>
      <c r="X64" s="28">
        <f>V64+W64</f>
        <v/>
      </c>
      <c r="Y64" s="10">
        <f>IF(G64&gt;0,V64/(G64/Assumptions!$B$11),999)</f>
        <v/>
      </c>
      <c r="Z64" s="28">
        <f>S64+U64</f>
        <v/>
      </c>
      <c r="AA64" s="12">
        <f>IF(V64&lt;S64,"Below safety stock",IF(X64&lt;=T64,"Reorder now",IF(V64&gt;Z64,"Excess","Healthy")))</f>
        <v/>
      </c>
      <c r="AB64" s="16">
        <f>V64*E64</f>
        <v/>
      </c>
      <c r="AC64" s="16">
        <f>MAX(0,V64-Z64)*E64</f>
        <v/>
      </c>
      <c r="AD64" s="28">
        <f>IF(X64&lt;=T64,ROUNDUP(T64+U64-X64,0),0)</f>
        <v/>
      </c>
      <c r="AE64" s="16">
        <f>MAX(0,T64-X64)*E64</f>
        <v/>
      </c>
      <c r="AF64" s="31">
        <f>IF(INDEX(Stock_Snapshot!$D$2:$D$117,MATCH($A64,Stock_Snapshot!$A$2:$A$117,0))="","",INDEX(Stock_Snapshot!$D$2:$D$117,MATCH($A64,Stock_Snapshot!$A$2:$A$117,0)))</f>
        <v/>
      </c>
      <c r="AG64" s="12">
        <f>IF(AF64="","",IF(AF64&lt;=EDATE(Assumptions!$B$4,Assumptions!$B$12),"Expires &lt; "&amp;Assumptions!$B$12&amp;" m","OK"))</f>
        <v/>
      </c>
    </row>
    <row r="65">
      <c r="A65" s="12" t="inlineStr">
        <is>
          <t>CMD-0061</t>
        </is>
      </c>
      <c r="B65" s="12">
        <f>INDEX(Items!$B$2:$B$117,MATCH($A65,Items!$A$2:$A$117,0))</f>
        <v/>
      </c>
      <c r="C65" s="12">
        <f>INDEX(Items!$C$2:$C$117,MATCH($A65,Items!$A$2:$A$117,0))</f>
        <v/>
      </c>
      <c r="D65" s="12">
        <f>INDEX(Items!$D$2:$D$117,MATCH($A65,Items!$A$2:$A$117,0))</f>
        <v/>
      </c>
      <c r="E65" s="27">
        <f>INDEX(Items!$E$2:$E$117,MATCH($A65,Items!$A$2:$A$117,0))</f>
        <v/>
      </c>
      <c r="F65" s="28">
        <f>SUM(INDEX(Demand!$N$2:$Y$117,MATCH($A65,Demand!$A$2:$A$117,0),0))</f>
        <v/>
      </c>
      <c r="G65" s="28">
        <f>F65/12</f>
        <v/>
      </c>
      <c r="H65" s="28">
        <f>STDEV(INDEX(Demand!$N$2:$Y$117,MATCH($A65,Demand!$A$2:$A$117,0),0))</f>
        <v/>
      </c>
      <c r="I65" s="29">
        <f>IF(G65&gt;0,H65/G65,0)</f>
        <v/>
      </c>
      <c r="J65" s="16">
        <f>F65*E65</f>
        <v/>
      </c>
      <c r="K65" s="11">
        <f>SUMIF($J$5:$J$120,"&gt;="&amp;J65)/SUM($J$5:$J$120)</f>
        <v/>
      </c>
      <c r="L65" s="12">
        <f>IF(K65&lt;=Assumptions!$B$7,"A",IF(K65&lt;=Assumptions!$B$8,"B","C"))</f>
        <v/>
      </c>
      <c r="M65" s="12">
        <f>IF(I65&lt;=Assumptions!$B$9,"X",IF(I65&lt;=Assumptions!$B$10,"Y","Z"))</f>
        <v/>
      </c>
      <c r="N65" s="12">
        <f>L65&amp;M65</f>
        <v/>
      </c>
      <c r="O65" s="11">
        <f>INDEX(Assumptions!$F$4:$F$6,MATCH(L65,Assumptions!$E$4:$E$6,0))</f>
        <v/>
      </c>
      <c r="P65" s="29">
        <f>NORMSINV(O65)</f>
        <v/>
      </c>
      <c r="Q65" s="30">
        <f>IFERROR(AVERAGEIFS(PO_Lines!$R$2:$R$2025,PO_Lines!$B$2:$B$2025,$A65,PO_Lines!$Q$2:$Q$2025,1),INDEX(Items!$F$2:$F$117,MATCH($A65,Items!$A$2:$A$117,0)))</f>
        <v/>
      </c>
      <c r="R65" s="30">
        <f>IFERROR(SQRT(SUMPRODUCT((PO_Lines!$B$2:$B$2025=$A65)*PO_Lines!$Q$2:$Q$2025*(PO_Lines!$R$2:$R$2025-Q65)^2)/(COUNTIFS(PO_Lines!$B$2:$B$2025,$A65,PO_Lines!$Q$2:$Q$2025,1)-1)),0)</f>
        <v/>
      </c>
      <c r="S65" s="28">
        <f>ROUNDUP(P65*SQRT((Q65/Assumptions!$B$11)*H65^2+G65^2*(R65/Assumptions!$B$11)^2),0)</f>
        <v/>
      </c>
      <c r="T65" s="28">
        <f>ROUNDUP(G65*Q65/Assumptions!$B$11+S65,0)</f>
        <v/>
      </c>
      <c r="U65" s="28">
        <f>ROUNDUP(MAX(INDEX(Items!$G$2:$G$117,MATCH($A65,Items!$A$2:$A$117,0)),SQRT(2*F65*Assumptions!$B$5/(Assumptions!$B$6*E65)),G65*Assumptions!$B$16),0)</f>
        <v/>
      </c>
      <c r="V65" s="28">
        <f>INDEX(Stock_Snapshot!$B$2:$B$117,MATCH($A65,Stock_Snapshot!$A$2:$A$117,0))</f>
        <v/>
      </c>
      <c r="W65" s="28">
        <f>INDEX(Stock_Snapshot!$C$2:$C$117,MATCH($A65,Stock_Snapshot!$A$2:$A$117,0))</f>
        <v/>
      </c>
      <c r="X65" s="28">
        <f>V65+W65</f>
        <v/>
      </c>
      <c r="Y65" s="10">
        <f>IF(G65&gt;0,V65/(G65/Assumptions!$B$11),999)</f>
        <v/>
      </c>
      <c r="Z65" s="28">
        <f>S65+U65</f>
        <v/>
      </c>
      <c r="AA65" s="12">
        <f>IF(V65&lt;S65,"Below safety stock",IF(X65&lt;=T65,"Reorder now",IF(V65&gt;Z65,"Excess","Healthy")))</f>
        <v/>
      </c>
      <c r="AB65" s="16">
        <f>V65*E65</f>
        <v/>
      </c>
      <c r="AC65" s="16">
        <f>MAX(0,V65-Z65)*E65</f>
        <v/>
      </c>
      <c r="AD65" s="28">
        <f>IF(X65&lt;=T65,ROUNDUP(T65+U65-X65,0),0)</f>
        <v/>
      </c>
      <c r="AE65" s="16">
        <f>MAX(0,T65-X65)*E65</f>
        <v/>
      </c>
      <c r="AF65" s="31">
        <f>IF(INDEX(Stock_Snapshot!$D$2:$D$117,MATCH($A65,Stock_Snapshot!$A$2:$A$117,0))="","",INDEX(Stock_Snapshot!$D$2:$D$117,MATCH($A65,Stock_Snapshot!$A$2:$A$117,0)))</f>
        <v/>
      </c>
      <c r="AG65" s="12">
        <f>IF(AF65="","",IF(AF65&lt;=EDATE(Assumptions!$B$4,Assumptions!$B$12),"Expires &lt; "&amp;Assumptions!$B$12&amp;" m","OK"))</f>
        <v/>
      </c>
    </row>
    <row r="66">
      <c r="A66" s="12" t="inlineStr">
        <is>
          <t>CMD-0062</t>
        </is>
      </c>
      <c r="B66" s="12">
        <f>INDEX(Items!$B$2:$B$117,MATCH($A66,Items!$A$2:$A$117,0))</f>
        <v/>
      </c>
      <c r="C66" s="12">
        <f>INDEX(Items!$C$2:$C$117,MATCH($A66,Items!$A$2:$A$117,0))</f>
        <v/>
      </c>
      <c r="D66" s="12">
        <f>INDEX(Items!$D$2:$D$117,MATCH($A66,Items!$A$2:$A$117,0))</f>
        <v/>
      </c>
      <c r="E66" s="27">
        <f>INDEX(Items!$E$2:$E$117,MATCH($A66,Items!$A$2:$A$117,0))</f>
        <v/>
      </c>
      <c r="F66" s="28">
        <f>SUM(INDEX(Demand!$N$2:$Y$117,MATCH($A66,Demand!$A$2:$A$117,0),0))</f>
        <v/>
      </c>
      <c r="G66" s="28">
        <f>F66/12</f>
        <v/>
      </c>
      <c r="H66" s="28">
        <f>STDEV(INDEX(Demand!$N$2:$Y$117,MATCH($A66,Demand!$A$2:$A$117,0),0))</f>
        <v/>
      </c>
      <c r="I66" s="29">
        <f>IF(G66&gt;0,H66/G66,0)</f>
        <v/>
      </c>
      <c r="J66" s="16">
        <f>F66*E66</f>
        <v/>
      </c>
      <c r="K66" s="11">
        <f>SUMIF($J$5:$J$120,"&gt;="&amp;J66)/SUM($J$5:$J$120)</f>
        <v/>
      </c>
      <c r="L66" s="12">
        <f>IF(K66&lt;=Assumptions!$B$7,"A",IF(K66&lt;=Assumptions!$B$8,"B","C"))</f>
        <v/>
      </c>
      <c r="M66" s="12">
        <f>IF(I66&lt;=Assumptions!$B$9,"X",IF(I66&lt;=Assumptions!$B$10,"Y","Z"))</f>
        <v/>
      </c>
      <c r="N66" s="12">
        <f>L66&amp;M66</f>
        <v/>
      </c>
      <c r="O66" s="11">
        <f>INDEX(Assumptions!$F$4:$F$6,MATCH(L66,Assumptions!$E$4:$E$6,0))</f>
        <v/>
      </c>
      <c r="P66" s="29">
        <f>NORMSINV(O66)</f>
        <v/>
      </c>
      <c r="Q66" s="30">
        <f>IFERROR(AVERAGEIFS(PO_Lines!$R$2:$R$2025,PO_Lines!$B$2:$B$2025,$A66,PO_Lines!$Q$2:$Q$2025,1),INDEX(Items!$F$2:$F$117,MATCH($A66,Items!$A$2:$A$117,0)))</f>
        <v/>
      </c>
      <c r="R66" s="30">
        <f>IFERROR(SQRT(SUMPRODUCT((PO_Lines!$B$2:$B$2025=$A66)*PO_Lines!$Q$2:$Q$2025*(PO_Lines!$R$2:$R$2025-Q66)^2)/(COUNTIFS(PO_Lines!$B$2:$B$2025,$A66,PO_Lines!$Q$2:$Q$2025,1)-1)),0)</f>
        <v/>
      </c>
      <c r="S66" s="28">
        <f>ROUNDUP(P66*SQRT((Q66/Assumptions!$B$11)*H66^2+G66^2*(R66/Assumptions!$B$11)^2),0)</f>
        <v/>
      </c>
      <c r="T66" s="28">
        <f>ROUNDUP(G66*Q66/Assumptions!$B$11+S66,0)</f>
        <v/>
      </c>
      <c r="U66" s="28">
        <f>ROUNDUP(MAX(INDEX(Items!$G$2:$G$117,MATCH($A66,Items!$A$2:$A$117,0)),SQRT(2*F66*Assumptions!$B$5/(Assumptions!$B$6*E66)),G66*Assumptions!$B$16),0)</f>
        <v/>
      </c>
      <c r="V66" s="28">
        <f>INDEX(Stock_Snapshot!$B$2:$B$117,MATCH($A66,Stock_Snapshot!$A$2:$A$117,0))</f>
        <v/>
      </c>
      <c r="W66" s="28">
        <f>INDEX(Stock_Snapshot!$C$2:$C$117,MATCH($A66,Stock_Snapshot!$A$2:$A$117,0))</f>
        <v/>
      </c>
      <c r="X66" s="28">
        <f>V66+W66</f>
        <v/>
      </c>
      <c r="Y66" s="10">
        <f>IF(G66&gt;0,V66/(G66/Assumptions!$B$11),999)</f>
        <v/>
      </c>
      <c r="Z66" s="28">
        <f>S66+U66</f>
        <v/>
      </c>
      <c r="AA66" s="12">
        <f>IF(V66&lt;S66,"Below safety stock",IF(X66&lt;=T66,"Reorder now",IF(V66&gt;Z66,"Excess","Healthy")))</f>
        <v/>
      </c>
      <c r="AB66" s="16">
        <f>V66*E66</f>
        <v/>
      </c>
      <c r="AC66" s="16">
        <f>MAX(0,V66-Z66)*E66</f>
        <v/>
      </c>
      <c r="AD66" s="28">
        <f>IF(X66&lt;=T66,ROUNDUP(T66+U66-X66,0),0)</f>
        <v/>
      </c>
      <c r="AE66" s="16">
        <f>MAX(0,T66-X66)*E66</f>
        <v/>
      </c>
      <c r="AF66" s="31">
        <f>IF(INDEX(Stock_Snapshot!$D$2:$D$117,MATCH($A66,Stock_Snapshot!$A$2:$A$117,0))="","",INDEX(Stock_Snapshot!$D$2:$D$117,MATCH($A66,Stock_Snapshot!$A$2:$A$117,0)))</f>
        <v/>
      </c>
      <c r="AG66" s="12">
        <f>IF(AF66="","",IF(AF66&lt;=EDATE(Assumptions!$B$4,Assumptions!$B$12),"Expires &lt; "&amp;Assumptions!$B$12&amp;" m","OK"))</f>
        <v/>
      </c>
    </row>
    <row r="67">
      <c r="A67" s="12" t="inlineStr">
        <is>
          <t>CMD-0063</t>
        </is>
      </c>
      <c r="B67" s="12">
        <f>INDEX(Items!$B$2:$B$117,MATCH($A67,Items!$A$2:$A$117,0))</f>
        <v/>
      </c>
      <c r="C67" s="12">
        <f>INDEX(Items!$C$2:$C$117,MATCH($A67,Items!$A$2:$A$117,0))</f>
        <v/>
      </c>
      <c r="D67" s="12">
        <f>INDEX(Items!$D$2:$D$117,MATCH($A67,Items!$A$2:$A$117,0))</f>
        <v/>
      </c>
      <c r="E67" s="27">
        <f>INDEX(Items!$E$2:$E$117,MATCH($A67,Items!$A$2:$A$117,0))</f>
        <v/>
      </c>
      <c r="F67" s="28">
        <f>SUM(INDEX(Demand!$N$2:$Y$117,MATCH($A67,Demand!$A$2:$A$117,0),0))</f>
        <v/>
      </c>
      <c r="G67" s="28">
        <f>F67/12</f>
        <v/>
      </c>
      <c r="H67" s="28">
        <f>STDEV(INDEX(Demand!$N$2:$Y$117,MATCH($A67,Demand!$A$2:$A$117,0),0))</f>
        <v/>
      </c>
      <c r="I67" s="29">
        <f>IF(G67&gt;0,H67/G67,0)</f>
        <v/>
      </c>
      <c r="J67" s="16">
        <f>F67*E67</f>
        <v/>
      </c>
      <c r="K67" s="11">
        <f>SUMIF($J$5:$J$120,"&gt;="&amp;J67)/SUM($J$5:$J$120)</f>
        <v/>
      </c>
      <c r="L67" s="12">
        <f>IF(K67&lt;=Assumptions!$B$7,"A",IF(K67&lt;=Assumptions!$B$8,"B","C"))</f>
        <v/>
      </c>
      <c r="M67" s="12">
        <f>IF(I67&lt;=Assumptions!$B$9,"X",IF(I67&lt;=Assumptions!$B$10,"Y","Z"))</f>
        <v/>
      </c>
      <c r="N67" s="12">
        <f>L67&amp;M67</f>
        <v/>
      </c>
      <c r="O67" s="11">
        <f>INDEX(Assumptions!$F$4:$F$6,MATCH(L67,Assumptions!$E$4:$E$6,0))</f>
        <v/>
      </c>
      <c r="P67" s="29">
        <f>NORMSINV(O67)</f>
        <v/>
      </c>
      <c r="Q67" s="30">
        <f>IFERROR(AVERAGEIFS(PO_Lines!$R$2:$R$2025,PO_Lines!$B$2:$B$2025,$A67,PO_Lines!$Q$2:$Q$2025,1),INDEX(Items!$F$2:$F$117,MATCH($A67,Items!$A$2:$A$117,0)))</f>
        <v/>
      </c>
      <c r="R67" s="30">
        <f>IFERROR(SQRT(SUMPRODUCT((PO_Lines!$B$2:$B$2025=$A67)*PO_Lines!$Q$2:$Q$2025*(PO_Lines!$R$2:$R$2025-Q67)^2)/(COUNTIFS(PO_Lines!$B$2:$B$2025,$A67,PO_Lines!$Q$2:$Q$2025,1)-1)),0)</f>
        <v/>
      </c>
      <c r="S67" s="28">
        <f>ROUNDUP(P67*SQRT((Q67/Assumptions!$B$11)*H67^2+G67^2*(R67/Assumptions!$B$11)^2),0)</f>
        <v/>
      </c>
      <c r="T67" s="28">
        <f>ROUNDUP(G67*Q67/Assumptions!$B$11+S67,0)</f>
        <v/>
      </c>
      <c r="U67" s="28">
        <f>ROUNDUP(MAX(INDEX(Items!$G$2:$G$117,MATCH($A67,Items!$A$2:$A$117,0)),SQRT(2*F67*Assumptions!$B$5/(Assumptions!$B$6*E67)),G67*Assumptions!$B$16),0)</f>
        <v/>
      </c>
      <c r="V67" s="28">
        <f>INDEX(Stock_Snapshot!$B$2:$B$117,MATCH($A67,Stock_Snapshot!$A$2:$A$117,0))</f>
        <v/>
      </c>
      <c r="W67" s="28">
        <f>INDEX(Stock_Snapshot!$C$2:$C$117,MATCH($A67,Stock_Snapshot!$A$2:$A$117,0))</f>
        <v/>
      </c>
      <c r="X67" s="28">
        <f>V67+W67</f>
        <v/>
      </c>
      <c r="Y67" s="10">
        <f>IF(G67&gt;0,V67/(G67/Assumptions!$B$11),999)</f>
        <v/>
      </c>
      <c r="Z67" s="28">
        <f>S67+U67</f>
        <v/>
      </c>
      <c r="AA67" s="12">
        <f>IF(V67&lt;S67,"Below safety stock",IF(X67&lt;=T67,"Reorder now",IF(V67&gt;Z67,"Excess","Healthy")))</f>
        <v/>
      </c>
      <c r="AB67" s="16">
        <f>V67*E67</f>
        <v/>
      </c>
      <c r="AC67" s="16">
        <f>MAX(0,V67-Z67)*E67</f>
        <v/>
      </c>
      <c r="AD67" s="28">
        <f>IF(X67&lt;=T67,ROUNDUP(T67+U67-X67,0),0)</f>
        <v/>
      </c>
      <c r="AE67" s="16">
        <f>MAX(0,T67-X67)*E67</f>
        <v/>
      </c>
      <c r="AF67" s="31">
        <f>IF(INDEX(Stock_Snapshot!$D$2:$D$117,MATCH($A67,Stock_Snapshot!$A$2:$A$117,0))="","",INDEX(Stock_Snapshot!$D$2:$D$117,MATCH($A67,Stock_Snapshot!$A$2:$A$117,0)))</f>
        <v/>
      </c>
      <c r="AG67" s="12">
        <f>IF(AF67="","",IF(AF67&lt;=EDATE(Assumptions!$B$4,Assumptions!$B$12),"Expires &lt; "&amp;Assumptions!$B$12&amp;" m","OK"))</f>
        <v/>
      </c>
    </row>
    <row r="68">
      <c r="A68" s="12" t="inlineStr">
        <is>
          <t>CMD-0064</t>
        </is>
      </c>
      <c r="B68" s="12">
        <f>INDEX(Items!$B$2:$B$117,MATCH($A68,Items!$A$2:$A$117,0))</f>
        <v/>
      </c>
      <c r="C68" s="12">
        <f>INDEX(Items!$C$2:$C$117,MATCH($A68,Items!$A$2:$A$117,0))</f>
        <v/>
      </c>
      <c r="D68" s="12">
        <f>INDEX(Items!$D$2:$D$117,MATCH($A68,Items!$A$2:$A$117,0))</f>
        <v/>
      </c>
      <c r="E68" s="27">
        <f>INDEX(Items!$E$2:$E$117,MATCH($A68,Items!$A$2:$A$117,0))</f>
        <v/>
      </c>
      <c r="F68" s="28">
        <f>SUM(INDEX(Demand!$N$2:$Y$117,MATCH($A68,Demand!$A$2:$A$117,0),0))</f>
        <v/>
      </c>
      <c r="G68" s="28">
        <f>F68/12</f>
        <v/>
      </c>
      <c r="H68" s="28">
        <f>STDEV(INDEX(Demand!$N$2:$Y$117,MATCH($A68,Demand!$A$2:$A$117,0),0))</f>
        <v/>
      </c>
      <c r="I68" s="29">
        <f>IF(G68&gt;0,H68/G68,0)</f>
        <v/>
      </c>
      <c r="J68" s="16">
        <f>F68*E68</f>
        <v/>
      </c>
      <c r="K68" s="11">
        <f>SUMIF($J$5:$J$120,"&gt;="&amp;J68)/SUM($J$5:$J$120)</f>
        <v/>
      </c>
      <c r="L68" s="12">
        <f>IF(K68&lt;=Assumptions!$B$7,"A",IF(K68&lt;=Assumptions!$B$8,"B","C"))</f>
        <v/>
      </c>
      <c r="M68" s="12">
        <f>IF(I68&lt;=Assumptions!$B$9,"X",IF(I68&lt;=Assumptions!$B$10,"Y","Z"))</f>
        <v/>
      </c>
      <c r="N68" s="12">
        <f>L68&amp;M68</f>
        <v/>
      </c>
      <c r="O68" s="11">
        <f>INDEX(Assumptions!$F$4:$F$6,MATCH(L68,Assumptions!$E$4:$E$6,0))</f>
        <v/>
      </c>
      <c r="P68" s="29">
        <f>NORMSINV(O68)</f>
        <v/>
      </c>
      <c r="Q68" s="30">
        <f>IFERROR(AVERAGEIFS(PO_Lines!$R$2:$R$2025,PO_Lines!$B$2:$B$2025,$A68,PO_Lines!$Q$2:$Q$2025,1),INDEX(Items!$F$2:$F$117,MATCH($A68,Items!$A$2:$A$117,0)))</f>
        <v/>
      </c>
      <c r="R68" s="30">
        <f>IFERROR(SQRT(SUMPRODUCT((PO_Lines!$B$2:$B$2025=$A68)*PO_Lines!$Q$2:$Q$2025*(PO_Lines!$R$2:$R$2025-Q68)^2)/(COUNTIFS(PO_Lines!$B$2:$B$2025,$A68,PO_Lines!$Q$2:$Q$2025,1)-1)),0)</f>
        <v/>
      </c>
      <c r="S68" s="28">
        <f>ROUNDUP(P68*SQRT((Q68/Assumptions!$B$11)*H68^2+G68^2*(R68/Assumptions!$B$11)^2),0)</f>
        <v/>
      </c>
      <c r="T68" s="28">
        <f>ROUNDUP(G68*Q68/Assumptions!$B$11+S68,0)</f>
        <v/>
      </c>
      <c r="U68" s="28">
        <f>ROUNDUP(MAX(INDEX(Items!$G$2:$G$117,MATCH($A68,Items!$A$2:$A$117,0)),SQRT(2*F68*Assumptions!$B$5/(Assumptions!$B$6*E68)),G68*Assumptions!$B$16),0)</f>
        <v/>
      </c>
      <c r="V68" s="28">
        <f>INDEX(Stock_Snapshot!$B$2:$B$117,MATCH($A68,Stock_Snapshot!$A$2:$A$117,0))</f>
        <v/>
      </c>
      <c r="W68" s="28">
        <f>INDEX(Stock_Snapshot!$C$2:$C$117,MATCH($A68,Stock_Snapshot!$A$2:$A$117,0))</f>
        <v/>
      </c>
      <c r="X68" s="28">
        <f>V68+W68</f>
        <v/>
      </c>
      <c r="Y68" s="10">
        <f>IF(G68&gt;0,V68/(G68/Assumptions!$B$11),999)</f>
        <v/>
      </c>
      <c r="Z68" s="28">
        <f>S68+U68</f>
        <v/>
      </c>
      <c r="AA68" s="12">
        <f>IF(V68&lt;S68,"Below safety stock",IF(X68&lt;=T68,"Reorder now",IF(V68&gt;Z68,"Excess","Healthy")))</f>
        <v/>
      </c>
      <c r="AB68" s="16">
        <f>V68*E68</f>
        <v/>
      </c>
      <c r="AC68" s="16">
        <f>MAX(0,V68-Z68)*E68</f>
        <v/>
      </c>
      <c r="AD68" s="28">
        <f>IF(X68&lt;=T68,ROUNDUP(T68+U68-X68,0),0)</f>
        <v/>
      </c>
      <c r="AE68" s="16">
        <f>MAX(0,T68-X68)*E68</f>
        <v/>
      </c>
      <c r="AF68" s="31">
        <f>IF(INDEX(Stock_Snapshot!$D$2:$D$117,MATCH($A68,Stock_Snapshot!$A$2:$A$117,0))="","",INDEX(Stock_Snapshot!$D$2:$D$117,MATCH($A68,Stock_Snapshot!$A$2:$A$117,0)))</f>
        <v/>
      </c>
      <c r="AG68" s="12">
        <f>IF(AF68="","",IF(AF68&lt;=EDATE(Assumptions!$B$4,Assumptions!$B$12),"Expires &lt; "&amp;Assumptions!$B$12&amp;" m","OK"))</f>
        <v/>
      </c>
    </row>
    <row r="69">
      <c r="A69" s="12" t="inlineStr">
        <is>
          <t>CMD-0065</t>
        </is>
      </c>
      <c r="B69" s="12">
        <f>INDEX(Items!$B$2:$B$117,MATCH($A69,Items!$A$2:$A$117,0))</f>
        <v/>
      </c>
      <c r="C69" s="12">
        <f>INDEX(Items!$C$2:$C$117,MATCH($A69,Items!$A$2:$A$117,0))</f>
        <v/>
      </c>
      <c r="D69" s="12">
        <f>INDEX(Items!$D$2:$D$117,MATCH($A69,Items!$A$2:$A$117,0))</f>
        <v/>
      </c>
      <c r="E69" s="27">
        <f>INDEX(Items!$E$2:$E$117,MATCH($A69,Items!$A$2:$A$117,0))</f>
        <v/>
      </c>
      <c r="F69" s="28">
        <f>SUM(INDEX(Demand!$N$2:$Y$117,MATCH($A69,Demand!$A$2:$A$117,0),0))</f>
        <v/>
      </c>
      <c r="G69" s="28">
        <f>F69/12</f>
        <v/>
      </c>
      <c r="H69" s="28">
        <f>STDEV(INDEX(Demand!$N$2:$Y$117,MATCH($A69,Demand!$A$2:$A$117,0),0))</f>
        <v/>
      </c>
      <c r="I69" s="29">
        <f>IF(G69&gt;0,H69/G69,0)</f>
        <v/>
      </c>
      <c r="J69" s="16">
        <f>F69*E69</f>
        <v/>
      </c>
      <c r="K69" s="11">
        <f>SUMIF($J$5:$J$120,"&gt;="&amp;J69)/SUM($J$5:$J$120)</f>
        <v/>
      </c>
      <c r="L69" s="12">
        <f>IF(K69&lt;=Assumptions!$B$7,"A",IF(K69&lt;=Assumptions!$B$8,"B","C"))</f>
        <v/>
      </c>
      <c r="M69" s="12">
        <f>IF(I69&lt;=Assumptions!$B$9,"X",IF(I69&lt;=Assumptions!$B$10,"Y","Z"))</f>
        <v/>
      </c>
      <c r="N69" s="12">
        <f>L69&amp;M69</f>
        <v/>
      </c>
      <c r="O69" s="11">
        <f>INDEX(Assumptions!$F$4:$F$6,MATCH(L69,Assumptions!$E$4:$E$6,0))</f>
        <v/>
      </c>
      <c r="P69" s="29">
        <f>NORMSINV(O69)</f>
        <v/>
      </c>
      <c r="Q69" s="30">
        <f>IFERROR(AVERAGEIFS(PO_Lines!$R$2:$R$2025,PO_Lines!$B$2:$B$2025,$A69,PO_Lines!$Q$2:$Q$2025,1),INDEX(Items!$F$2:$F$117,MATCH($A69,Items!$A$2:$A$117,0)))</f>
        <v/>
      </c>
      <c r="R69" s="30">
        <f>IFERROR(SQRT(SUMPRODUCT((PO_Lines!$B$2:$B$2025=$A69)*PO_Lines!$Q$2:$Q$2025*(PO_Lines!$R$2:$R$2025-Q69)^2)/(COUNTIFS(PO_Lines!$B$2:$B$2025,$A69,PO_Lines!$Q$2:$Q$2025,1)-1)),0)</f>
        <v/>
      </c>
      <c r="S69" s="28">
        <f>ROUNDUP(P69*SQRT((Q69/Assumptions!$B$11)*H69^2+G69^2*(R69/Assumptions!$B$11)^2),0)</f>
        <v/>
      </c>
      <c r="T69" s="28">
        <f>ROUNDUP(G69*Q69/Assumptions!$B$11+S69,0)</f>
        <v/>
      </c>
      <c r="U69" s="28">
        <f>ROUNDUP(MAX(INDEX(Items!$G$2:$G$117,MATCH($A69,Items!$A$2:$A$117,0)),SQRT(2*F69*Assumptions!$B$5/(Assumptions!$B$6*E69)),G69*Assumptions!$B$16),0)</f>
        <v/>
      </c>
      <c r="V69" s="28">
        <f>INDEX(Stock_Snapshot!$B$2:$B$117,MATCH($A69,Stock_Snapshot!$A$2:$A$117,0))</f>
        <v/>
      </c>
      <c r="W69" s="28">
        <f>INDEX(Stock_Snapshot!$C$2:$C$117,MATCH($A69,Stock_Snapshot!$A$2:$A$117,0))</f>
        <v/>
      </c>
      <c r="X69" s="28">
        <f>V69+W69</f>
        <v/>
      </c>
      <c r="Y69" s="10">
        <f>IF(G69&gt;0,V69/(G69/Assumptions!$B$11),999)</f>
        <v/>
      </c>
      <c r="Z69" s="28">
        <f>S69+U69</f>
        <v/>
      </c>
      <c r="AA69" s="12">
        <f>IF(V69&lt;S69,"Below safety stock",IF(X69&lt;=T69,"Reorder now",IF(V69&gt;Z69,"Excess","Healthy")))</f>
        <v/>
      </c>
      <c r="AB69" s="16">
        <f>V69*E69</f>
        <v/>
      </c>
      <c r="AC69" s="16">
        <f>MAX(0,V69-Z69)*E69</f>
        <v/>
      </c>
      <c r="AD69" s="28">
        <f>IF(X69&lt;=T69,ROUNDUP(T69+U69-X69,0),0)</f>
        <v/>
      </c>
      <c r="AE69" s="16">
        <f>MAX(0,T69-X69)*E69</f>
        <v/>
      </c>
      <c r="AF69" s="31">
        <f>IF(INDEX(Stock_Snapshot!$D$2:$D$117,MATCH($A69,Stock_Snapshot!$A$2:$A$117,0))="","",INDEX(Stock_Snapshot!$D$2:$D$117,MATCH($A69,Stock_Snapshot!$A$2:$A$117,0)))</f>
        <v/>
      </c>
      <c r="AG69" s="12">
        <f>IF(AF69="","",IF(AF69&lt;=EDATE(Assumptions!$B$4,Assumptions!$B$12),"Expires &lt; "&amp;Assumptions!$B$12&amp;" m","OK"))</f>
        <v/>
      </c>
    </row>
    <row r="70">
      <c r="A70" s="12" t="inlineStr">
        <is>
          <t>CMD-0066</t>
        </is>
      </c>
      <c r="B70" s="12">
        <f>INDEX(Items!$B$2:$B$117,MATCH($A70,Items!$A$2:$A$117,0))</f>
        <v/>
      </c>
      <c r="C70" s="12">
        <f>INDEX(Items!$C$2:$C$117,MATCH($A70,Items!$A$2:$A$117,0))</f>
        <v/>
      </c>
      <c r="D70" s="12">
        <f>INDEX(Items!$D$2:$D$117,MATCH($A70,Items!$A$2:$A$117,0))</f>
        <v/>
      </c>
      <c r="E70" s="27">
        <f>INDEX(Items!$E$2:$E$117,MATCH($A70,Items!$A$2:$A$117,0))</f>
        <v/>
      </c>
      <c r="F70" s="28">
        <f>SUM(INDEX(Demand!$N$2:$Y$117,MATCH($A70,Demand!$A$2:$A$117,0),0))</f>
        <v/>
      </c>
      <c r="G70" s="28">
        <f>F70/12</f>
        <v/>
      </c>
      <c r="H70" s="28">
        <f>STDEV(INDEX(Demand!$N$2:$Y$117,MATCH($A70,Demand!$A$2:$A$117,0),0))</f>
        <v/>
      </c>
      <c r="I70" s="29">
        <f>IF(G70&gt;0,H70/G70,0)</f>
        <v/>
      </c>
      <c r="J70" s="16">
        <f>F70*E70</f>
        <v/>
      </c>
      <c r="K70" s="11">
        <f>SUMIF($J$5:$J$120,"&gt;="&amp;J70)/SUM($J$5:$J$120)</f>
        <v/>
      </c>
      <c r="L70" s="12">
        <f>IF(K70&lt;=Assumptions!$B$7,"A",IF(K70&lt;=Assumptions!$B$8,"B","C"))</f>
        <v/>
      </c>
      <c r="M70" s="12">
        <f>IF(I70&lt;=Assumptions!$B$9,"X",IF(I70&lt;=Assumptions!$B$10,"Y","Z"))</f>
        <v/>
      </c>
      <c r="N70" s="12">
        <f>L70&amp;M70</f>
        <v/>
      </c>
      <c r="O70" s="11">
        <f>INDEX(Assumptions!$F$4:$F$6,MATCH(L70,Assumptions!$E$4:$E$6,0))</f>
        <v/>
      </c>
      <c r="P70" s="29">
        <f>NORMSINV(O70)</f>
        <v/>
      </c>
      <c r="Q70" s="30">
        <f>IFERROR(AVERAGEIFS(PO_Lines!$R$2:$R$2025,PO_Lines!$B$2:$B$2025,$A70,PO_Lines!$Q$2:$Q$2025,1),INDEX(Items!$F$2:$F$117,MATCH($A70,Items!$A$2:$A$117,0)))</f>
        <v/>
      </c>
      <c r="R70" s="30">
        <f>IFERROR(SQRT(SUMPRODUCT((PO_Lines!$B$2:$B$2025=$A70)*PO_Lines!$Q$2:$Q$2025*(PO_Lines!$R$2:$R$2025-Q70)^2)/(COUNTIFS(PO_Lines!$B$2:$B$2025,$A70,PO_Lines!$Q$2:$Q$2025,1)-1)),0)</f>
        <v/>
      </c>
      <c r="S70" s="28">
        <f>ROUNDUP(P70*SQRT((Q70/Assumptions!$B$11)*H70^2+G70^2*(R70/Assumptions!$B$11)^2),0)</f>
        <v/>
      </c>
      <c r="T70" s="28">
        <f>ROUNDUP(G70*Q70/Assumptions!$B$11+S70,0)</f>
        <v/>
      </c>
      <c r="U70" s="28">
        <f>ROUNDUP(MAX(INDEX(Items!$G$2:$G$117,MATCH($A70,Items!$A$2:$A$117,0)),SQRT(2*F70*Assumptions!$B$5/(Assumptions!$B$6*E70)),G70*Assumptions!$B$16),0)</f>
        <v/>
      </c>
      <c r="V70" s="28">
        <f>INDEX(Stock_Snapshot!$B$2:$B$117,MATCH($A70,Stock_Snapshot!$A$2:$A$117,0))</f>
        <v/>
      </c>
      <c r="W70" s="28">
        <f>INDEX(Stock_Snapshot!$C$2:$C$117,MATCH($A70,Stock_Snapshot!$A$2:$A$117,0))</f>
        <v/>
      </c>
      <c r="X70" s="28">
        <f>V70+W70</f>
        <v/>
      </c>
      <c r="Y70" s="10">
        <f>IF(G70&gt;0,V70/(G70/Assumptions!$B$11),999)</f>
        <v/>
      </c>
      <c r="Z70" s="28">
        <f>S70+U70</f>
        <v/>
      </c>
      <c r="AA70" s="12">
        <f>IF(V70&lt;S70,"Below safety stock",IF(X70&lt;=T70,"Reorder now",IF(V70&gt;Z70,"Excess","Healthy")))</f>
        <v/>
      </c>
      <c r="AB70" s="16">
        <f>V70*E70</f>
        <v/>
      </c>
      <c r="AC70" s="16">
        <f>MAX(0,V70-Z70)*E70</f>
        <v/>
      </c>
      <c r="AD70" s="28">
        <f>IF(X70&lt;=T70,ROUNDUP(T70+U70-X70,0),0)</f>
        <v/>
      </c>
      <c r="AE70" s="16">
        <f>MAX(0,T70-X70)*E70</f>
        <v/>
      </c>
      <c r="AF70" s="31">
        <f>IF(INDEX(Stock_Snapshot!$D$2:$D$117,MATCH($A70,Stock_Snapshot!$A$2:$A$117,0))="","",INDEX(Stock_Snapshot!$D$2:$D$117,MATCH($A70,Stock_Snapshot!$A$2:$A$117,0)))</f>
        <v/>
      </c>
      <c r="AG70" s="12">
        <f>IF(AF70="","",IF(AF70&lt;=EDATE(Assumptions!$B$4,Assumptions!$B$12),"Expires &lt; "&amp;Assumptions!$B$12&amp;" m","OK"))</f>
        <v/>
      </c>
    </row>
    <row r="71">
      <c r="A71" s="12" t="inlineStr">
        <is>
          <t>CMD-0067</t>
        </is>
      </c>
      <c r="B71" s="12">
        <f>INDEX(Items!$B$2:$B$117,MATCH($A71,Items!$A$2:$A$117,0))</f>
        <v/>
      </c>
      <c r="C71" s="12">
        <f>INDEX(Items!$C$2:$C$117,MATCH($A71,Items!$A$2:$A$117,0))</f>
        <v/>
      </c>
      <c r="D71" s="12">
        <f>INDEX(Items!$D$2:$D$117,MATCH($A71,Items!$A$2:$A$117,0))</f>
        <v/>
      </c>
      <c r="E71" s="27">
        <f>INDEX(Items!$E$2:$E$117,MATCH($A71,Items!$A$2:$A$117,0))</f>
        <v/>
      </c>
      <c r="F71" s="28">
        <f>SUM(INDEX(Demand!$N$2:$Y$117,MATCH($A71,Demand!$A$2:$A$117,0),0))</f>
        <v/>
      </c>
      <c r="G71" s="28">
        <f>F71/12</f>
        <v/>
      </c>
      <c r="H71" s="28">
        <f>STDEV(INDEX(Demand!$N$2:$Y$117,MATCH($A71,Demand!$A$2:$A$117,0),0))</f>
        <v/>
      </c>
      <c r="I71" s="29">
        <f>IF(G71&gt;0,H71/G71,0)</f>
        <v/>
      </c>
      <c r="J71" s="16">
        <f>F71*E71</f>
        <v/>
      </c>
      <c r="K71" s="11">
        <f>SUMIF($J$5:$J$120,"&gt;="&amp;J71)/SUM($J$5:$J$120)</f>
        <v/>
      </c>
      <c r="L71" s="12">
        <f>IF(K71&lt;=Assumptions!$B$7,"A",IF(K71&lt;=Assumptions!$B$8,"B","C"))</f>
        <v/>
      </c>
      <c r="M71" s="12">
        <f>IF(I71&lt;=Assumptions!$B$9,"X",IF(I71&lt;=Assumptions!$B$10,"Y","Z"))</f>
        <v/>
      </c>
      <c r="N71" s="12">
        <f>L71&amp;M71</f>
        <v/>
      </c>
      <c r="O71" s="11">
        <f>INDEX(Assumptions!$F$4:$F$6,MATCH(L71,Assumptions!$E$4:$E$6,0))</f>
        <v/>
      </c>
      <c r="P71" s="29">
        <f>NORMSINV(O71)</f>
        <v/>
      </c>
      <c r="Q71" s="30">
        <f>IFERROR(AVERAGEIFS(PO_Lines!$R$2:$R$2025,PO_Lines!$B$2:$B$2025,$A71,PO_Lines!$Q$2:$Q$2025,1),INDEX(Items!$F$2:$F$117,MATCH($A71,Items!$A$2:$A$117,0)))</f>
        <v/>
      </c>
      <c r="R71" s="30">
        <f>IFERROR(SQRT(SUMPRODUCT((PO_Lines!$B$2:$B$2025=$A71)*PO_Lines!$Q$2:$Q$2025*(PO_Lines!$R$2:$R$2025-Q71)^2)/(COUNTIFS(PO_Lines!$B$2:$B$2025,$A71,PO_Lines!$Q$2:$Q$2025,1)-1)),0)</f>
        <v/>
      </c>
      <c r="S71" s="28">
        <f>ROUNDUP(P71*SQRT((Q71/Assumptions!$B$11)*H71^2+G71^2*(R71/Assumptions!$B$11)^2),0)</f>
        <v/>
      </c>
      <c r="T71" s="28">
        <f>ROUNDUP(G71*Q71/Assumptions!$B$11+S71,0)</f>
        <v/>
      </c>
      <c r="U71" s="28">
        <f>ROUNDUP(MAX(INDEX(Items!$G$2:$G$117,MATCH($A71,Items!$A$2:$A$117,0)),SQRT(2*F71*Assumptions!$B$5/(Assumptions!$B$6*E71)),G71*Assumptions!$B$16),0)</f>
        <v/>
      </c>
      <c r="V71" s="28">
        <f>INDEX(Stock_Snapshot!$B$2:$B$117,MATCH($A71,Stock_Snapshot!$A$2:$A$117,0))</f>
        <v/>
      </c>
      <c r="W71" s="28">
        <f>INDEX(Stock_Snapshot!$C$2:$C$117,MATCH($A71,Stock_Snapshot!$A$2:$A$117,0))</f>
        <v/>
      </c>
      <c r="X71" s="28">
        <f>V71+W71</f>
        <v/>
      </c>
      <c r="Y71" s="10">
        <f>IF(G71&gt;0,V71/(G71/Assumptions!$B$11),999)</f>
        <v/>
      </c>
      <c r="Z71" s="28">
        <f>S71+U71</f>
        <v/>
      </c>
      <c r="AA71" s="12">
        <f>IF(V71&lt;S71,"Below safety stock",IF(X71&lt;=T71,"Reorder now",IF(V71&gt;Z71,"Excess","Healthy")))</f>
        <v/>
      </c>
      <c r="AB71" s="16">
        <f>V71*E71</f>
        <v/>
      </c>
      <c r="AC71" s="16">
        <f>MAX(0,V71-Z71)*E71</f>
        <v/>
      </c>
      <c r="AD71" s="28">
        <f>IF(X71&lt;=T71,ROUNDUP(T71+U71-X71,0),0)</f>
        <v/>
      </c>
      <c r="AE71" s="16">
        <f>MAX(0,T71-X71)*E71</f>
        <v/>
      </c>
      <c r="AF71" s="31">
        <f>IF(INDEX(Stock_Snapshot!$D$2:$D$117,MATCH($A71,Stock_Snapshot!$A$2:$A$117,0))="","",INDEX(Stock_Snapshot!$D$2:$D$117,MATCH($A71,Stock_Snapshot!$A$2:$A$117,0)))</f>
        <v/>
      </c>
      <c r="AG71" s="12">
        <f>IF(AF71="","",IF(AF71&lt;=EDATE(Assumptions!$B$4,Assumptions!$B$12),"Expires &lt; "&amp;Assumptions!$B$12&amp;" m","OK"))</f>
        <v/>
      </c>
    </row>
    <row r="72">
      <c r="A72" s="12" t="inlineStr">
        <is>
          <t>CMD-0068</t>
        </is>
      </c>
      <c r="B72" s="12">
        <f>INDEX(Items!$B$2:$B$117,MATCH($A72,Items!$A$2:$A$117,0))</f>
        <v/>
      </c>
      <c r="C72" s="12">
        <f>INDEX(Items!$C$2:$C$117,MATCH($A72,Items!$A$2:$A$117,0))</f>
        <v/>
      </c>
      <c r="D72" s="12">
        <f>INDEX(Items!$D$2:$D$117,MATCH($A72,Items!$A$2:$A$117,0))</f>
        <v/>
      </c>
      <c r="E72" s="27">
        <f>INDEX(Items!$E$2:$E$117,MATCH($A72,Items!$A$2:$A$117,0))</f>
        <v/>
      </c>
      <c r="F72" s="28">
        <f>SUM(INDEX(Demand!$N$2:$Y$117,MATCH($A72,Demand!$A$2:$A$117,0),0))</f>
        <v/>
      </c>
      <c r="G72" s="28">
        <f>F72/12</f>
        <v/>
      </c>
      <c r="H72" s="28">
        <f>STDEV(INDEX(Demand!$N$2:$Y$117,MATCH($A72,Demand!$A$2:$A$117,0),0))</f>
        <v/>
      </c>
      <c r="I72" s="29">
        <f>IF(G72&gt;0,H72/G72,0)</f>
        <v/>
      </c>
      <c r="J72" s="16">
        <f>F72*E72</f>
        <v/>
      </c>
      <c r="K72" s="11">
        <f>SUMIF($J$5:$J$120,"&gt;="&amp;J72)/SUM($J$5:$J$120)</f>
        <v/>
      </c>
      <c r="L72" s="12">
        <f>IF(K72&lt;=Assumptions!$B$7,"A",IF(K72&lt;=Assumptions!$B$8,"B","C"))</f>
        <v/>
      </c>
      <c r="M72" s="12">
        <f>IF(I72&lt;=Assumptions!$B$9,"X",IF(I72&lt;=Assumptions!$B$10,"Y","Z"))</f>
        <v/>
      </c>
      <c r="N72" s="12">
        <f>L72&amp;M72</f>
        <v/>
      </c>
      <c r="O72" s="11">
        <f>INDEX(Assumptions!$F$4:$F$6,MATCH(L72,Assumptions!$E$4:$E$6,0))</f>
        <v/>
      </c>
      <c r="P72" s="29">
        <f>NORMSINV(O72)</f>
        <v/>
      </c>
      <c r="Q72" s="30">
        <f>IFERROR(AVERAGEIFS(PO_Lines!$R$2:$R$2025,PO_Lines!$B$2:$B$2025,$A72,PO_Lines!$Q$2:$Q$2025,1),INDEX(Items!$F$2:$F$117,MATCH($A72,Items!$A$2:$A$117,0)))</f>
        <v/>
      </c>
      <c r="R72" s="30">
        <f>IFERROR(SQRT(SUMPRODUCT((PO_Lines!$B$2:$B$2025=$A72)*PO_Lines!$Q$2:$Q$2025*(PO_Lines!$R$2:$R$2025-Q72)^2)/(COUNTIFS(PO_Lines!$B$2:$B$2025,$A72,PO_Lines!$Q$2:$Q$2025,1)-1)),0)</f>
        <v/>
      </c>
      <c r="S72" s="28">
        <f>ROUNDUP(P72*SQRT((Q72/Assumptions!$B$11)*H72^2+G72^2*(R72/Assumptions!$B$11)^2),0)</f>
        <v/>
      </c>
      <c r="T72" s="28">
        <f>ROUNDUP(G72*Q72/Assumptions!$B$11+S72,0)</f>
        <v/>
      </c>
      <c r="U72" s="28">
        <f>ROUNDUP(MAX(INDEX(Items!$G$2:$G$117,MATCH($A72,Items!$A$2:$A$117,0)),SQRT(2*F72*Assumptions!$B$5/(Assumptions!$B$6*E72)),G72*Assumptions!$B$16),0)</f>
        <v/>
      </c>
      <c r="V72" s="28">
        <f>INDEX(Stock_Snapshot!$B$2:$B$117,MATCH($A72,Stock_Snapshot!$A$2:$A$117,0))</f>
        <v/>
      </c>
      <c r="W72" s="28">
        <f>INDEX(Stock_Snapshot!$C$2:$C$117,MATCH($A72,Stock_Snapshot!$A$2:$A$117,0))</f>
        <v/>
      </c>
      <c r="X72" s="28">
        <f>V72+W72</f>
        <v/>
      </c>
      <c r="Y72" s="10">
        <f>IF(G72&gt;0,V72/(G72/Assumptions!$B$11),999)</f>
        <v/>
      </c>
      <c r="Z72" s="28">
        <f>S72+U72</f>
        <v/>
      </c>
      <c r="AA72" s="12">
        <f>IF(V72&lt;S72,"Below safety stock",IF(X72&lt;=T72,"Reorder now",IF(V72&gt;Z72,"Excess","Healthy")))</f>
        <v/>
      </c>
      <c r="AB72" s="16">
        <f>V72*E72</f>
        <v/>
      </c>
      <c r="AC72" s="16">
        <f>MAX(0,V72-Z72)*E72</f>
        <v/>
      </c>
      <c r="AD72" s="28">
        <f>IF(X72&lt;=T72,ROUNDUP(T72+U72-X72,0),0)</f>
        <v/>
      </c>
      <c r="AE72" s="16">
        <f>MAX(0,T72-X72)*E72</f>
        <v/>
      </c>
      <c r="AF72" s="31">
        <f>IF(INDEX(Stock_Snapshot!$D$2:$D$117,MATCH($A72,Stock_Snapshot!$A$2:$A$117,0))="","",INDEX(Stock_Snapshot!$D$2:$D$117,MATCH($A72,Stock_Snapshot!$A$2:$A$117,0)))</f>
        <v/>
      </c>
      <c r="AG72" s="12">
        <f>IF(AF72="","",IF(AF72&lt;=EDATE(Assumptions!$B$4,Assumptions!$B$12),"Expires &lt; "&amp;Assumptions!$B$12&amp;" m","OK"))</f>
        <v/>
      </c>
    </row>
    <row r="73">
      <c r="A73" s="12" t="inlineStr">
        <is>
          <t>CMD-0069</t>
        </is>
      </c>
      <c r="B73" s="12">
        <f>INDEX(Items!$B$2:$B$117,MATCH($A73,Items!$A$2:$A$117,0))</f>
        <v/>
      </c>
      <c r="C73" s="12">
        <f>INDEX(Items!$C$2:$C$117,MATCH($A73,Items!$A$2:$A$117,0))</f>
        <v/>
      </c>
      <c r="D73" s="12">
        <f>INDEX(Items!$D$2:$D$117,MATCH($A73,Items!$A$2:$A$117,0))</f>
        <v/>
      </c>
      <c r="E73" s="27">
        <f>INDEX(Items!$E$2:$E$117,MATCH($A73,Items!$A$2:$A$117,0))</f>
        <v/>
      </c>
      <c r="F73" s="28">
        <f>SUM(INDEX(Demand!$N$2:$Y$117,MATCH($A73,Demand!$A$2:$A$117,0),0))</f>
        <v/>
      </c>
      <c r="G73" s="28">
        <f>F73/12</f>
        <v/>
      </c>
      <c r="H73" s="28">
        <f>STDEV(INDEX(Demand!$N$2:$Y$117,MATCH($A73,Demand!$A$2:$A$117,0),0))</f>
        <v/>
      </c>
      <c r="I73" s="29">
        <f>IF(G73&gt;0,H73/G73,0)</f>
        <v/>
      </c>
      <c r="J73" s="16">
        <f>F73*E73</f>
        <v/>
      </c>
      <c r="K73" s="11">
        <f>SUMIF($J$5:$J$120,"&gt;="&amp;J73)/SUM($J$5:$J$120)</f>
        <v/>
      </c>
      <c r="L73" s="12">
        <f>IF(K73&lt;=Assumptions!$B$7,"A",IF(K73&lt;=Assumptions!$B$8,"B","C"))</f>
        <v/>
      </c>
      <c r="M73" s="12">
        <f>IF(I73&lt;=Assumptions!$B$9,"X",IF(I73&lt;=Assumptions!$B$10,"Y","Z"))</f>
        <v/>
      </c>
      <c r="N73" s="12">
        <f>L73&amp;M73</f>
        <v/>
      </c>
      <c r="O73" s="11">
        <f>INDEX(Assumptions!$F$4:$F$6,MATCH(L73,Assumptions!$E$4:$E$6,0))</f>
        <v/>
      </c>
      <c r="P73" s="29">
        <f>NORMSINV(O73)</f>
        <v/>
      </c>
      <c r="Q73" s="30">
        <f>IFERROR(AVERAGEIFS(PO_Lines!$R$2:$R$2025,PO_Lines!$B$2:$B$2025,$A73,PO_Lines!$Q$2:$Q$2025,1),INDEX(Items!$F$2:$F$117,MATCH($A73,Items!$A$2:$A$117,0)))</f>
        <v/>
      </c>
      <c r="R73" s="30">
        <f>IFERROR(SQRT(SUMPRODUCT((PO_Lines!$B$2:$B$2025=$A73)*PO_Lines!$Q$2:$Q$2025*(PO_Lines!$R$2:$R$2025-Q73)^2)/(COUNTIFS(PO_Lines!$B$2:$B$2025,$A73,PO_Lines!$Q$2:$Q$2025,1)-1)),0)</f>
        <v/>
      </c>
      <c r="S73" s="28">
        <f>ROUNDUP(P73*SQRT((Q73/Assumptions!$B$11)*H73^2+G73^2*(R73/Assumptions!$B$11)^2),0)</f>
        <v/>
      </c>
      <c r="T73" s="28">
        <f>ROUNDUP(G73*Q73/Assumptions!$B$11+S73,0)</f>
        <v/>
      </c>
      <c r="U73" s="28">
        <f>ROUNDUP(MAX(INDEX(Items!$G$2:$G$117,MATCH($A73,Items!$A$2:$A$117,0)),SQRT(2*F73*Assumptions!$B$5/(Assumptions!$B$6*E73)),G73*Assumptions!$B$16),0)</f>
        <v/>
      </c>
      <c r="V73" s="28">
        <f>INDEX(Stock_Snapshot!$B$2:$B$117,MATCH($A73,Stock_Snapshot!$A$2:$A$117,0))</f>
        <v/>
      </c>
      <c r="W73" s="28">
        <f>INDEX(Stock_Snapshot!$C$2:$C$117,MATCH($A73,Stock_Snapshot!$A$2:$A$117,0))</f>
        <v/>
      </c>
      <c r="X73" s="28">
        <f>V73+W73</f>
        <v/>
      </c>
      <c r="Y73" s="10">
        <f>IF(G73&gt;0,V73/(G73/Assumptions!$B$11),999)</f>
        <v/>
      </c>
      <c r="Z73" s="28">
        <f>S73+U73</f>
        <v/>
      </c>
      <c r="AA73" s="12">
        <f>IF(V73&lt;S73,"Below safety stock",IF(X73&lt;=T73,"Reorder now",IF(V73&gt;Z73,"Excess","Healthy")))</f>
        <v/>
      </c>
      <c r="AB73" s="16">
        <f>V73*E73</f>
        <v/>
      </c>
      <c r="AC73" s="16">
        <f>MAX(0,V73-Z73)*E73</f>
        <v/>
      </c>
      <c r="AD73" s="28">
        <f>IF(X73&lt;=T73,ROUNDUP(T73+U73-X73,0),0)</f>
        <v/>
      </c>
      <c r="AE73" s="16">
        <f>MAX(0,T73-X73)*E73</f>
        <v/>
      </c>
      <c r="AF73" s="31">
        <f>IF(INDEX(Stock_Snapshot!$D$2:$D$117,MATCH($A73,Stock_Snapshot!$A$2:$A$117,0))="","",INDEX(Stock_Snapshot!$D$2:$D$117,MATCH($A73,Stock_Snapshot!$A$2:$A$117,0)))</f>
        <v/>
      </c>
      <c r="AG73" s="12">
        <f>IF(AF73="","",IF(AF73&lt;=EDATE(Assumptions!$B$4,Assumptions!$B$12),"Expires &lt; "&amp;Assumptions!$B$12&amp;" m","OK"))</f>
        <v/>
      </c>
    </row>
    <row r="74">
      <c r="A74" s="12" t="inlineStr">
        <is>
          <t>CMD-0070</t>
        </is>
      </c>
      <c r="B74" s="12">
        <f>INDEX(Items!$B$2:$B$117,MATCH($A74,Items!$A$2:$A$117,0))</f>
        <v/>
      </c>
      <c r="C74" s="12">
        <f>INDEX(Items!$C$2:$C$117,MATCH($A74,Items!$A$2:$A$117,0))</f>
        <v/>
      </c>
      <c r="D74" s="12">
        <f>INDEX(Items!$D$2:$D$117,MATCH($A74,Items!$A$2:$A$117,0))</f>
        <v/>
      </c>
      <c r="E74" s="27">
        <f>INDEX(Items!$E$2:$E$117,MATCH($A74,Items!$A$2:$A$117,0))</f>
        <v/>
      </c>
      <c r="F74" s="28">
        <f>SUM(INDEX(Demand!$N$2:$Y$117,MATCH($A74,Demand!$A$2:$A$117,0),0))</f>
        <v/>
      </c>
      <c r="G74" s="28">
        <f>F74/12</f>
        <v/>
      </c>
      <c r="H74" s="28">
        <f>STDEV(INDEX(Demand!$N$2:$Y$117,MATCH($A74,Demand!$A$2:$A$117,0),0))</f>
        <v/>
      </c>
      <c r="I74" s="29">
        <f>IF(G74&gt;0,H74/G74,0)</f>
        <v/>
      </c>
      <c r="J74" s="16">
        <f>F74*E74</f>
        <v/>
      </c>
      <c r="K74" s="11">
        <f>SUMIF($J$5:$J$120,"&gt;="&amp;J74)/SUM($J$5:$J$120)</f>
        <v/>
      </c>
      <c r="L74" s="12">
        <f>IF(K74&lt;=Assumptions!$B$7,"A",IF(K74&lt;=Assumptions!$B$8,"B","C"))</f>
        <v/>
      </c>
      <c r="M74" s="12">
        <f>IF(I74&lt;=Assumptions!$B$9,"X",IF(I74&lt;=Assumptions!$B$10,"Y","Z"))</f>
        <v/>
      </c>
      <c r="N74" s="12">
        <f>L74&amp;M74</f>
        <v/>
      </c>
      <c r="O74" s="11">
        <f>INDEX(Assumptions!$F$4:$F$6,MATCH(L74,Assumptions!$E$4:$E$6,0))</f>
        <v/>
      </c>
      <c r="P74" s="29">
        <f>NORMSINV(O74)</f>
        <v/>
      </c>
      <c r="Q74" s="30">
        <f>IFERROR(AVERAGEIFS(PO_Lines!$R$2:$R$2025,PO_Lines!$B$2:$B$2025,$A74,PO_Lines!$Q$2:$Q$2025,1),INDEX(Items!$F$2:$F$117,MATCH($A74,Items!$A$2:$A$117,0)))</f>
        <v/>
      </c>
      <c r="R74" s="30">
        <f>IFERROR(SQRT(SUMPRODUCT((PO_Lines!$B$2:$B$2025=$A74)*PO_Lines!$Q$2:$Q$2025*(PO_Lines!$R$2:$R$2025-Q74)^2)/(COUNTIFS(PO_Lines!$B$2:$B$2025,$A74,PO_Lines!$Q$2:$Q$2025,1)-1)),0)</f>
        <v/>
      </c>
      <c r="S74" s="28">
        <f>ROUNDUP(P74*SQRT((Q74/Assumptions!$B$11)*H74^2+G74^2*(R74/Assumptions!$B$11)^2),0)</f>
        <v/>
      </c>
      <c r="T74" s="28">
        <f>ROUNDUP(G74*Q74/Assumptions!$B$11+S74,0)</f>
        <v/>
      </c>
      <c r="U74" s="28">
        <f>ROUNDUP(MAX(INDEX(Items!$G$2:$G$117,MATCH($A74,Items!$A$2:$A$117,0)),SQRT(2*F74*Assumptions!$B$5/(Assumptions!$B$6*E74)),G74*Assumptions!$B$16),0)</f>
        <v/>
      </c>
      <c r="V74" s="28">
        <f>INDEX(Stock_Snapshot!$B$2:$B$117,MATCH($A74,Stock_Snapshot!$A$2:$A$117,0))</f>
        <v/>
      </c>
      <c r="W74" s="28">
        <f>INDEX(Stock_Snapshot!$C$2:$C$117,MATCH($A74,Stock_Snapshot!$A$2:$A$117,0))</f>
        <v/>
      </c>
      <c r="X74" s="28">
        <f>V74+W74</f>
        <v/>
      </c>
      <c r="Y74" s="10">
        <f>IF(G74&gt;0,V74/(G74/Assumptions!$B$11),999)</f>
        <v/>
      </c>
      <c r="Z74" s="28">
        <f>S74+U74</f>
        <v/>
      </c>
      <c r="AA74" s="12">
        <f>IF(V74&lt;S74,"Below safety stock",IF(X74&lt;=T74,"Reorder now",IF(V74&gt;Z74,"Excess","Healthy")))</f>
        <v/>
      </c>
      <c r="AB74" s="16">
        <f>V74*E74</f>
        <v/>
      </c>
      <c r="AC74" s="16">
        <f>MAX(0,V74-Z74)*E74</f>
        <v/>
      </c>
      <c r="AD74" s="28">
        <f>IF(X74&lt;=T74,ROUNDUP(T74+U74-X74,0),0)</f>
        <v/>
      </c>
      <c r="AE74" s="16">
        <f>MAX(0,T74-X74)*E74</f>
        <v/>
      </c>
      <c r="AF74" s="31">
        <f>IF(INDEX(Stock_Snapshot!$D$2:$D$117,MATCH($A74,Stock_Snapshot!$A$2:$A$117,0))="","",INDEX(Stock_Snapshot!$D$2:$D$117,MATCH($A74,Stock_Snapshot!$A$2:$A$117,0)))</f>
        <v/>
      </c>
      <c r="AG74" s="12">
        <f>IF(AF74="","",IF(AF74&lt;=EDATE(Assumptions!$B$4,Assumptions!$B$12),"Expires &lt; "&amp;Assumptions!$B$12&amp;" m","OK"))</f>
        <v/>
      </c>
    </row>
    <row r="75">
      <c r="A75" s="12" t="inlineStr">
        <is>
          <t>CMD-0071</t>
        </is>
      </c>
      <c r="B75" s="12">
        <f>INDEX(Items!$B$2:$B$117,MATCH($A75,Items!$A$2:$A$117,0))</f>
        <v/>
      </c>
      <c r="C75" s="12">
        <f>INDEX(Items!$C$2:$C$117,MATCH($A75,Items!$A$2:$A$117,0))</f>
        <v/>
      </c>
      <c r="D75" s="12">
        <f>INDEX(Items!$D$2:$D$117,MATCH($A75,Items!$A$2:$A$117,0))</f>
        <v/>
      </c>
      <c r="E75" s="27">
        <f>INDEX(Items!$E$2:$E$117,MATCH($A75,Items!$A$2:$A$117,0))</f>
        <v/>
      </c>
      <c r="F75" s="28">
        <f>SUM(INDEX(Demand!$N$2:$Y$117,MATCH($A75,Demand!$A$2:$A$117,0),0))</f>
        <v/>
      </c>
      <c r="G75" s="28">
        <f>F75/12</f>
        <v/>
      </c>
      <c r="H75" s="28">
        <f>STDEV(INDEX(Demand!$N$2:$Y$117,MATCH($A75,Demand!$A$2:$A$117,0),0))</f>
        <v/>
      </c>
      <c r="I75" s="29">
        <f>IF(G75&gt;0,H75/G75,0)</f>
        <v/>
      </c>
      <c r="J75" s="16">
        <f>F75*E75</f>
        <v/>
      </c>
      <c r="K75" s="11">
        <f>SUMIF($J$5:$J$120,"&gt;="&amp;J75)/SUM($J$5:$J$120)</f>
        <v/>
      </c>
      <c r="L75" s="12">
        <f>IF(K75&lt;=Assumptions!$B$7,"A",IF(K75&lt;=Assumptions!$B$8,"B","C"))</f>
        <v/>
      </c>
      <c r="M75" s="12">
        <f>IF(I75&lt;=Assumptions!$B$9,"X",IF(I75&lt;=Assumptions!$B$10,"Y","Z"))</f>
        <v/>
      </c>
      <c r="N75" s="12">
        <f>L75&amp;M75</f>
        <v/>
      </c>
      <c r="O75" s="11">
        <f>INDEX(Assumptions!$F$4:$F$6,MATCH(L75,Assumptions!$E$4:$E$6,0))</f>
        <v/>
      </c>
      <c r="P75" s="29">
        <f>NORMSINV(O75)</f>
        <v/>
      </c>
      <c r="Q75" s="30">
        <f>IFERROR(AVERAGEIFS(PO_Lines!$R$2:$R$2025,PO_Lines!$B$2:$B$2025,$A75,PO_Lines!$Q$2:$Q$2025,1),INDEX(Items!$F$2:$F$117,MATCH($A75,Items!$A$2:$A$117,0)))</f>
        <v/>
      </c>
      <c r="R75" s="30">
        <f>IFERROR(SQRT(SUMPRODUCT((PO_Lines!$B$2:$B$2025=$A75)*PO_Lines!$Q$2:$Q$2025*(PO_Lines!$R$2:$R$2025-Q75)^2)/(COUNTIFS(PO_Lines!$B$2:$B$2025,$A75,PO_Lines!$Q$2:$Q$2025,1)-1)),0)</f>
        <v/>
      </c>
      <c r="S75" s="28">
        <f>ROUNDUP(P75*SQRT((Q75/Assumptions!$B$11)*H75^2+G75^2*(R75/Assumptions!$B$11)^2),0)</f>
        <v/>
      </c>
      <c r="T75" s="28">
        <f>ROUNDUP(G75*Q75/Assumptions!$B$11+S75,0)</f>
        <v/>
      </c>
      <c r="U75" s="28">
        <f>ROUNDUP(MAX(INDEX(Items!$G$2:$G$117,MATCH($A75,Items!$A$2:$A$117,0)),SQRT(2*F75*Assumptions!$B$5/(Assumptions!$B$6*E75)),G75*Assumptions!$B$16),0)</f>
        <v/>
      </c>
      <c r="V75" s="28">
        <f>INDEX(Stock_Snapshot!$B$2:$B$117,MATCH($A75,Stock_Snapshot!$A$2:$A$117,0))</f>
        <v/>
      </c>
      <c r="W75" s="28">
        <f>INDEX(Stock_Snapshot!$C$2:$C$117,MATCH($A75,Stock_Snapshot!$A$2:$A$117,0))</f>
        <v/>
      </c>
      <c r="X75" s="28">
        <f>V75+W75</f>
        <v/>
      </c>
      <c r="Y75" s="10">
        <f>IF(G75&gt;0,V75/(G75/Assumptions!$B$11),999)</f>
        <v/>
      </c>
      <c r="Z75" s="28">
        <f>S75+U75</f>
        <v/>
      </c>
      <c r="AA75" s="12">
        <f>IF(V75&lt;S75,"Below safety stock",IF(X75&lt;=T75,"Reorder now",IF(V75&gt;Z75,"Excess","Healthy")))</f>
        <v/>
      </c>
      <c r="AB75" s="16">
        <f>V75*E75</f>
        <v/>
      </c>
      <c r="AC75" s="16">
        <f>MAX(0,V75-Z75)*E75</f>
        <v/>
      </c>
      <c r="AD75" s="28">
        <f>IF(X75&lt;=T75,ROUNDUP(T75+U75-X75,0),0)</f>
        <v/>
      </c>
      <c r="AE75" s="16">
        <f>MAX(0,T75-X75)*E75</f>
        <v/>
      </c>
      <c r="AF75" s="31">
        <f>IF(INDEX(Stock_Snapshot!$D$2:$D$117,MATCH($A75,Stock_Snapshot!$A$2:$A$117,0))="","",INDEX(Stock_Snapshot!$D$2:$D$117,MATCH($A75,Stock_Snapshot!$A$2:$A$117,0)))</f>
        <v/>
      </c>
      <c r="AG75" s="12">
        <f>IF(AF75="","",IF(AF75&lt;=EDATE(Assumptions!$B$4,Assumptions!$B$12),"Expires &lt; "&amp;Assumptions!$B$12&amp;" m","OK"))</f>
        <v/>
      </c>
    </row>
    <row r="76">
      <c r="A76" s="12" t="inlineStr">
        <is>
          <t>CMD-0072</t>
        </is>
      </c>
      <c r="B76" s="12">
        <f>INDEX(Items!$B$2:$B$117,MATCH($A76,Items!$A$2:$A$117,0))</f>
        <v/>
      </c>
      <c r="C76" s="12">
        <f>INDEX(Items!$C$2:$C$117,MATCH($A76,Items!$A$2:$A$117,0))</f>
        <v/>
      </c>
      <c r="D76" s="12">
        <f>INDEX(Items!$D$2:$D$117,MATCH($A76,Items!$A$2:$A$117,0))</f>
        <v/>
      </c>
      <c r="E76" s="27">
        <f>INDEX(Items!$E$2:$E$117,MATCH($A76,Items!$A$2:$A$117,0))</f>
        <v/>
      </c>
      <c r="F76" s="28">
        <f>SUM(INDEX(Demand!$N$2:$Y$117,MATCH($A76,Demand!$A$2:$A$117,0),0))</f>
        <v/>
      </c>
      <c r="G76" s="28">
        <f>F76/12</f>
        <v/>
      </c>
      <c r="H76" s="28">
        <f>STDEV(INDEX(Demand!$N$2:$Y$117,MATCH($A76,Demand!$A$2:$A$117,0),0))</f>
        <v/>
      </c>
      <c r="I76" s="29">
        <f>IF(G76&gt;0,H76/G76,0)</f>
        <v/>
      </c>
      <c r="J76" s="16">
        <f>F76*E76</f>
        <v/>
      </c>
      <c r="K76" s="11">
        <f>SUMIF($J$5:$J$120,"&gt;="&amp;J76)/SUM($J$5:$J$120)</f>
        <v/>
      </c>
      <c r="L76" s="12">
        <f>IF(K76&lt;=Assumptions!$B$7,"A",IF(K76&lt;=Assumptions!$B$8,"B","C"))</f>
        <v/>
      </c>
      <c r="M76" s="12">
        <f>IF(I76&lt;=Assumptions!$B$9,"X",IF(I76&lt;=Assumptions!$B$10,"Y","Z"))</f>
        <v/>
      </c>
      <c r="N76" s="12">
        <f>L76&amp;M76</f>
        <v/>
      </c>
      <c r="O76" s="11">
        <f>INDEX(Assumptions!$F$4:$F$6,MATCH(L76,Assumptions!$E$4:$E$6,0))</f>
        <v/>
      </c>
      <c r="P76" s="29">
        <f>NORMSINV(O76)</f>
        <v/>
      </c>
      <c r="Q76" s="30">
        <f>IFERROR(AVERAGEIFS(PO_Lines!$R$2:$R$2025,PO_Lines!$B$2:$B$2025,$A76,PO_Lines!$Q$2:$Q$2025,1),INDEX(Items!$F$2:$F$117,MATCH($A76,Items!$A$2:$A$117,0)))</f>
        <v/>
      </c>
      <c r="R76" s="30">
        <f>IFERROR(SQRT(SUMPRODUCT((PO_Lines!$B$2:$B$2025=$A76)*PO_Lines!$Q$2:$Q$2025*(PO_Lines!$R$2:$R$2025-Q76)^2)/(COUNTIFS(PO_Lines!$B$2:$B$2025,$A76,PO_Lines!$Q$2:$Q$2025,1)-1)),0)</f>
        <v/>
      </c>
      <c r="S76" s="28">
        <f>ROUNDUP(P76*SQRT((Q76/Assumptions!$B$11)*H76^2+G76^2*(R76/Assumptions!$B$11)^2),0)</f>
        <v/>
      </c>
      <c r="T76" s="28">
        <f>ROUNDUP(G76*Q76/Assumptions!$B$11+S76,0)</f>
        <v/>
      </c>
      <c r="U76" s="28">
        <f>ROUNDUP(MAX(INDEX(Items!$G$2:$G$117,MATCH($A76,Items!$A$2:$A$117,0)),SQRT(2*F76*Assumptions!$B$5/(Assumptions!$B$6*E76)),G76*Assumptions!$B$16),0)</f>
        <v/>
      </c>
      <c r="V76" s="28">
        <f>INDEX(Stock_Snapshot!$B$2:$B$117,MATCH($A76,Stock_Snapshot!$A$2:$A$117,0))</f>
        <v/>
      </c>
      <c r="W76" s="28">
        <f>INDEX(Stock_Snapshot!$C$2:$C$117,MATCH($A76,Stock_Snapshot!$A$2:$A$117,0))</f>
        <v/>
      </c>
      <c r="X76" s="28">
        <f>V76+W76</f>
        <v/>
      </c>
      <c r="Y76" s="10">
        <f>IF(G76&gt;0,V76/(G76/Assumptions!$B$11),999)</f>
        <v/>
      </c>
      <c r="Z76" s="28">
        <f>S76+U76</f>
        <v/>
      </c>
      <c r="AA76" s="12">
        <f>IF(V76&lt;S76,"Below safety stock",IF(X76&lt;=T76,"Reorder now",IF(V76&gt;Z76,"Excess","Healthy")))</f>
        <v/>
      </c>
      <c r="AB76" s="16">
        <f>V76*E76</f>
        <v/>
      </c>
      <c r="AC76" s="16">
        <f>MAX(0,V76-Z76)*E76</f>
        <v/>
      </c>
      <c r="AD76" s="28">
        <f>IF(X76&lt;=T76,ROUNDUP(T76+U76-X76,0),0)</f>
        <v/>
      </c>
      <c r="AE76" s="16">
        <f>MAX(0,T76-X76)*E76</f>
        <v/>
      </c>
      <c r="AF76" s="31">
        <f>IF(INDEX(Stock_Snapshot!$D$2:$D$117,MATCH($A76,Stock_Snapshot!$A$2:$A$117,0))="","",INDEX(Stock_Snapshot!$D$2:$D$117,MATCH($A76,Stock_Snapshot!$A$2:$A$117,0)))</f>
        <v/>
      </c>
      <c r="AG76" s="12">
        <f>IF(AF76="","",IF(AF76&lt;=EDATE(Assumptions!$B$4,Assumptions!$B$12),"Expires &lt; "&amp;Assumptions!$B$12&amp;" m","OK"))</f>
        <v/>
      </c>
    </row>
    <row r="77">
      <c r="A77" s="12" t="inlineStr">
        <is>
          <t>CMD-0073</t>
        </is>
      </c>
      <c r="B77" s="12">
        <f>INDEX(Items!$B$2:$B$117,MATCH($A77,Items!$A$2:$A$117,0))</f>
        <v/>
      </c>
      <c r="C77" s="12">
        <f>INDEX(Items!$C$2:$C$117,MATCH($A77,Items!$A$2:$A$117,0))</f>
        <v/>
      </c>
      <c r="D77" s="12">
        <f>INDEX(Items!$D$2:$D$117,MATCH($A77,Items!$A$2:$A$117,0))</f>
        <v/>
      </c>
      <c r="E77" s="27">
        <f>INDEX(Items!$E$2:$E$117,MATCH($A77,Items!$A$2:$A$117,0))</f>
        <v/>
      </c>
      <c r="F77" s="28">
        <f>SUM(INDEX(Demand!$N$2:$Y$117,MATCH($A77,Demand!$A$2:$A$117,0),0))</f>
        <v/>
      </c>
      <c r="G77" s="28">
        <f>F77/12</f>
        <v/>
      </c>
      <c r="H77" s="28">
        <f>STDEV(INDEX(Demand!$N$2:$Y$117,MATCH($A77,Demand!$A$2:$A$117,0),0))</f>
        <v/>
      </c>
      <c r="I77" s="29">
        <f>IF(G77&gt;0,H77/G77,0)</f>
        <v/>
      </c>
      <c r="J77" s="16">
        <f>F77*E77</f>
        <v/>
      </c>
      <c r="K77" s="11">
        <f>SUMIF($J$5:$J$120,"&gt;="&amp;J77)/SUM($J$5:$J$120)</f>
        <v/>
      </c>
      <c r="L77" s="12">
        <f>IF(K77&lt;=Assumptions!$B$7,"A",IF(K77&lt;=Assumptions!$B$8,"B","C"))</f>
        <v/>
      </c>
      <c r="M77" s="12">
        <f>IF(I77&lt;=Assumptions!$B$9,"X",IF(I77&lt;=Assumptions!$B$10,"Y","Z"))</f>
        <v/>
      </c>
      <c r="N77" s="12">
        <f>L77&amp;M77</f>
        <v/>
      </c>
      <c r="O77" s="11">
        <f>INDEX(Assumptions!$F$4:$F$6,MATCH(L77,Assumptions!$E$4:$E$6,0))</f>
        <v/>
      </c>
      <c r="P77" s="29">
        <f>NORMSINV(O77)</f>
        <v/>
      </c>
      <c r="Q77" s="30">
        <f>IFERROR(AVERAGEIFS(PO_Lines!$R$2:$R$2025,PO_Lines!$B$2:$B$2025,$A77,PO_Lines!$Q$2:$Q$2025,1),INDEX(Items!$F$2:$F$117,MATCH($A77,Items!$A$2:$A$117,0)))</f>
        <v/>
      </c>
      <c r="R77" s="30">
        <f>IFERROR(SQRT(SUMPRODUCT((PO_Lines!$B$2:$B$2025=$A77)*PO_Lines!$Q$2:$Q$2025*(PO_Lines!$R$2:$R$2025-Q77)^2)/(COUNTIFS(PO_Lines!$B$2:$B$2025,$A77,PO_Lines!$Q$2:$Q$2025,1)-1)),0)</f>
        <v/>
      </c>
      <c r="S77" s="28">
        <f>ROUNDUP(P77*SQRT((Q77/Assumptions!$B$11)*H77^2+G77^2*(R77/Assumptions!$B$11)^2),0)</f>
        <v/>
      </c>
      <c r="T77" s="28">
        <f>ROUNDUP(G77*Q77/Assumptions!$B$11+S77,0)</f>
        <v/>
      </c>
      <c r="U77" s="28">
        <f>ROUNDUP(MAX(INDEX(Items!$G$2:$G$117,MATCH($A77,Items!$A$2:$A$117,0)),SQRT(2*F77*Assumptions!$B$5/(Assumptions!$B$6*E77)),G77*Assumptions!$B$16),0)</f>
        <v/>
      </c>
      <c r="V77" s="28">
        <f>INDEX(Stock_Snapshot!$B$2:$B$117,MATCH($A77,Stock_Snapshot!$A$2:$A$117,0))</f>
        <v/>
      </c>
      <c r="W77" s="28">
        <f>INDEX(Stock_Snapshot!$C$2:$C$117,MATCH($A77,Stock_Snapshot!$A$2:$A$117,0))</f>
        <v/>
      </c>
      <c r="X77" s="28">
        <f>V77+W77</f>
        <v/>
      </c>
      <c r="Y77" s="10">
        <f>IF(G77&gt;0,V77/(G77/Assumptions!$B$11),999)</f>
        <v/>
      </c>
      <c r="Z77" s="28">
        <f>S77+U77</f>
        <v/>
      </c>
      <c r="AA77" s="12">
        <f>IF(V77&lt;S77,"Below safety stock",IF(X77&lt;=T77,"Reorder now",IF(V77&gt;Z77,"Excess","Healthy")))</f>
        <v/>
      </c>
      <c r="AB77" s="16">
        <f>V77*E77</f>
        <v/>
      </c>
      <c r="AC77" s="16">
        <f>MAX(0,V77-Z77)*E77</f>
        <v/>
      </c>
      <c r="AD77" s="28">
        <f>IF(X77&lt;=T77,ROUNDUP(T77+U77-X77,0),0)</f>
        <v/>
      </c>
      <c r="AE77" s="16">
        <f>MAX(0,T77-X77)*E77</f>
        <v/>
      </c>
      <c r="AF77" s="31">
        <f>IF(INDEX(Stock_Snapshot!$D$2:$D$117,MATCH($A77,Stock_Snapshot!$A$2:$A$117,0))="","",INDEX(Stock_Snapshot!$D$2:$D$117,MATCH($A77,Stock_Snapshot!$A$2:$A$117,0)))</f>
        <v/>
      </c>
      <c r="AG77" s="12">
        <f>IF(AF77="","",IF(AF77&lt;=EDATE(Assumptions!$B$4,Assumptions!$B$12),"Expires &lt; "&amp;Assumptions!$B$12&amp;" m","OK"))</f>
        <v/>
      </c>
    </row>
    <row r="78">
      <c r="A78" s="12" t="inlineStr">
        <is>
          <t>CMD-0074</t>
        </is>
      </c>
      <c r="B78" s="12">
        <f>INDEX(Items!$B$2:$B$117,MATCH($A78,Items!$A$2:$A$117,0))</f>
        <v/>
      </c>
      <c r="C78" s="12">
        <f>INDEX(Items!$C$2:$C$117,MATCH($A78,Items!$A$2:$A$117,0))</f>
        <v/>
      </c>
      <c r="D78" s="12">
        <f>INDEX(Items!$D$2:$D$117,MATCH($A78,Items!$A$2:$A$117,0))</f>
        <v/>
      </c>
      <c r="E78" s="27">
        <f>INDEX(Items!$E$2:$E$117,MATCH($A78,Items!$A$2:$A$117,0))</f>
        <v/>
      </c>
      <c r="F78" s="28">
        <f>SUM(INDEX(Demand!$N$2:$Y$117,MATCH($A78,Demand!$A$2:$A$117,0),0))</f>
        <v/>
      </c>
      <c r="G78" s="28">
        <f>F78/12</f>
        <v/>
      </c>
      <c r="H78" s="28">
        <f>STDEV(INDEX(Demand!$N$2:$Y$117,MATCH($A78,Demand!$A$2:$A$117,0),0))</f>
        <v/>
      </c>
      <c r="I78" s="29">
        <f>IF(G78&gt;0,H78/G78,0)</f>
        <v/>
      </c>
      <c r="J78" s="16">
        <f>F78*E78</f>
        <v/>
      </c>
      <c r="K78" s="11">
        <f>SUMIF($J$5:$J$120,"&gt;="&amp;J78)/SUM($J$5:$J$120)</f>
        <v/>
      </c>
      <c r="L78" s="12">
        <f>IF(K78&lt;=Assumptions!$B$7,"A",IF(K78&lt;=Assumptions!$B$8,"B","C"))</f>
        <v/>
      </c>
      <c r="M78" s="12">
        <f>IF(I78&lt;=Assumptions!$B$9,"X",IF(I78&lt;=Assumptions!$B$10,"Y","Z"))</f>
        <v/>
      </c>
      <c r="N78" s="12">
        <f>L78&amp;M78</f>
        <v/>
      </c>
      <c r="O78" s="11">
        <f>INDEX(Assumptions!$F$4:$F$6,MATCH(L78,Assumptions!$E$4:$E$6,0))</f>
        <v/>
      </c>
      <c r="P78" s="29">
        <f>NORMSINV(O78)</f>
        <v/>
      </c>
      <c r="Q78" s="30">
        <f>IFERROR(AVERAGEIFS(PO_Lines!$R$2:$R$2025,PO_Lines!$B$2:$B$2025,$A78,PO_Lines!$Q$2:$Q$2025,1),INDEX(Items!$F$2:$F$117,MATCH($A78,Items!$A$2:$A$117,0)))</f>
        <v/>
      </c>
      <c r="R78" s="30">
        <f>IFERROR(SQRT(SUMPRODUCT((PO_Lines!$B$2:$B$2025=$A78)*PO_Lines!$Q$2:$Q$2025*(PO_Lines!$R$2:$R$2025-Q78)^2)/(COUNTIFS(PO_Lines!$B$2:$B$2025,$A78,PO_Lines!$Q$2:$Q$2025,1)-1)),0)</f>
        <v/>
      </c>
      <c r="S78" s="28">
        <f>ROUNDUP(P78*SQRT((Q78/Assumptions!$B$11)*H78^2+G78^2*(R78/Assumptions!$B$11)^2),0)</f>
        <v/>
      </c>
      <c r="T78" s="28">
        <f>ROUNDUP(G78*Q78/Assumptions!$B$11+S78,0)</f>
        <v/>
      </c>
      <c r="U78" s="28">
        <f>ROUNDUP(MAX(INDEX(Items!$G$2:$G$117,MATCH($A78,Items!$A$2:$A$117,0)),SQRT(2*F78*Assumptions!$B$5/(Assumptions!$B$6*E78)),G78*Assumptions!$B$16),0)</f>
        <v/>
      </c>
      <c r="V78" s="28">
        <f>INDEX(Stock_Snapshot!$B$2:$B$117,MATCH($A78,Stock_Snapshot!$A$2:$A$117,0))</f>
        <v/>
      </c>
      <c r="W78" s="28">
        <f>INDEX(Stock_Snapshot!$C$2:$C$117,MATCH($A78,Stock_Snapshot!$A$2:$A$117,0))</f>
        <v/>
      </c>
      <c r="X78" s="28">
        <f>V78+W78</f>
        <v/>
      </c>
      <c r="Y78" s="10">
        <f>IF(G78&gt;0,V78/(G78/Assumptions!$B$11),999)</f>
        <v/>
      </c>
      <c r="Z78" s="28">
        <f>S78+U78</f>
        <v/>
      </c>
      <c r="AA78" s="12">
        <f>IF(V78&lt;S78,"Below safety stock",IF(X78&lt;=T78,"Reorder now",IF(V78&gt;Z78,"Excess","Healthy")))</f>
        <v/>
      </c>
      <c r="AB78" s="16">
        <f>V78*E78</f>
        <v/>
      </c>
      <c r="AC78" s="16">
        <f>MAX(0,V78-Z78)*E78</f>
        <v/>
      </c>
      <c r="AD78" s="28">
        <f>IF(X78&lt;=T78,ROUNDUP(T78+U78-X78,0),0)</f>
        <v/>
      </c>
      <c r="AE78" s="16">
        <f>MAX(0,T78-X78)*E78</f>
        <v/>
      </c>
      <c r="AF78" s="31">
        <f>IF(INDEX(Stock_Snapshot!$D$2:$D$117,MATCH($A78,Stock_Snapshot!$A$2:$A$117,0))="","",INDEX(Stock_Snapshot!$D$2:$D$117,MATCH($A78,Stock_Snapshot!$A$2:$A$117,0)))</f>
        <v/>
      </c>
      <c r="AG78" s="12">
        <f>IF(AF78="","",IF(AF78&lt;=EDATE(Assumptions!$B$4,Assumptions!$B$12),"Expires &lt; "&amp;Assumptions!$B$12&amp;" m","OK"))</f>
        <v/>
      </c>
    </row>
    <row r="79">
      <c r="A79" s="12" t="inlineStr">
        <is>
          <t>CMD-0075</t>
        </is>
      </c>
      <c r="B79" s="12">
        <f>INDEX(Items!$B$2:$B$117,MATCH($A79,Items!$A$2:$A$117,0))</f>
        <v/>
      </c>
      <c r="C79" s="12">
        <f>INDEX(Items!$C$2:$C$117,MATCH($A79,Items!$A$2:$A$117,0))</f>
        <v/>
      </c>
      <c r="D79" s="12">
        <f>INDEX(Items!$D$2:$D$117,MATCH($A79,Items!$A$2:$A$117,0))</f>
        <v/>
      </c>
      <c r="E79" s="27">
        <f>INDEX(Items!$E$2:$E$117,MATCH($A79,Items!$A$2:$A$117,0))</f>
        <v/>
      </c>
      <c r="F79" s="28">
        <f>SUM(INDEX(Demand!$N$2:$Y$117,MATCH($A79,Demand!$A$2:$A$117,0),0))</f>
        <v/>
      </c>
      <c r="G79" s="28">
        <f>F79/12</f>
        <v/>
      </c>
      <c r="H79" s="28">
        <f>STDEV(INDEX(Demand!$N$2:$Y$117,MATCH($A79,Demand!$A$2:$A$117,0),0))</f>
        <v/>
      </c>
      <c r="I79" s="29">
        <f>IF(G79&gt;0,H79/G79,0)</f>
        <v/>
      </c>
      <c r="J79" s="16">
        <f>F79*E79</f>
        <v/>
      </c>
      <c r="K79" s="11">
        <f>SUMIF($J$5:$J$120,"&gt;="&amp;J79)/SUM($J$5:$J$120)</f>
        <v/>
      </c>
      <c r="L79" s="12">
        <f>IF(K79&lt;=Assumptions!$B$7,"A",IF(K79&lt;=Assumptions!$B$8,"B","C"))</f>
        <v/>
      </c>
      <c r="M79" s="12">
        <f>IF(I79&lt;=Assumptions!$B$9,"X",IF(I79&lt;=Assumptions!$B$10,"Y","Z"))</f>
        <v/>
      </c>
      <c r="N79" s="12">
        <f>L79&amp;M79</f>
        <v/>
      </c>
      <c r="O79" s="11">
        <f>INDEX(Assumptions!$F$4:$F$6,MATCH(L79,Assumptions!$E$4:$E$6,0))</f>
        <v/>
      </c>
      <c r="P79" s="29">
        <f>NORMSINV(O79)</f>
        <v/>
      </c>
      <c r="Q79" s="30">
        <f>IFERROR(AVERAGEIFS(PO_Lines!$R$2:$R$2025,PO_Lines!$B$2:$B$2025,$A79,PO_Lines!$Q$2:$Q$2025,1),INDEX(Items!$F$2:$F$117,MATCH($A79,Items!$A$2:$A$117,0)))</f>
        <v/>
      </c>
      <c r="R79" s="30">
        <f>IFERROR(SQRT(SUMPRODUCT((PO_Lines!$B$2:$B$2025=$A79)*PO_Lines!$Q$2:$Q$2025*(PO_Lines!$R$2:$R$2025-Q79)^2)/(COUNTIFS(PO_Lines!$B$2:$B$2025,$A79,PO_Lines!$Q$2:$Q$2025,1)-1)),0)</f>
        <v/>
      </c>
      <c r="S79" s="28">
        <f>ROUNDUP(P79*SQRT((Q79/Assumptions!$B$11)*H79^2+G79^2*(R79/Assumptions!$B$11)^2),0)</f>
        <v/>
      </c>
      <c r="T79" s="28">
        <f>ROUNDUP(G79*Q79/Assumptions!$B$11+S79,0)</f>
        <v/>
      </c>
      <c r="U79" s="28">
        <f>ROUNDUP(MAX(INDEX(Items!$G$2:$G$117,MATCH($A79,Items!$A$2:$A$117,0)),SQRT(2*F79*Assumptions!$B$5/(Assumptions!$B$6*E79)),G79*Assumptions!$B$16),0)</f>
        <v/>
      </c>
      <c r="V79" s="28">
        <f>INDEX(Stock_Snapshot!$B$2:$B$117,MATCH($A79,Stock_Snapshot!$A$2:$A$117,0))</f>
        <v/>
      </c>
      <c r="W79" s="28">
        <f>INDEX(Stock_Snapshot!$C$2:$C$117,MATCH($A79,Stock_Snapshot!$A$2:$A$117,0))</f>
        <v/>
      </c>
      <c r="X79" s="28">
        <f>V79+W79</f>
        <v/>
      </c>
      <c r="Y79" s="10">
        <f>IF(G79&gt;0,V79/(G79/Assumptions!$B$11),999)</f>
        <v/>
      </c>
      <c r="Z79" s="28">
        <f>S79+U79</f>
        <v/>
      </c>
      <c r="AA79" s="12">
        <f>IF(V79&lt;S79,"Below safety stock",IF(X79&lt;=T79,"Reorder now",IF(V79&gt;Z79,"Excess","Healthy")))</f>
        <v/>
      </c>
      <c r="AB79" s="16">
        <f>V79*E79</f>
        <v/>
      </c>
      <c r="AC79" s="16">
        <f>MAX(0,V79-Z79)*E79</f>
        <v/>
      </c>
      <c r="AD79" s="28">
        <f>IF(X79&lt;=T79,ROUNDUP(T79+U79-X79,0),0)</f>
        <v/>
      </c>
      <c r="AE79" s="16">
        <f>MAX(0,T79-X79)*E79</f>
        <v/>
      </c>
      <c r="AF79" s="31">
        <f>IF(INDEX(Stock_Snapshot!$D$2:$D$117,MATCH($A79,Stock_Snapshot!$A$2:$A$117,0))="","",INDEX(Stock_Snapshot!$D$2:$D$117,MATCH($A79,Stock_Snapshot!$A$2:$A$117,0)))</f>
        <v/>
      </c>
      <c r="AG79" s="12">
        <f>IF(AF79="","",IF(AF79&lt;=EDATE(Assumptions!$B$4,Assumptions!$B$12),"Expires &lt; "&amp;Assumptions!$B$12&amp;" m","OK"))</f>
        <v/>
      </c>
    </row>
    <row r="80">
      <c r="A80" s="12" t="inlineStr">
        <is>
          <t>CMD-0076</t>
        </is>
      </c>
      <c r="B80" s="12">
        <f>INDEX(Items!$B$2:$B$117,MATCH($A80,Items!$A$2:$A$117,0))</f>
        <v/>
      </c>
      <c r="C80" s="12">
        <f>INDEX(Items!$C$2:$C$117,MATCH($A80,Items!$A$2:$A$117,0))</f>
        <v/>
      </c>
      <c r="D80" s="12">
        <f>INDEX(Items!$D$2:$D$117,MATCH($A80,Items!$A$2:$A$117,0))</f>
        <v/>
      </c>
      <c r="E80" s="27">
        <f>INDEX(Items!$E$2:$E$117,MATCH($A80,Items!$A$2:$A$117,0))</f>
        <v/>
      </c>
      <c r="F80" s="28">
        <f>SUM(INDEX(Demand!$N$2:$Y$117,MATCH($A80,Demand!$A$2:$A$117,0),0))</f>
        <v/>
      </c>
      <c r="G80" s="28">
        <f>F80/12</f>
        <v/>
      </c>
      <c r="H80" s="28">
        <f>STDEV(INDEX(Demand!$N$2:$Y$117,MATCH($A80,Demand!$A$2:$A$117,0),0))</f>
        <v/>
      </c>
      <c r="I80" s="29">
        <f>IF(G80&gt;0,H80/G80,0)</f>
        <v/>
      </c>
      <c r="J80" s="16">
        <f>F80*E80</f>
        <v/>
      </c>
      <c r="K80" s="11">
        <f>SUMIF($J$5:$J$120,"&gt;="&amp;J80)/SUM($J$5:$J$120)</f>
        <v/>
      </c>
      <c r="L80" s="12">
        <f>IF(K80&lt;=Assumptions!$B$7,"A",IF(K80&lt;=Assumptions!$B$8,"B","C"))</f>
        <v/>
      </c>
      <c r="M80" s="12">
        <f>IF(I80&lt;=Assumptions!$B$9,"X",IF(I80&lt;=Assumptions!$B$10,"Y","Z"))</f>
        <v/>
      </c>
      <c r="N80" s="12">
        <f>L80&amp;M80</f>
        <v/>
      </c>
      <c r="O80" s="11">
        <f>INDEX(Assumptions!$F$4:$F$6,MATCH(L80,Assumptions!$E$4:$E$6,0))</f>
        <v/>
      </c>
      <c r="P80" s="29">
        <f>NORMSINV(O80)</f>
        <v/>
      </c>
      <c r="Q80" s="30">
        <f>IFERROR(AVERAGEIFS(PO_Lines!$R$2:$R$2025,PO_Lines!$B$2:$B$2025,$A80,PO_Lines!$Q$2:$Q$2025,1),INDEX(Items!$F$2:$F$117,MATCH($A80,Items!$A$2:$A$117,0)))</f>
        <v/>
      </c>
      <c r="R80" s="30">
        <f>IFERROR(SQRT(SUMPRODUCT((PO_Lines!$B$2:$B$2025=$A80)*PO_Lines!$Q$2:$Q$2025*(PO_Lines!$R$2:$R$2025-Q80)^2)/(COUNTIFS(PO_Lines!$B$2:$B$2025,$A80,PO_Lines!$Q$2:$Q$2025,1)-1)),0)</f>
        <v/>
      </c>
      <c r="S80" s="28">
        <f>ROUNDUP(P80*SQRT((Q80/Assumptions!$B$11)*H80^2+G80^2*(R80/Assumptions!$B$11)^2),0)</f>
        <v/>
      </c>
      <c r="T80" s="28">
        <f>ROUNDUP(G80*Q80/Assumptions!$B$11+S80,0)</f>
        <v/>
      </c>
      <c r="U80" s="28">
        <f>ROUNDUP(MAX(INDEX(Items!$G$2:$G$117,MATCH($A80,Items!$A$2:$A$117,0)),SQRT(2*F80*Assumptions!$B$5/(Assumptions!$B$6*E80)),G80*Assumptions!$B$16),0)</f>
        <v/>
      </c>
      <c r="V80" s="28">
        <f>INDEX(Stock_Snapshot!$B$2:$B$117,MATCH($A80,Stock_Snapshot!$A$2:$A$117,0))</f>
        <v/>
      </c>
      <c r="W80" s="28">
        <f>INDEX(Stock_Snapshot!$C$2:$C$117,MATCH($A80,Stock_Snapshot!$A$2:$A$117,0))</f>
        <v/>
      </c>
      <c r="X80" s="28">
        <f>V80+W80</f>
        <v/>
      </c>
      <c r="Y80" s="10">
        <f>IF(G80&gt;0,V80/(G80/Assumptions!$B$11),999)</f>
        <v/>
      </c>
      <c r="Z80" s="28">
        <f>S80+U80</f>
        <v/>
      </c>
      <c r="AA80" s="12">
        <f>IF(V80&lt;S80,"Below safety stock",IF(X80&lt;=T80,"Reorder now",IF(V80&gt;Z80,"Excess","Healthy")))</f>
        <v/>
      </c>
      <c r="AB80" s="16">
        <f>V80*E80</f>
        <v/>
      </c>
      <c r="AC80" s="16">
        <f>MAX(0,V80-Z80)*E80</f>
        <v/>
      </c>
      <c r="AD80" s="28">
        <f>IF(X80&lt;=T80,ROUNDUP(T80+U80-X80,0),0)</f>
        <v/>
      </c>
      <c r="AE80" s="16">
        <f>MAX(0,T80-X80)*E80</f>
        <v/>
      </c>
      <c r="AF80" s="31">
        <f>IF(INDEX(Stock_Snapshot!$D$2:$D$117,MATCH($A80,Stock_Snapshot!$A$2:$A$117,0))="","",INDEX(Stock_Snapshot!$D$2:$D$117,MATCH($A80,Stock_Snapshot!$A$2:$A$117,0)))</f>
        <v/>
      </c>
      <c r="AG80" s="12">
        <f>IF(AF80="","",IF(AF80&lt;=EDATE(Assumptions!$B$4,Assumptions!$B$12),"Expires &lt; "&amp;Assumptions!$B$12&amp;" m","OK"))</f>
        <v/>
      </c>
    </row>
    <row r="81">
      <c r="A81" s="12" t="inlineStr">
        <is>
          <t>CMD-0077</t>
        </is>
      </c>
      <c r="B81" s="12">
        <f>INDEX(Items!$B$2:$B$117,MATCH($A81,Items!$A$2:$A$117,0))</f>
        <v/>
      </c>
      <c r="C81" s="12">
        <f>INDEX(Items!$C$2:$C$117,MATCH($A81,Items!$A$2:$A$117,0))</f>
        <v/>
      </c>
      <c r="D81" s="12">
        <f>INDEX(Items!$D$2:$D$117,MATCH($A81,Items!$A$2:$A$117,0))</f>
        <v/>
      </c>
      <c r="E81" s="27">
        <f>INDEX(Items!$E$2:$E$117,MATCH($A81,Items!$A$2:$A$117,0))</f>
        <v/>
      </c>
      <c r="F81" s="28">
        <f>SUM(INDEX(Demand!$N$2:$Y$117,MATCH($A81,Demand!$A$2:$A$117,0),0))</f>
        <v/>
      </c>
      <c r="G81" s="28">
        <f>F81/12</f>
        <v/>
      </c>
      <c r="H81" s="28">
        <f>STDEV(INDEX(Demand!$N$2:$Y$117,MATCH($A81,Demand!$A$2:$A$117,0),0))</f>
        <v/>
      </c>
      <c r="I81" s="29">
        <f>IF(G81&gt;0,H81/G81,0)</f>
        <v/>
      </c>
      <c r="J81" s="16">
        <f>F81*E81</f>
        <v/>
      </c>
      <c r="K81" s="11">
        <f>SUMIF($J$5:$J$120,"&gt;="&amp;J81)/SUM($J$5:$J$120)</f>
        <v/>
      </c>
      <c r="L81" s="12">
        <f>IF(K81&lt;=Assumptions!$B$7,"A",IF(K81&lt;=Assumptions!$B$8,"B","C"))</f>
        <v/>
      </c>
      <c r="M81" s="12">
        <f>IF(I81&lt;=Assumptions!$B$9,"X",IF(I81&lt;=Assumptions!$B$10,"Y","Z"))</f>
        <v/>
      </c>
      <c r="N81" s="12">
        <f>L81&amp;M81</f>
        <v/>
      </c>
      <c r="O81" s="11">
        <f>INDEX(Assumptions!$F$4:$F$6,MATCH(L81,Assumptions!$E$4:$E$6,0))</f>
        <v/>
      </c>
      <c r="P81" s="29">
        <f>NORMSINV(O81)</f>
        <v/>
      </c>
      <c r="Q81" s="30">
        <f>IFERROR(AVERAGEIFS(PO_Lines!$R$2:$R$2025,PO_Lines!$B$2:$B$2025,$A81,PO_Lines!$Q$2:$Q$2025,1),INDEX(Items!$F$2:$F$117,MATCH($A81,Items!$A$2:$A$117,0)))</f>
        <v/>
      </c>
      <c r="R81" s="30">
        <f>IFERROR(SQRT(SUMPRODUCT((PO_Lines!$B$2:$B$2025=$A81)*PO_Lines!$Q$2:$Q$2025*(PO_Lines!$R$2:$R$2025-Q81)^2)/(COUNTIFS(PO_Lines!$B$2:$B$2025,$A81,PO_Lines!$Q$2:$Q$2025,1)-1)),0)</f>
        <v/>
      </c>
      <c r="S81" s="28">
        <f>ROUNDUP(P81*SQRT((Q81/Assumptions!$B$11)*H81^2+G81^2*(R81/Assumptions!$B$11)^2),0)</f>
        <v/>
      </c>
      <c r="T81" s="28">
        <f>ROUNDUP(G81*Q81/Assumptions!$B$11+S81,0)</f>
        <v/>
      </c>
      <c r="U81" s="28">
        <f>ROUNDUP(MAX(INDEX(Items!$G$2:$G$117,MATCH($A81,Items!$A$2:$A$117,0)),SQRT(2*F81*Assumptions!$B$5/(Assumptions!$B$6*E81)),G81*Assumptions!$B$16),0)</f>
        <v/>
      </c>
      <c r="V81" s="28">
        <f>INDEX(Stock_Snapshot!$B$2:$B$117,MATCH($A81,Stock_Snapshot!$A$2:$A$117,0))</f>
        <v/>
      </c>
      <c r="W81" s="28">
        <f>INDEX(Stock_Snapshot!$C$2:$C$117,MATCH($A81,Stock_Snapshot!$A$2:$A$117,0))</f>
        <v/>
      </c>
      <c r="X81" s="28">
        <f>V81+W81</f>
        <v/>
      </c>
      <c r="Y81" s="10">
        <f>IF(G81&gt;0,V81/(G81/Assumptions!$B$11),999)</f>
        <v/>
      </c>
      <c r="Z81" s="28">
        <f>S81+U81</f>
        <v/>
      </c>
      <c r="AA81" s="12">
        <f>IF(V81&lt;S81,"Below safety stock",IF(X81&lt;=T81,"Reorder now",IF(V81&gt;Z81,"Excess","Healthy")))</f>
        <v/>
      </c>
      <c r="AB81" s="16">
        <f>V81*E81</f>
        <v/>
      </c>
      <c r="AC81" s="16">
        <f>MAX(0,V81-Z81)*E81</f>
        <v/>
      </c>
      <c r="AD81" s="28">
        <f>IF(X81&lt;=T81,ROUNDUP(T81+U81-X81,0),0)</f>
        <v/>
      </c>
      <c r="AE81" s="16">
        <f>MAX(0,T81-X81)*E81</f>
        <v/>
      </c>
      <c r="AF81" s="31">
        <f>IF(INDEX(Stock_Snapshot!$D$2:$D$117,MATCH($A81,Stock_Snapshot!$A$2:$A$117,0))="","",INDEX(Stock_Snapshot!$D$2:$D$117,MATCH($A81,Stock_Snapshot!$A$2:$A$117,0)))</f>
        <v/>
      </c>
      <c r="AG81" s="12">
        <f>IF(AF81="","",IF(AF81&lt;=EDATE(Assumptions!$B$4,Assumptions!$B$12),"Expires &lt; "&amp;Assumptions!$B$12&amp;" m","OK"))</f>
        <v/>
      </c>
    </row>
    <row r="82">
      <c r="A82" s="12" t="inlineStr">
        <is>
          <t>CMD-0078</t>
        </is>
      </c>
      <c r="B82" s="12">
        <f>INDEX(Items!$B$2:$B$117,MATCH($A82,Items!$A$2:$A$117,0))</f>
        <v/>
      </c>
      <c r="C82" s="12">
        <f>INDEX(Items!$C$2:$C$117,MATCH($A82,Items!$A$2:$A$117,0))</f>
        <v/>
      </c>
      <c r="D82" s="12">
        <f>INDEX(Items!$D$2:$D$117,MATCH($A82,Items!$A$2:$A$117,0))</f>
        <v/>
      </c>
      <c r="E82" s="27">
        <f>INDEX(Items!$E$2:$E$117,MATCH($A82,Items!$A$2:$A$117,0))</f>
        <v/>
      </c>
      <c r="F82" s="28">
        <f>SUM(INDEX(Demand!$N$2:$Y$117,MATCH($A82,Demand!$A$2:$A$117,0),0))</f>
        <v/>
      </c>
      <c r="G82" s="28">
        <f>F82/12</f>
        <v/>
      </c>
      <c r="H82" s="28">
        <f>STDEV(INDEX(Demand!$N$2:$Y$117,MATCH($A82,Demand!$A$2:$A$117,0),0))</f>
        <v/>
      </c>
      <c r="I82" s="29">
        <f>IF(G82&gt;0,H82/G82,0)</f>
        <v/>
      </c>
      <c r="J82" s="16">
        <f>F82*E82</f>
        <v/>
      </c>
      <c r="K82" s="11">
        <f>SUMIF($J$5:$J$120,"&gt;="&amp;J82)/SUM($J$5:$J$120)</f>
        <v/>
      </c>
      <c r="L82" s="12">
        <f>IF(K82&lt;=Assumptions!$B$7,"A",IF(K82&lt;=Assumptions!$B$8,"B","C"))</f>
        <v/>
      </c>
      <c r="M82" s="12">
        <f>IF(I82&lt;=Assumptions!$B$9,"X",IF(I82&lt;=Assumptions!$B$10,"Y","Z"))</f>
        <v/>
      </c>
      <c r="N82" s="12">
        <f>L82&amp;M82</f>
        <v/>
      </c>
      <c r="O82" s="11">
        <f>INDEX(Assumptions!$F$4:$F$6,MATCH(L82,Assumptions!$E$4:$E$6,0))</f>
        <v/>
      </c>
      <c r="P82" s="29">
        <f>NORMSINV(O82)</f>
        <v/>
      </c>
      <c r="Q82" s="30">
        <f>IFERROR(AVERAGEIFS(PO_Lines!$R$2:$R$2025,PO_Lines!$B$2:$B$2025,$A82,PO_Lines!$Q$2:$Q$2025,1),INDEX(Items!$F$2:$F$117,MATCH($A82,Items!$A$2:$A$117,0)))</f>
        <v/>
      </c>
      <c r="R82" s="30">
        <f>IFERROR(SQRT(SUMPRODUCT((PO_Lines!$B$2:$B$2025=$A82)*PO_Lines!$Q$2:$Q$2025*(PO_Lines!$R$2:$R$2025-Q82)^2)/(COUNTIFS(PO_Lines!$B$2:$B$2025,$A82,PO_Lines!$Q$2:$Q$2025,1)-1)),0)</f>
        <v/>
      </c>
      <c r="S82" s="28">
        <f>ROUNDUP(P82*SQRT((Q82/Assumptions!$B$11)*H82^2+G82^2*(R82/Assumptions!$B$11)^2),0)</f>
        <v/>
      </c>
      <c r="T82" s="28">
        <f>ROUNDUP(G82*Q82/Assumptions!$B$11+S82,0)</f>
        <v/>
      </c>
      <c r="U82" s="28">
        <f>ROUNDUP(MAX(INDEX(Items!$G$2:$G$117,MATCH($A82,Items!$A$2:$A$117,0)),SQRT(2*F82*Assumptions!$B$5/(Assumptions!$B$6*E82)),G82*Assumptions!$B$16),0)</f>
        <v/>
      </c>
      <c r="V82" s="28">
        <f>INDEX(Stock_Snapshot!$B$2:$B$117,MATCH($A82,Stock_Snapshot!$A$2:$A$117,0))</f>
        <v/>
      </c>
      <c r="W82" s="28">
        <f>INDEX(Stock_Snapshot!$C$2:$C$117,MATCH($A82,Stock_Snapshot!$A$2:$A$117,0))</f>
        <v/>
      </c>
      <c r="X82" s="28">
        <f>V82+W82</f>
        <v/>
      </c>
      <c r="Y82" s="10">
        <f>IF(G82&gt;0,V82/(G82/Assumptions!$B$11),999)</f>
        <v/>
      </c>
      <c r="Z82" s="28">
        <f>S82+U82</f>
        <v/>
      </c>
      <c r="AA82" s="12">
        <f>IF(V82&lt;S82,"Below safety stock",IF(X82&lt;=T82,"Reorder now",IF(V82&gt;Z82,"Excess","Healthy")))</f>
        <v/>
      </c>
      <c r="AB82" s="16">
        <f>V82*E82</f>
        <v/>
      </c>
      <c r="AC82" s="16">
        <f>MAX(0,V82-Z82)*E82</f>
        <v/>
      </c>
      <c r="AD82" s="28">
        <f>IF(X82&lt;=T82,ROUNDUP(T82+U82-X82,0),0)</f>
        <v/>
      </c>
      <c r="AE82" s="16">
        <f>MAX(0,T82-X82)*E82</f>
        <v/>
      </c>
      <c r="AF82" s="31">
        <f>IF(INDEX(Stock_Snapshot!$D$2:$D$117,MATCH($A82,Stock_Snapshot!$A$2:$A$117,0))="","",INDEX(Stock_Snapshot!$D$2:$D$117,MATCH($A82,Stock_Snapshot!$A$2:$A$117,0)))</f>
        <v/>
      </c>
      <c r="AG82" s="12">
        <f>IF(AF82="","",IF(AF82&lt;=EDATE(Assumptions!$B$4,Assumptions!$B$12),"Expires &lt; "&amp;Assumptions!$B$12&amp;" m","OK"))</f>
        <v/>
      </c>
    </row>
    <row r="83">
      <c r="A83" s="12" t="inlineStr">
        <is>
          <t>CMD-0079</t>
        </is>
      </c>
      <c r="B83" s="12">
        <f>INDEX(Items!$B$2:$B$117,MATCH($A83,Items!$A$2:$A$117,0))</f>
        <v/>
      </c>
      <c r="C83" s="12">
        <f>INDEX(Items!$C$2:$C$117,MATCH($A83,Items!$A$2:$A$117,0))</f>
        <v/>
      </c>
      <c r="D83" s="12">
        <f>INDEX(Items!$D$2:$D$117,MATCH($A83,Items!$A$2:$A$117,0))</f>
        <v/>
      </c>
      <c r="E83" s="27">
        <f>INDEX(Items!$E$2:$E$117,MATCH($A83,Items!$A$2:$A$117,0))</f>
        <v/>
      </c>
      <c r="F83" s="28">
        <f>SUM(INDEX(Demand!$N$2:$Y$117,MATCH($A83,Demand!$A$2:$A$117,0),0))</f>
        <v/>
      </c>
      <c r="G83" s="28">
        <f>F83/12</f>
        <v/>
      </c>
      <c r="H83" s="28">
        <f>STDEV(INDEX(Demand!$N$2:$Y$117,MATCH($A83,Demand!$A$2:$A$117,0),0))</f>
        <v/>
      </c>
      <c r="I83" s="29">
        <f>IF(G83&gt;0,H83/G83,0)</f>
        <v/>
      </c>
      <c r="J83" s="16">
        <f>F83*E83</f>
        <v/>
      </c>
      <c r="K83" s="11">
        <f>SUMIF($J$5:$J$120,"&gt;="&amp;J83)/SUM($J$5:$J$120)</f>
        <v/>
      </c>
      <c r="L83" s="12">
        <f>IF(K83&lt;=Assumptions!$B$7,"A",IF(K83&lt;=Assumptions!$B$8,"B","C"))</f>
        <v/>
      </c>
      <c r="M83" s="12">
        <f>IF(I83&lt;=Assumptions!$B$9,"X",IF(I83&lt;=Assumptions!$B$10,"Y","Z"))</f>
        <v/>
      </c>
      <c r="N83" s="12">
        <f>L83&amp;M83</f>
        <v/>
      </c>
      <c r="O83" s="11">
        <f>INDEX(Assumptions!$F$4:$F$6,MATCH(L83,Assumptions!$E$4:$E$6,0))</f>
        <v/>
      </c>
      <c r="P83" s="29">
        <f>NORMSINV(O83)</f>
        <v/>
      </c>
      <c r="Q83" s="30">
        <f>IFERROR(AVERAGEIFS(PO_Lines!$R$2:$R$2025,PO_Lines!$B$2:$B$2025,$A83,PO_Lines!$Q$2:$Q$2025,1),INDEX(Items!$F$2:$F$117,MATCH($A83,Items!$A$2:$A$117,0)))</f>
        <v/>
      </c>
      <c r="R83" s="30">
        <f>IFERROR(SQRT(SUMPRODUCT((PO_Lines!$B$2:$B$2025=$A83)*PO_Lines!$Q$2:$Q$2025*(PO_Lines!$R$2:$R$2025-Q83)^2)/(COUNTIFS(PO_Lines!$B$2:$B$2025,$A83,PO_Lines!$Q$2:$Q$2025,1)-1)),0)</f>
        <v/>
      </c>
      <c r="S83" s="28">
        <f>ROUNDUP(P83*SQRT((Q83/Assumptions!$B$11)*H83^2+G83^2*(R83/Assumptions!$B$11)^2),0)</f>
        <v/>
      </c>
      <c r="T83" s="28">
        <f>ROUNDUP(G83*Q83/Assumptions!$B$11+S83,0)</f>
        <v/>
      </c>
      <c r="U83" s="28">
        <f>ROUNDUP(MAX(INDEX(Items!$G$2:$G$117,MATCH($A83,Items!$A$2:$A$117,0)),SQRT(2*F83*Assumptions!$B$5/(Assumptions!$B$6*E83)),G83*Assumptions!$B$16),0)</f>
        <v/>
      </c>
      <c r="V83" s="28">
        <f>INDEX(Stock_Snapshot!$B$2:$B$117,MATCH($A83,Stock_Snapshot!$A$2:$A$117,0))</f>
        <v/>
      </c>
      <c r="W83" s="28">
        <f>INDEX(Stock_Snapshot!$C$2:$C$117,MATCH($A83,Stock_Snapshot!$A$2:$A$117,0))</f>
        <v/>
      </c>
      <c r="X83" s="28">
        <f>V83+W83</f>
        <v/>
      </c>
      <c r="Y83" s="10">
        <f>IF(G83&gt;0,V83/(G83/Assumptions!$B$11),999)</f>
        <v/>
      </c>
      <c r="Z83" s="28">
        <f>S83+U83</f>
        <v/>
      </c>
      <c r="AA83" s="12">
        <f>IF(V83&lt;S83,"Below safety stock",IF(X83&lt;=T83,"Reorder now",IF(V83&gt;Z83,"Excess","Healthy")))</f>
        <v/>
      </c>
      <c r="AB83" s="16">
        <f>V83*E83</f>
        <v/>
      </c>
      <c r="AC83" s="16">
        <f>MAX(0,V83-Z83)*E83</f>
        <v/>
      </c>
      <c r="AD83" s="28">
        <f>IF(X83&lt;=T83,ROUNDUP(T83+U83-X83,0),0)</f>
        <v/>
      </c>
      <c r="AE83" s="16">
        <f>MAX(0,T83-X83)*E83</f>
        <v/>
      </c>
      <c r="AF83" s="31">
        <f>IF(INDEX(Stock_Snapshot!$D$2:$D$117,MATCH($A83,Stock_Snapshot!$A$2:$A$117,0))="","",INDEX(Stock_Snapshot!$D$2:$D$117,MATCH($A83,Stock_Snapshot!$A$2:$A$117,0)))</f>
        <v/>
      </c>
      <c r="AG83" s="12">
        <f>IF(AF83="","",IF(AF83&lt;=EDATE(Assumptions!$B$4,Assumptions!$B$12),"Expires &lt; "&amp;Assumptions!$B$12&amp;" m","OK"))</f>
        <v/>
      </c>
    </row>
    <row r="84">
      <c r="A84" s="12" t="inlineStr">
        <is>
          <t>CMD-0080</t>
        </is>
      </c>
      <c r="B84" s="12">
        <f>INDEX(Items!$B$2:$B$117,MATCH($A84,Items!$A$2:$A$117,0))</f>
        <v/>
      </c>
      <c r="C84" s="12">
        <f>INDEX(Items!$C$2:$C$117,MATCH($A84,Items!$A$2:$A$117,0))</f>
        <v/>
      </c>
      <c r="D84" s="12">
        <f>INDEX(Items!$D$2:$D$117,MATCH($A84,Items!$A$2:$A$117,0))</f>
        <v/>
      </c>
      <c r="E84" s="27">
        <f>INDEX(Items!$E$2:$E$117,MATCH($A84,Items!$A$2:$A$117,0))</f>
        <v/>
      </c>
      <c r="F84" s="28">
        <f>SUM(INDEX(Demand!$N$2:$Y$117,MATCH($A84,Demand!$A$2:$A$117,0),0))</f>
        <v/>
      </c>
      <c r="G84" s="28">
        <f>F84/12</f>
        <v/>
      </c>
      <c r="H84" s="28">
        <f>STDEV(INDEX(Demand!$N$2:$Y$117,MATCH($A84,Demand!$A$2:$A$117,0),0))</f>
        <v/>
      </c>
      <c r="I84" s="29">
        <f>IF(G84&gt;0,H84/G84,0)</f>
        <v/>
      </c>
      <c r="J84" s="16">
        <f>F84*E84</f>
        <v/>
      </c>
      <c r="K84" s="11">
        <f>SUMIF($J$5:$J$120,"&gt;="&amp;J84)/SUM($J$5:$J$120)</f>
        <v/>
      </c>
      <c r="L84" s="12">
        <f>IF(K84&lt;=Assumptions!$B$7,"A",IF(K84&lt;=Assumptions!$B$8,"B","C"))</f>
        <v/>
      </c>
      <c r="M84" s="12">
        <f>IF(I84&lt;=Assumptions!$B$9,"X",IF(I84&lt;=Assumptions!$B$10,"Y","Z"))</f>
        <v/>
      </c>
      <c r="N84" s="12">
        <f>L84&amp;M84</f>
        <v/>
      </c>
      <c r="O84" s="11">
        <f>INDEX(Assumptions!$F$4:$F$6,MATCH(L84,Assumptions!$E$4:$E$6,0))</f>
        <v/>
      </c>
      <c r="P84" s="29">
        <f>NORMSINV(O84)</f>
        <v/>
      </c>
      <c r="Q84" s="30">
        <f>IFERROR(AVERAGEIFS(PO_Lines!$R$2:$R$2025,PO_Lines!$B$2:$B$2025,$A84,PO_Lines!$Q$2:$Q$2025,1),INDEX(Items!$F$2:$F$117,MATCH($A84,Items!$A$2:$A$117,0)))</f>
        <v/>
      </c>
      <c r="R84" s="30">
        <f>IFERROR(SQRT(SUMPRODUCT((PO_Lines!$B$2:$B$2025=$A84)*PO_Lines!$Q$2:$Q$2025*(PO_Lines!$R$2:$R$2025-Q84)^2)/(COUNTIFS(PO_Lines!$B$2:$B$2025,$A84,PO_Lines!$Q$2:$Q$2025,1)-1)),0)</f>
        <v/>
      </c>
      <c r="S84" s="28">
        <f>ROUNDUP(P84*SQRT((Q84/Assumptions!$B$11)*H84^2+G84^2*(R84/Assumptions!$B$11)^2),0)</f>
        <v/>
      </c>
      <c r="T84" s="28">
        <f>ROUNDUP(G84*Q84/Assumptions!$B$11+S84,0)</f>
        <v/>
      </c>
      <c r="U84" s="28">
        <f>ROUNDUP(MAX(INDEX(Items!$G$2:$G$117,MATCH($A84,Items!$A$2:$A$117,0)),SQRT(2*F84*Assumptions!$B$5/(Assumptions!$B$6*E84)),G84*Assumptions!$B$16),0)</f>
        <v/>
      </c>
      <c r="V84" s="28">
        <f>INDEX(Stock_Snapshot!$B$2:$B$117,MATCH($A84,Stock_Snapshot!$A$2:$A$117,0))</f>
        <v/>
      </c>
      <c r="W84" s="28">
        <f>INDEX(Stock_Snapshot!$C$2:$C$117,MATCH($A84,Stock_Snapshot!$A$2:$A$117,0))</f>
        <v/>
      </c>
      <c r="X84" s="28">
        <f>V84+W84</f>
        <v/>
      </c>
      <c r="Y84" s="10">
        <f>IF(G84&gt;0,V84/(G84/Assumptions!$B$11),999)</f>
        <v/>
      </c>
      <c r="Z84" s="28">
        <f>S84+U84</f>
        <v/>
      </c>
      <c r="AA84" s="12">
        <f>IF(V84&lt;S84,"Below safety stock",IF(X84&lt;=T84,"Reorder now",IF(V84&gt;Z84,"Excess","Healthy")))</f>
        <v/>
      </c>
      <c r="AB84" s="16">
        <f>V84*E84</f>
        <v/>
      </c>
      <c r="AC84" s="16">
        <f>MAX(0,V84-Z84)*E84</f>
        <v/>
      </c>
      <c r="AD84" s="28">
        <f>IF(X84&lt;=T84,ROUNDUP(T84+U84-X84,0),0)</f>
        <v/>
      </c>
      <c r="AE84" s="16">
        <f>MAX(0,T84-X84)*E84</f>
        <v/>
      </c>
      <c r="AF84" s="31">
        <f>IF(INDEX(Stock_Snapshot!$D$2:$D$117,MATCH($A84,Stock_Snapshot!$A$2:$A$117,0))="","",INDEX(Stock_Snapshot!$D$2:$D$117,MATCH($A84,Stock_Snapshot!$A$2:$A$117,0)))</f>
        <v/>
      </c>
      <c r="AG84" s="12">
        <f>IF(AF84="","",IF(AF84&lt;=EDATE(Assumptions!$B$4,Assumptions!$B$12),"Expires &lt; "&amp;Assumptions!$B$12&amp;" m","OK"))</f>
        <v/>
      </c>
    </row>
    <row r="85">
      <c r="A85" s="12" t="inlineStr">
        <is>
          <t>CMD-0081</t>
        </is>
      </c>
      <c r="B85" s="12">
        <f>INDEX(Items!$B$2:$B$117,MATCH($A85,Items!$A$2:$A$117,0))</f>
        <v/>
      </c>
      <c r="C85" s="12">
        <f>INDEX(Items!$C$2:$C$117,MATCH($A85,Items!$A$2:$A$117,0))</f>
        <v/>
      </c>
      <c r="D85" s="12">
        <f>INDEX(Items!$D$2:$D$117,MATCH($A85,Items!$A$2:$A$117,0))</f>
        <v/>
      </c>
      <c r="E85" s="27">
        <f>INDEX(Items!$E$2:$E$117,MATCH($A85,Items!$A$2:$A$117,0))</f>
        <v/>
      </c>
      <c r="F85" s="28">
        <f>SUM(INDEX(Demand!$N$2:$Y$117,MATCH($A85,Demand!$A$2:$A$117,0),0))</f>
        <v/>
      </c>
      <c r="G85" s="28">
        <f>F85/12</f>
        <v/>
      </c>
      <c r="H85" s="28">
        <f>STDEV(INDEX(Demand!$N$2:$Y$117,MATCH($A85,Demand!$A$2:$A$117,0),0))</f>
        <v/>
      </c>
      <c r="I85" s="29">
        <f>IF(G85&gt;0,H85/G85,0)</f>
        <v/>
      </c>
      <c r="J85" s="16">
        <f>F85*E85</f>
        <v/>
      </c>
      <c r="K85" s="11">
        <f>SUMIF($J$5:$J$120,"&gt;="&amp;J85)/SUM($J$5:$J$120)</f>
        <v/>
      </c>
      <c r="L85" s="12">
        <f>IF(K85&lt;=Assumptions!$B$7,"A",IF(K85&lt;=Assumptions!$B$8,"B","C"))</f>
        <v/>
      </c>
      <c r="M85" s="12">
        <f>IF(I85&lt;=Assumptions!$B$9,"X",IF(I85&lt;=Assumptions!$B$10,"Y","Z"))</f>
        <v/>
      </c>
      <c r="N85" s="12">
        <f>L85&amp;M85</f>
        <v/>
      </c>
      <c r="O85" s="11">
        <f>INDEX(Assumptions!$F$4:$F$6,MATCH(L85,Assumptions!$E$4:$E$6,0))</f>
        <v/>
      </c>
      <c r="P85" s="29">
        <f>NORMSINV(O85)</f>
        <v/>
      </c>
      <c r="Q85" s="30">
        <f>IFERROR(AVERAGEIFS(PO_Lines!$R$2:$R$2025,PO_Lines!$B$2:$B$2025,$A85,PO_Lines!$Q$2:$Q$2025,1),INDEX(Items!$F$2:$F$117,MATCH($A85,Items!$A$2:$A$117,0)))</f>
        <v/>
      </c>
      <c r="R85" s="30">
        <f>IFERROR(SQRT(SUMPRODUCT((PO_Lines!$B$2:$B$2025=$A85)*PO_Lines!$Q$2:$Q$2025*(PO_Lines!$R$2:$R$2025-Q85)^2)/(COUNTIFS(PO_Lines!$B$2:$B$2025,$A85,PO_Lines!$Q$2:$Q$2025,1)-1)),0)</f>
        <v/>
      </c>
      <c r="S85" s="28">
        <f>ROUNDUP(P85*SQRT((Q85/Assumptions!$B$11)*H85^2+G85^2*(R85/Assumptions!$B$11)^2),0)</f>
        <v/>
      </c>
      <c r="T85" s="28">
        <f>ROUNDUP(G85*Q85/Assumptions!$B$11+S85,0)</f>
        <v/>
      </c>
      <c r="U85" s="28">
        <f>ROUNDUP(MAX(INDEX(Items!$G$2:$G$117,MATCH($A85,Items!$A$2:$A$117,0)),SQRT(2*F85*Assumptions!$B$5/(Assumptions!$B$6*E85)),G85*Assumptions!$B$16),0)</f>
        <v/>
      </c>
      <c r="V85" s="28">
        <f>INDEX(Stock_Snapshot!$B$2:$B$117,MATCH($A85,Stock_Snapshot!$A$2:$A$117,0))</f>
        <v/>
      </c>
      <c r="W85" s="28">
        <f>INDEX(Stock_Snapshot!$C$2:$C$117,MATCH($A85,Stock_Snapshot!$A$2:$A$117,0))</f>
        <v/>
      </c>
      <c r="X85" s="28">
        <f>V85+W85</f>
        <v/>
      </c>
      <c r="Y85" s="10">
        <f>IF(G85&gt;0,V85/(G85/Assumptions!$B$11),999)</f>
        <v/>
      </c>
      <c r="Z85" s="28">
        <f>S85+U85</f>
        <v/>
      </c>
      <c r="AA85" s="12">
        <f>IF(V85&lt;S85,"Below safety stock",IF(X85&lt;=T85,"Reorder now",IF(V85&gt;Z85,"Excess","Healthy")))</f>
        <v/>
      </c>
      <c r="AB85" s="16">
        <f>V85*E85</f>
        <v/>
      </c>
      <c r="AC85" s="16">
        <f>MAX(0,V85-Z85)*E85</f>
        <v/>
      </c>
      <c r="AD85" s="28">
        <f>IF(X85&lt;=T85,ROUNDUP(T85+U85-X85,0),0)</f>
        <v/>
      </c>
      <c r="AE85" s="16">
        <f>MAX(0,T85-X85)*E85</f>
        <v/>
      </c>
      <c r="AF85" s="31">
        <f>IF(INDEX(Stock_Snapshot!$D$2:$D$117,MATCH($A85,Stock_Snapshot!$A$2:$A$117,0))="","",INDEX(Stock_Snapshot!$D$2:$D$117,MATCH($A85,Stock_Snapshot!$A$2:$A$117,0)))</f>
        <v/>
      </c>
      <c r="AG85" s="12">
        <f>IF(AF85="","",IF(AF85&lt;=EDATE(Assumptions!$B$4,Assumptions!$B$12),"Expires &lt; "&amp;Assumptions!$B$12&amp;" m","OK"))</f>
        <v/>
      </c>
    </row>
    <row r="86">
      <c r="A86" s="12" t="inlineStr">
        <is>
          <t>CMD-0082</t>
        </is>
      </c>
      <c r="B86" s="12">
        <f>INDEX(Items!$B$2:$B$117,MATCH($A86,Items!$A$2:$A$117,0))</f>
        <v/>
      </c>
      <c r="C86" s="12">
        <f>INDEX(Items!$C$2:$C$117,MATCH($A86,Items!$A$2:$A$117,0))</f>
        <v/>
      </c>
      <c r="D86" s="12">
        <f>INDEX(Items!$D$2:$D$117,MATCH($A86,Items!$A$2:$A$117,0))</f>
        <v/>
      </c>
      <c r="E86" s="27">
        <f>INDEX(Items!$E$2:$E$117,MATCH($A86,Items!$A$2:$A$117,0))</f>
        <v/>
      </c>
      <c r="F86" s="28">
        <f>SUM(INDEX(Demand!$N$2:$Y$117,MATCH($A86,Demand!$A$2:$A$117,0),0))</f>
        <v/>
      </c>
      <c r="G86" s="28">
        <f>F86/12</f>
        <v/>
      </c>
      <c r="H86" s="28">
        <f>STDEV(INDEX(Demand!$N$2:$Y$117,MATCH($A86,Demand!$A$2:$A$117,0),0))</f>
        <v/>
      </c>
      <c r="I86" s="29">
        <f>IF(G86&gt;0,H86/G86,0)</f>
        <v/>
      </c>
      <c r="J86" s="16">
        <f>F86*E86</f>
        <v/>
      </c>
      <c r="K86" s="11">
        <f>SUMIF($J$5:$J$120,"&gt;="&amp;J86)/SUM($J$5:$J$120)</f>
        <v/>
      </c>
      <c r="L86" s="12">
        <f>IF(K86&lt;=Assumptions!$B$7,"A",IF(K86&lt;=Assumptions!$B$8,"B","C"))</f>
        <v/>
      </c>
      <c r="M86" s="12">
        <f>IF(I86&lt;=Assumptions!$B$9,"X",IF(I86&lt;=Assumptions!$B$10,"Y","Z"))</f>
        <v/>
      </c>
      <c r="N86" s="12">
        <f>L86&amp;M86</f>
        <v/>
      </c>
      <c r="O86" s="11">
        <f>INDEX(Assumptions!$F$4:$F$6,MATCH(L86,Assumptions!$E$4:$E$6,0))</f>
        <v/>
      </c>
      <c r="P86" s="29">
        <f>NORMSINV(O86)</f>
        <v/>
      </c>
      <c r="Q86" s="30">
        <f>IFERROR(AVERAGEIFS(PO_Lines!$R$2:$R$2025,PO_Lines!$B$2:$B$2025,$A86,PO_Lines!$Q$2:$Q$2025,1),INDEX(Items!$F$2:$F$117,MATCH($A86,Items!$A$2:$A$117,0)))</f>
        <v/>
      </c>
      <c r="R86" s="30">
        <f>IFERROR(SQRT(SUMPRODUCT((PO_Lines!$B$2:$B$2025=$A86)*PO_Lines!$Q$2:$Q$2025*(PO_Lines!$R$2:$R$2025-Q86)^2)/(COUNTIFS(PO_Lines!$B$2:$B$2025,$A86,PO_Lines!$Q$2:$Q$2025,1)-1)),0)</f>
        <v/>
      </c>
      <c r="S86" s="28">
        <f>ROUNDUP(P86*SQRT((Q86/Assumptions!$B$11)*H86^2+G86^2*(R86/Assumptions!$B$11)^2),0)</f>
        <v/>
      </c>
      <c r="T86" s="28">
        <f>ROUNDUP(G86*Q86/Assumptions!$B$11+S86,0)</f>
        <v/>
      </c>
      <c r="U86" s="28">
        <f>ROUNDUP(MAX(INDEX(Items!$G$2:$G$117,MATCH($A86,Items!$A$2:$A$117,0)),SQRT(2*F86*Assumptions!$B$5/(Assumptions!$B$6*E86)),G86*Assumptions!$B$16),0)</f>
        <v/>
      </c>
      <c r="V86" s="28">
        <f>INDEX(Stock_Snapshot!$B$2:$B$117,MATCH($A86,Stock_Snapshot!$A$2:$A$117,0))</f>
        <v/>
      </c>
      <c r="W86" s="28">
        <f>INDEX(Stock_Snapshot!$C$2:$C$117,MATCH($A86,Stock_Snapshot!$A$2:$A$117,0))</f>
        <v/>
      </c>
      <c r="X86" s="28">
        <f>V86+W86</f>
        <v/>
      </c>
      <c r="Y86" s="10">
        <f>IF(G86&gt;0,V86/(G86/Assumptions!$B$11),999)</f>
        <v/>
      </c>
      <c r="Z86" s="28">
        <f>S86+U86</f>
        <v/>
      </c>
      <c r="AA86" s="12">
        <f>IF(V86&lt;S86,"Below safety stock",IF(X86&lt;=T86,"Reorder now",IF(V86&gt;Z86,"Excess","Healthy")))</f>
        <v/>
      </c>
      <c r="AB86" s="16">
        <f>V86*E86</f>
        <v/>
      </c>
      <c r="AC86" s="16">
        <f>MAX(0,V86-Z86)*E86</f>
        <v/>
      </c>
      <c r="AD86" s="28">
        <f>IF(X86&lt;=T86,ROUNDUP(T86+U86-X86,0),0)</f>
        <v/>
      </c>
      <c r="AE86" s="16">
        <f>MAX(0,T86-X86)*E86</f>
        <v/>
      </c>
      <c r="AF86" s="31">
        <f>IF(INDEX(Stock_Snapshot!$D$2:$D$117,MATCH($A86,Stock_Snapshot!$A$2:$A$117,0))="","",INDEX(Stock_Snapshot!$D$2:$D$117,MATCH($A86,Stock_Snapshot!$A$2:$A$117,0)))</f>
        <v/>
      </c>
      <c r="AG86" s="12">
        <f>IF(AF86="","",IF(AF86&lt;=EDATE(Assumptions!$B$4,Assumptions!$B$12),"Expires &lt; "&amp;Assumptions!$B$12&amp;" m","OK"))</f>
        <v/>
      </c>
    </row>
    <row r="87">
      <c r="A87" s="12" t="inlineStr">
        <is>
          <t>CMD-0083</t>
        </is>
      </c>
      <c r="B87" s="12">
        <f>INDEX(Items!$B$2:$B$117,MATCH($A87,Items!$A$2:$A$117,0))</f>
        <v/>
      </c>
      <c r="C87" s="12">
        <f>INDEX(Items!$C$2:$C$117,MATCH($A87,Items!$A$2:$A$117,0))</f>
        <v/>
      </c>
      <c r="D87" s="12">
        <f>INDEX(Items!$D$2:$D$117,MATCH($A87,Items!$A$2:$A$117,0))</f>
        <v/>
      </c>
      <c r="E87" s="27">
        <f>INDEX(Items!$E$2:$E$117,MATCH($A87,Items!$A$2:$A$117,0))</f>
        <v/>
      </c>
      <c r="F87" s="28">
        <f>SUM(INDEX(Demand!$N$2:$Y$117,MATCH($A87,Demand!$A$2:$A$117,0),0))</f>
        <v/>
      </c>
      <c r="G87" s="28">
        <f>F87/12</f>
        <v/>
      </c>
      <c r="H87" s="28">
        <f>STDEV(INDEX(Demand!$N$2:$Y$117,MATCH($A87,Demand!$A$2:$A$117,0),0))</f>
        <v/>
      </c>
      <c r="I87" s="29">
        <f>IF(G87&gt;0,H87/G87,0)</f>
        <v/>
      </c>
      <c r="J87" s="16">
        <f>F87*E87</f>
        <v/>
      </c>
      <c r="K87" s="11">
        <f>SUMIF($J$5:$J$120,"&gt;="&amp;J87)/SUM($J$5:$J$120)</f>
        <v/>
      </c>
      <c r="L87" s="12">
        <f>IF(K87&lt;=Assumptions!$B$7,"A",IF(K87&lt;=Assumptions!$B$8,"B","C"))</f>
        <v/>
      </c>
      <c r="M87" s="12">
        <f>IF(I87&lt;=Assumptions!$B$9,"X",IF(I87&lt;=Assumptions!$B$10,"Y","Z"))</f>
        <v/>
      </c>
      <c r="N87" s="12">
        <f>L87&amp;M87</f>
        <v/>
      </c>
      <c r="O87" s="11">
        <f>INDEX(Assumptions!$F$4:$F$6,MATCH(L87,Assumptions!$E$4:$E$6,0))</f>
        <v/>
      </c>
      <c r="P87" s="29">
        <f>NORMSINV(O87)</f>
        <v/>
      </c>
      <c r="Q87" s="30">
        <f>IFERROR(AVERAGEIFS(PO_Lines!$R$2:$R$2025,PO_Lines!$B$2:$B$2025,$A87,PO_Lines!$Q$2:$Q$2025,1),INDEX(Items!$F$2:$F$117,MATCH($A87,Items!$A$2:$A$117,0)))</f>
        <v/>
      </c>
      <c r="R87" s="30">
        <f>IFERROR(SQRT(SUMPRODUCT((PO_Lines!$B$2:$B$2025=$A87)*PO_Lines!$Q$2:$Q$2025*(PO_Lines!$R$2:$R$2025-Q87)^2)/(COUNTIFS(PO_Lines!$B$2:$B$2025,$A87,PO_Lines!$Q$2:$Q$2025,1)-1)),0)</f>
        <v/>
      </c>
      <c r="S87" s="28">
        <f>ROUNDUP(P87*SQRT((Q87/Assumptions!$B$11)*H87^2+G87^2*(R87/Assumptions!$B$11)^2),0)</f>
        <v/>
      </c>
      <c r="T87" s="28">
        <f>ROUNDUP(G87*Q87/Assumptions!$B$11+S87,0)</f>
        <v/>
      </c>
      <c r="U87" s="28">
        <f>ROUNDUP(MAX(INDEX(Items!$G$2:$G$117,MATCH($A87,Items!$A$2:$A$117,0)),SQRT(2*F87*Assumptions!$B$5/(Assumptions!$B$6*E87)),G87*Assumptions!$B$16),0)</f>
        <v/>
      </c>
      <c r="V87" s="28">
        <f>INDEX(Stock_Snapshot!$B$2:$B$117,MATCH($A87,Stock_Snapshot!$A$2:$A$117,0))</f>
        <v/>
      </c>
      <c r="W87" s="28">
        <f>INDEX(Stock_Snapshot!$C$2:$C$117,MATCH($A87,Stock_Snapshot!$A$2:$A$117,0))</f>
        <v/>
      </c>
      <c r="X87" s="28">
        <f>V87+W87</f>
        <v/>
      </c>
      <c r="Y87" s="10">
        <f>IF(G87&gt;0,V87/(G87/Assumptions!$B$11),999)</f>
        <v/>
      </c>
      <c r="Z87" s="28">
        <f>S87+U87</f>
        <v/>
      </c>
      <c r="AA87" s="12">
        <f>IF(V87&lt;S87,"Below safety stock",IF(X87&lt;=T87,"Reorder now",IF(V87&gt;Z87,"Excess","Healthy")))</f>
        <v/>
      </c>
      <c r="AB87" s="16">
        <f>V87*E87</f>
        <v/>
      </c>
      <c r="AC87" s="16">
        <f>MAX(0,V87-Z87)*E87</f>
        <v/>
      </c>
      <c r="AD87" s="28">
        <f>IF(X87&lt;=T87,ROUNDUP(T87+U87-X87,0),0)</f>
        <v/>
      </c>
      <c r="AE87" s="16">
        <f>MAX(0,T87-X87)*E87</f>
        <v/>
      </c>
      <c r="AF87" s="31">
        <f>IF(INDEX(Stock_Snapshot!$D$2:$D$117,MATCH($A87,Stock_Snapshot!$A$2:$A$117,0))="","",INDEX(Stock_Snapshot!$D$2:$D$117,MATCH($A87,Stock_Snapshot!$A$2:$A$117,0)))</f>
        <v/>
      </c>
      <c r="AG87" s="12">
        <f>IF(AF87="","",IF(AF87&lt;=EDATE(Assumptions!$B$4,Assumptions!$B$12),"Expires &lt; "&amp;Assumptions!$B$12&amp;" m","OK"))</f>
        <v/>
      </c>
    </row>
    <row r="88">
      <c r="A88" s="12" t="inlineStr">
        <is>
          <t>CMD-0084</t>
        </is>
      </c>
      <c r="B88" s="12">
        <f>INDEX(Items!$B$2:$B$117,MATCH($A88,Items!$A$2:$A$117,0))</f>
        <v/>
      </c>
      <c r="C88" s="12">
        <f>INDEX(Items!$C$2:$C$117,MATCH($A88,Items!$A$2:$A$117,0))</f>
        <v/>
      </c>
      <c r="D88" s="12">
        <f>INDEX(Items!$D$2:$D$117,MATCH($A88,Items!$A$2:$A$117,0))</f>
        <v/>
      </c>
      <c r="E88" s="27">
        <f>INDEX(Items!$E$2:$E$117,MATCH($A88,Items!$A$2:$A$117,0))</f>
        <v/>
      </c>
      <c r="F88" s="28">
        <f>SUM(INDEX(Demand!$N$2:$Y$117,MATCH($A88,Demand!$A$2:$A$117,0),0))</f>
        <v/>
      </c>
      <c r="G88" s="28">
        <f>F88/12</f>
        <v/>
      </c>
      <c r="H88" s="28">
        <f>STDEV(INDEX(Demand!$N$2:$Y$117,MATCH($A88,Demand!$A$2:$A$117,0),0))</f>
        <v/>
      </c>
      <c r="I88" s="29">
        <f>IF(G88&gt;0,H88/G88,0)</f>
        <v/>
      </c>
      <c r="J88" s="16">
        <f>F88*E88</f>
        <v/>
      </c>
      <c r="K88" s="11">
        <f>SUMIF($J$5:$J$120,"&gt;="&amp;J88)/SUM($J$5:$J$120)</f>
        <v/>
      </c>
      <c r="L88" s="12">
        <f>IF(K88&lt;=Assumptions!$B$7,"A",IF(K88&lt;=Assumptions!$B$8,"B","C"))</f>
        <v/>
      </c>
      <c r="M88" s="12">
        <f>IF(I88&lt;=Assumptions!$B$9,"X",IF(I88&lt;=Assumptions!$B$10,"Y","Z"))</f>
        <v/>
      </c>
      <c r="N88" s="12">
        <f>L88&amp;M88</f>
        <v/>
      </c>
      <c r="O88" s="11">
        <f>INDEX(Assumptions!$F$4:$F$6,MATCH(L88,Assumptions!$E$4:$E$6,0))</f>
        <v/>
      </c>
      <c r="P88" s="29">
        <f>NORMSINV(O88)</f>
        <v/>
      </c>
      <c r="Q88" s="30">
        <f>IFERROR(AVERAGEIFS(PO_Lines!$R$2:$R$2025,PO_Lines!$B$2:$B$2025,$A88,PO_Lines!$Q$2:$Q$2025,1),INDEX(Items!$F$2:$F$117,MATCH($A88,Items!$A$2:$A$117,0)))</f>
        <v/>
      </c>
      <c r="R88" s="30">
        <f>IFERROR(SQRT(SUMPRODUCT((PO_Lines!$B$2:$B$2025=$A88)*PO_Lines!$Q$2:$Q$2025*(PO_Lines!$R$2:$R$2025-Q88)^2)/(COUNTIFS(PO_Lines!$B$2:$B$2025,$A88,PO_Lines!$Q$2:$Q$2025,1)-1)),0)</f>
        <v/>
      </c>
      <c r="S88" s="28">
        <f>ROUNDUP(P88*SQRT((Q88/Assumptions!$B$11)*H88^2+G88^2*(R88/Assumptions!$B$11)^2),0)</f>
        <v/>
      </c>
      <c r="T88" s="28">
        <f>ROUNDUP(G88*Q88/Assumptions!$B$11+S88,0)</f>
        <v/>
      </c>
      <c r="U88" s="28">
        <f>ROUNDUP(MAX(INDEX(Items!$G$2:$G$117,MATCH($A88,Items!$A$2:$A$117,0)),SQRT(2*F88*Assumptions!$B$5/(Assumptions!$B$6*E88)),G88*Assumptions!$B$16),0)</f>
        <v/>
      </c>
      <c r="V88" s="28">
        <f>INDEX(Stock_Snapshot!$B$2:$B$117,MATCH($A88,Stock_Snapshot!$A$2:$A$117,0))</f>
        <v/>
      </c>
      <c r="W88" s="28">
        <f>INDEX(Stock_Snapshot!$C$2:$C$117,MATCH($A88,Stock_Snapshot!$A$2:$A$117,0))</f>
        <v/>
      </c>
      <c r="X88" s="28">
        <f>V88+W88</f>
        <v/>
      </c>
      <c r="Y88" s="10">
        <f>IF(G88&gt;0,V88/(G88/Assumptions!$B$11),999)</f>
        <v/>
      </c>
      <c r="Z88" s="28">
        <f>S88+U88</f>
        <v/>
      </c>
      <c r="AA88" s="12">
        <f>IF(V88&lt;S88,"Below safety stock",IF(X88&lt;=T88,"Reorder now",IF(V88&gt;Z88,"Excess","Healthy")))</f>
        <v/>
      </c>
      <c r="AB88" s="16">
        <f>V88*E88</f>
        <v/>
      </c>
      <c r="AC88" s="16">
        <f>MAX(0,V88-Z88)*E88</f>
        <v/>
      </c>
      <c r="AD88" s="28">
        <f>IF(X88&lt;=T88,ROUNDUP(T88+U88-X88,0),0)</f>
        <v/>
      </c>
      <c r="AE88" s="16">
        <f>MAX(0,T88-X88)*E88</f>
        <v/>
      </c>
      <c r="AF88" s="31">
        <f>IF(INDEX(Stock_Snapshot!$D$2:$D$117,MATCH($A88,Stock_Snapshot!$A$2:$A$117,0))="","",INDEX(Stock_Snapshot!$D$2:$D$117,MATCH($A88,Stock_Snapshot!$A$2:$A$117,0)))</f>
        <v/>
      </c>
      <c r="AG88" s="12">
        <f>IF(AF88="","",IF(AF88&lt;=EDATE(Assumptions!$B$4,Assumptions!$B$12),"Expires &lt; "&amp;Assumptions!$B$12&amp;" m","OK"))</f>
        <v/>
      </c>
    </row>
    <row r="89">
      <c r="A89" s="12" t="inlineStr">
        <is>
          <t>CMD-0085</t>
        </is>
      </c>
      <c r="B89" s="12">
        <f>INDEX(Items!$B$2:$B$117,MATCH($A89,Items!$A$2:$A$117,0))</f>
        <v/>
      </c>
      <c r="C89" s="12">
        <f>INDEX(Items!$C$2:$C$117,MATCH($A89,Items!$A$2:$A$117,0))</f>
        <v/>
      </c>
      <c r="D89" s="12">
        <f>INDEX(Items!$D$2:$D$117,MATCH($A89,Items!$A$2:$A$117,0))</f>
        <v/>
      </c>
      <c r="E89" s="27">
        <f>INDEX(Items!$E$2:$E$117,MATCH($A89,Items!$A$2:$A$117,0))</f>
        <v/>
      </c>
      <c r="F89" s="28">
        <f>SUM(INDEX(Demand!$N$2:$Y$117,MATCH($A89,Demand!$A$2:$A$117,0),0))</f>
        <v/>
      </c>
      <c r="G89" s="28">
        <f>F89/12</f>
        <v/>
      </c>
      <c r="H89" s="28">
        <f>STDEV(INDEX(Demand!$N$2:$Y$117,MATCH($A89,Demand!$A$2:$A$117,0),0))</f>
        <v/>
      </c>
      <c r="I89" s="29">
        <f>IF(G89&gt;0,H89/G89,0)</f>
        <v/>
      </c>
      <c r="J89" s="16">
        <f>F89*E89</f>
        <v/>
      </c>
      <c r="K89" s="11">
        <f>SUMIF($J$5:$J$120,"&gt;="&amp;J89)/SUM($J$5:$J$120)</f>
        <v/>
      </c>
      <c r="L89" s="12">
        <f>IF(K89&lt;=Assumptions!$B$7,"A",IF(K89&lt;=Assumptions!$B$8,"B","C"))</f>
        <v/>
      </c>
      <c r="M89" s="12">
        <f>IF(I89&lt;=Assumptions!$B$9,"X",IF(I89&lt;=Assumptions!$B$10,"Y","Z"))</f>
        <v/>
      </c>
      <c r="N89" s="12">
        <f>L89&amp;M89</f>
        <v/>
      </c>
      <c r="O89" s="11">
        <f>INDEX(Assumptions!$F$4:$F$6,MATCH(L89,Assumptions!$E$4:$E$6,0))</f>
        <v/>
      </c>
      <c r="P89" s="29">
        <f>NORMSINV(O89)</f>
        <v/>
      </c>
      <c r="Q89" s="30">
        <f>IFERROR(AVERAGEIFS(PO_Lines!$R$2:$R$2025,PO_Lines!$B$2:$B$2025,$A89,PO_Lines!$Q$2:$Q$2025,1),INDEX(Items!$F$2:$F$117,MATCH($A89,Items!$A$2:$A$117,0)))</f>
        <v/>
      </c>
      <c r="R89" s="30">
        <f>IFERROR(SQRT(SUMPRODUCT((PO_Lines!$B$2:$B$2025=$A89)*PO_Lines!$Q$2:$Q$2025*(PO_Lines!$R$2:$R$2025-Q89)^2)/(COUNTIFS(PO_Lines!$B$2:$B$2025,$A89,PO_Lines!$Q$2:$Q$2025,1)-1)),0)</f>
        <v/>
      </c>
      <c r="S89" s="28">
        <f>ROUNDUP(P89*SQRT((Q89/Assumptions!$B$11)*H89^2+G89^2*(R89/Assumptions!$B$11)^2),0)</f>
        <v/>
      </c>
      <c r="T89" s="28">
        <f>ROUNDUP(G89*Q89/Assumptions!$B$11+S89,0)</f>
        <v/>
      </c>
      <c r="U89" s="28">
        <f>ROUNDUP(MAX(INDEX(Items!$G$2:$G$117,MATCH($A89,Items!$A$2:$A$117,0)),SQRT(2*F89*Assumptions!$B$5/(Assumptions!$B$6*E89)),G89*Assumptions!$B$16),0)</f>
        <v/>
      </c>
      <c r="V89" s="28">
        <f>INDEX(Stock_Snapshot!$B$2:$B$117,MATCH($A89,Stock_Snapshot!$A$2:$A$117,0))</f>
        <v/>
      </c>
      <c r="W89" s="28">
        <f>INDEX(Stock_Snapshot!$C$2:$C$117,MATCH($A89,Stock_Snapshot!$A$2:$A$117,0))</f>
        <v/>
      </c>
      <c r="X89" s="28">
        <f>V89+W89</f>
        <v/>
      </c>
      <c r="Y89" s="10">
        <f>IF(G89&gt;0,V89/(G89/Assumptions!$B$11),999)</f>
        <v/>
      </c>
      <c r="Z89" s="28">
        <f>S89+U89</f>
        <v/>
      </c>
      <c r="AA89" s="12">
        <f>IF(V89&lt;S89,"Below safety stock",IF(X89&lt;=T89,"Reorder now",IF(V89&gt;Z89,"Excess","Healthy")))</f>
        <v/>
      </c>
      <c r="AB89" s="16">
        <f>V89*E89</f>
        <v/>
      </c>
      <c r="AC89" s="16">
        <f>MAX(0,V89-Z89)*E89</f>
        <v/>
      </c>
      <c r="AD89" s="28">
        <f>IF(X89&lt;=T89,ROUNDUP(T89+U89-X89,0),0)</f>
        <v/>
      </c>
      <c r="AE89" s="16">
        <f>MAX(0,T89-X89)*E89</f>
        <v/>
      </c>
      <c r="AF89" s="31">
        <f>IF(INDEX(Stock_Snapshot!$D$2:$D$117,MATCH($A89,Stock_Snapshot!$A$2:$A$117,0))="","",INDEX(Stock_Snapshot!$D$2:$D$117,MATCH($A89,Stock_Snapshot!$A$2:$A$117,0)))</f>
        <v/>
      </c>
      <c r="AG89" s="12">
        <f>IF(AF89="","",IF(AF89&lt;=EDATE(Assumptions!$B$4,Assumptions!$B$12),"Expires &lt; "&amp;Assumptions!$B$12&amp;" m","OK"))</f>
        <v/>
      </c>
    </row>
    <row r="90">
      <c r="A90" s="12" t="inlineStr">
        <is>
          <t>CMD-0086</t>
        </is>
      </c>
      <c r="B90" s="12">
        <f>INDEX(Items!$B$2:$B$117,MATCH($A90,Items!$A$2:$A$117,0))</f>
        <v/>
      </c>
      <c r="C90" s="12">
        <f>INDEX(Items!$C$2:$C$117,MATCH($A90,Items!$A$2:$A$117,0))</f>
        <v/>
      </c>
      <c r="D90" s="12">
        <f>INDEX(Items!$D$2:$D$117,MATCH($A90,Items!$A$2:$A$117,0))</f>
        <v/>
      </c>
      <c r="E90" s="27">
        <f>INDEX(Items!$E$2:$E$117,MATCH($A90,Items!$A$2:$A$117,0))</f>
        <v/>
      </c>
      <c r="F90" s="28">
        <f>SUM(INDEX(Demand!$N$2:$Y$117,MATCH($A90,Demand!$A$2:$A$117,0),0))</f>
        <v/>
      </c>
      <c r="G90" s="28">
        <f>F90/12</f>
        <v/>
      </c>
      <c r="H90" s="28">
        <f>STDEV(INDEX(Demand!$N$2:$Y$117,MATCH($A90,Demand!$A$2:$A$117,0),0))</f>
        <v/>
      </c>
      <c r="I90" s="29">
        <f>IF(G90&gt;0,H90/G90,0)</f>
        <v/>
      </c>
      <c r="J90" s="16">
        <f>F90*E90</f>
        <v/>
      </c>
      <c r="K90" s="11">
        <f>SUMIF($J$5:$J$120,"&gt;="&amp;J90)/SUM($J$5:$J$120)</f>
        <v/>
      </c>
      <c r="L90" s="12">
        <f>IF(K90&lt;=Assumptions!$B$7,"A",IF(K90&lt;=Assumptions!$B$8,"B","C"))</f>
        <v/>
      </c>
      <c r="M90" s="12">
        <f>IF(I90&lt;=Assumptions!$B$9,"X",IF(I90&lt;=Assumptions!$B$10,"Y","Z"))</f>
        <v/>
      </c>
      <c r="N90" s="12">
        <f>L90&amp;M90</f>
        <v/>
      </c>
      <c r="O90" s="11">
        <f>INDEX(Assumptions!$F$4:$F$6,MATCH(L90,Assumptions!$E$4:$E$6,0))</f>
        <v/>
      </c>
      <c r="P90" s="29">
        <f>NORMSINV(O90)</f>
        <v/>
      </c>
      <c r="Q90" s="30">
        <f>IFERROR(AVERAGEIFS(PO_Lines!$R$2:$R$2025,PO_Lines!$B$2:$B$2025,$A90,PO_Lines!$Q$2:$Q$2025,1),INDEX(Items!$F$2:$F$117,MATCH($A90,Items!$A$2:$A$117,0)))</f>
        <v/>
      </c>
      <c r="R90" s="30">
        <f>IFERROR(SQRT(SUMPRODUCT((PO_Lines!$B$2:$B$2025=$A90)*PO_Lines!$Q$2:$Q$2025*(PO_Lines!$R$2:$R$2025-Q90)^2)/(COUNTIFS(PO_Lines!$B$2:$B$2025,$A90,PO_Lines!$Q$2:$Q$2025,1)-1)),0)</f>
        <v/>
      </c>
      <c r="S90" s="28">
        <f>ROUNDUP(P90*SQRT((Q90/Assumptions!$B$11)*H90^2+G90^2*(R90/Assumptions!$B$11)^2),0)</f>
        <v/>
      </c>
      <c r="T90" s="28">
        <f>ROUNDUP(G90*Q90/Assumptions!$B$11+S90,0)</f>
        <v/>
      </c>
      <c r="U90" s="28">
        <f>ROUNDUP(MAX(INDEX(Items!$G$2:$G$117,MATCH($A90,Items!$A$2:$A$117,0)),SQRT(2*F90*Assumptions!$B$5/(Assumptions!$B$6*E90)),G90*Assumptions!$B$16),0)</f>
        <v/>
      </c>
      <c r="V90" s="28">
        <f>INDEX(Stock_Snapshot!$B$2:$B$117,MATCH($A90,Stock_Snapshot!$A$2:$A$117,0))</f>
        <v/>
      </c>
      <c r="W90" s="28">
        <f>INDEX(Stock_Snapshot!$C$2:$C$117,MATCH($A90,Stock_Snapshot!$A$2:$A$117,0))</f>
        <v/>
      </c>
      <c r="X90" s="28">
        <f>V90+W90</f>
        <v/>
      </c>
      <c r="Y90" s="10">
        <f>IF(G90&gt;0,V90/(G90/Assumptions!$B$11),999)</f>
        <v/>
      </c>
      <c r="Z90" s="28">
        <f>S90+U90</f>
        <v/>
      </c>
      <c r="AA90" s="12">
        <f>IF(V90&lt;S90,"Below safety stock",IF(X90&lt;=T90,"Reorder now",IF(V90&gt;Z90,"Excess","Healthy")))</f>
        <v/>
      </c>
      <c r="AB90" s="16">
        <f>V90*E90</f>
        <v/>
      </c>
      <c r="AC90" s="16">
        <f>MAX(0,V90-Z90)*E90</f>
        <v/>
      </c>
      <c r="AD90" s="28">
        <f>IF(X90&lt;=T90,ROUNDUP(T90+U90-X90,0),0)</f>
        <v/>
      </c>
      <c r="AE90" s="16">
        <f>MAX(0,T90-X90)*E90</f>
        <v/>
      </c>
      <c r="AF90" s="31">
        <f>IF(INDEX(Stock_Snapshot!$D$2:$D$117,MATCH($A90,Stock_Snapshot!$A$2:$A$117,0))="","",INDEX(Stock_Snapshot!$D$2:$D$117,MATCH($A90,Stock_Snapshot!$A$2:$A$117,0)))</f>
        <v/>
      </c>
      <c r="AG90" s="12">
        <f>IF(AF90="","",IF(AF90&lt;=EDATE(Assumptions!$B$4,Assumptions!$B$12),"Expires &lt; "&amp;Assumptions!$B$12&amp;" m","OK"))</f>
        <v/>
      </c>
    </row>
    <row r="91">
      <c r="A91" s="12" t="inlineStr">
        <is>
          <t>CMD-0087</t>
        </is>
      </c>
      <c r="B91" s="12">
        <f>INDEX(Items!$B$2:$B$117,MATCH($A91,Items!$A$2:$A$117,0))</f>
        <v/>
      </c>
      <c r="C91" s="12">
        <f>INDEX(Items!$C$2:$C$117,MATCH($A91,Items!$A$2:$A$117,0))</f>
        <v/>
      </c>
      <c r="D91" s="12">
        <f>INDEX(Items!$D$2:$D$117,MATCH($A91,Items!$A$2:$A$117,0))</f>
        <v/>
      </c>
      <c r="E91" s="27">
        <f>INDEX(Items!$E$2:$E$117,MATCH($A91,Items!$A$2:$A$117,0))</f>
        <v/>
      </c>
      <c r="F91" s="28">
        <f>SUM(INDEX(Demand!$N$2:$Y$117,MATCH($A91,Demand!$A$2:$A$117,0),0))</f>
        <v/>
      </c>
      <c r="G91" s="28">
        <f>F91/12</f>
        <v/>
      </c>
      <c r="H91" s="28">
        <f>STDEV(INDEX(Demand!$N$2:$Y$117,MATCH($A91,Demand!$A$2:$A$117,0),0))</f>
        <v/>
      </c>
      <c r="I91" s="29">
        <f>IF(G91&gt;0,H91/G91,0)</f>
        <v/>
      </c>
      <c r="J91" s="16">
        <f>F91*E91</f>
        <v/>
      </c>
      <c r="K91" s="11">
        <f>SUMIF($J$5:$J$120,"&gt;="&amp;J91)/SUM($J$5:$J$120)</f>
        <v/>
      </c>
      <c r="L91" s="12">
        <f>IF(K91&lt;=Assumptions!$B$7,"A",IF(K91&lt;=Assumptions!$B$8,"B","C"))</f>
        <v/>
      </c>
      <c r="M91" s="12">
        <f>IF(I91&lt;=Assumptions!$B$9,"X",IF(I91&lt;=Assumptions!$B$10,"Y","Z"))</f>
        <v/>
      </c>
      <c r="N91" s="12">
        <f>L91&amp;M91</f>
        <v/>
      </c>
      <c r="O91" s="11">
        <f>INDEX(Assumptions!$F$4:$F$6,MATCH(L91,Assumptions!$E$4:$E$6,0))</f>
        <v/>
      </c>
      <c r="P91" s="29">
        <f>NORMSINV(O91)</f>
        <v/>
      </c>
      <c r="Q91" s="30">
        <f>IFERROR(AVERAGEIFS(PO_Lines!$R$2:$R$2025,PO_Lines!$B$2:$B$2025,$A91,PO_Lines!$Q$2:$Q$2025,1),INDEX(Items!$F$2:$F$117,MATCH($A91,Items!$A$2:$A$117,0)))</f>
        <v/>
      </c>
      <c r="R91" s="30">
        <f>IFERROR(SQRT(SUMPRODUCT((PO_Lines!$B$2:$B$2025=$A91)*PO_Lines!$Q$2:$Q$2025*(PO_Lines!$R$2:$R$2025-Q91)^2)/(COUNTIFS(PO_Lines!$B$2:$B$2025,$A91,PO_Lines!$Q$2:$Q$2025,1)-1)),0)</f>
        <v/>
      </c>
      <c r="S91" s="28">
        <f>ROUNDUP(P91*SQRT((Q91/Assumptions!$B$11)*H91^2+G91^2*(R91/Assumptions!$B$11)^2),0)</f>
        <v/>
      </c>
      <c r="T91" s="28">
        <f>ROUNDUP(G91*Q91/Assumptions!$B$11+S91,0)</f>
        <v/>
      </c>
      <c r="U91" s="28">
        <f>ROUNDUP(MAX(INDEX(Items!$G$2:$G$117,MATCH($A91,Items!$A$2:$A$117,0)),SQRT(2*F91*Assumptions!$B$5/(Assumptions!$B$6*E91)),G91*Assumptions!$B$16),0)</f>
        <v/>
      </c>
      <c r="V91" s="28">
        <f>INDEX(Stock_Snapshot!$B$2:$B$117,MATCH($A91,Stock_Snapshot!$A$2:$A$117,0))</f>
        <v/>
      </c>
      <c r="W91" s="28">
        <f>INDEX(Stock_Snapshot!$C$2:$C$117,MATCH($A91,Stock_Snapshot!$A$2:$A$117,0))</f>
        <v/>
      </c>
      <c r="X91" s="28">
        <f>V91+W91</f>
        <v/>
      </c>
      <c r="Y91" s="10">
        <f>IF(G91&gt;0,V91/(G91/Assumptions!$B$11),999)</f>
        <v/>
      </c>
      <c r="Z91" s="28">
        <f>S91+U91</f>
        <v/>
      </c>
      <c r="AA91" s="12">
        <f>IF(V91&lt;S91,"Below safety stock",IF(X91&lt;=T91,"Reorder now",IF(V91&gt;Z91,"Excess","Healthy")))</f>
        <v/>
      </c>
      <c r="AB91" s="16">
        <f>V91*E91</f>
        <v/>
      </c>
      <c r="AC91" s="16">
        <f>MAX(0,V91-Z91)*E91</f>
        <v/>
      </c>
      <c r="AD91" s="28">
        <f>IF(X91&lt;=T91,ROUNDUP(T91+U91-X91,0),0)</f>
        <v/>
      </c>
      <c r="AE91" s="16">
        <f>MAX(0,T91-X91)*E91</f>
        <v/>
      </c>
      <c r="AF91" s="31">
        <f>IF(INDEX(Stock_Snapshot!$D$2:$D$117,MATCH($A91,Stock_Snapshot!$A$2:$A$117,0))="","",INDEX(Stock_Snapshot!$D$2:$D$117,MATCH($A91,Stock_Snapshot!$A$2:$A$117,0)))</f>
        <v/>
      </c>
      <c r="AG91" s="12">
        <f>IF(AF91="","",IF(AF91&lt;=EDATE(Assumptions!$B$4,Assumptions!$B$12),"Expires &lt; "&amp;Assumptions!$B$12&amp;" m","OK"))</f>
        <v/>
      </c>
    </row>
    <row r="92">
      <c r="A92" s="12" t="inlineStr">
        <is>
          <t>CMD-0088</t>
        </is>
      </c>
      <c r="B92" s="12">
        <f>INDEX(Items!$B$2:$B$117,MATCH($A92,Items!$A$2:$A$117,0))</f>
        <v/>
      </c>
      <c r="C92" s="12">
        <f>INDEX(Items!$C$2:$C$117,MATCH($A92,Items!$A$2:$A$117,0))</f>
        <v/>
      </c>
      <c r="D92" s="12">
        <f>INDEX(Items!$D$2:$D$117,MATCH($A92,Items!$A$2:$A$117,0))</f>
        <v/>
      </c>
      <c r="E92" s="27">
        <f>INDEX(Items!$E$2:$E$117,MATCH($A92,Items!$A$2:$A$117,0))</f>
        <v/>
      </c>
      <c r="F92" s="28">
        <f>SUM(INDEX(Demand!$N$2:$Y$117,MATCH($A92,Demand!$A$2:$A$117,0),0))</f>
        <v/>
      </c>
      <c r="G92" s="28">
        <f>F92/12</f>
        <v/>
      </c>
      <c r="H92" s="28">
        <f>STDEV(INDEX(Demand!$N$2:$Y$117,MATCH($A92,Demand!$A$2:$A$117,0),0))</f>
        <v/>
      </c>
      <c r="I92" s="29">
        <f>IF(G92&gt;0,H92/G92,0)</f>
        <v/>
      </c>
      <c r="J92" s="16">
        <f>F92*E92</f>
        <v/>
      </c>
      <c r="K92" s="11">
        <f>SUMIF($J$5:$J$120,"&gt;="&amp;J92)/SUM($J$5:$J$120)</f>
        <v/>
      </c>
      <c r="L92" s="12">
        <f>IF(K92&lt;=Assumptions!$B$7,"A",IF(K92&lt;=Assumptions!$B$8,"B","C"))</f>
        <v/>
      </c>
      <c r="M92" s="12">
        <f>IF(I92&lt;=Assumptions!$B$9,"X",IF(I92&lt;=Assumptions!$B$10,"Y","Z"))</f>
        <v/>
      </c>
      <c r="N92" s="12">
        <f>L92&amp;M92</f>
        <v/>
      </c>
      <c r="O92" s="11">
        <f>INDEX(Assumptions!$F$4:$F$6,MATCH(L92,Assumptions!$E$4:$E$6,0))</f>
        <v/>
      </c>
      <c r="P92" s="29">
        <f>NORMSINV(O92)</f>
        <v/>
      </c>
      <c r="Q92" s="30">
        <f>IFERROR(AVERAGEIFS(PO_Lines!$R$2:$R$2025,PO_Lines!$B$2:$B$2025,$A92,PO_Lines!$Q$2:$Q$2025,1),INDEX(Items!$F$2:$F$117,MATCH($A92,Items!$A$2:$A$117,0)))</f>
        <v/>
      </c>
      <c r="R92" s="30">
        <f>IFERROR(SQRT(SUMPRODUCT((PO_Lines!$B$2:$B$2025=$A92)*PO_Lines!$Q$2:$Q$2025*(PO_Lines!$R$2:$R$2025-Q92)^2)/(COUNTIFS(PO_Lines!$B$2:$B$2025,$A92,PO_Lines!$Q$2:$Q$2025,1)-1)),0)</f>
        <v/>
      </c>
      <c r="S92" s="28">
        <f>ROUNDUP(P92*SQRT((Q92/Assumptions!$B$11)*H92^2+G92^2*(R92/Assumptions!$B$11)^2),0)</f>
        <v/>
      </c>
      <c r="T92" s="28">
        <f>ROUNDUP(G92*Q92/Assumptions!$B$11+S92,0)</f>
        <v/>
      </c>
      <c r="U92" s="28">
        <f>ROUNDUP(MAX(INDEX(Items!$G$2:$G$117,MATCH($A92,Items!$A$2:$A$117,0)),SQRT(2*F92*Assumptions!$B$5/(Assumptions!$B$6*E92)),G92*Assumptions!$B$16),0)</f>
        <v/>
      </c>
      <c r="V92" s="28">
        <f>INDEX(Stock_Snapshot!$B$2:$B$117,MATCH($A92,Stock_Snapshot!$A$2:$A$117,0))</f>
        <v/>
      </c>
      <c r="W92" s="28">
        <f>INDEX(Stock_Snapshot!$C$2:$C$117,MATCH($A92,Stock_Snapshot!$A$2:$A$117,0))</f>
        <v/>
      </c>
      <c r="X92" s="28">
        <f>V92+W92</f>
        <v/>
      </c>
      <c r="Y92" s="10">
        <f>IF(G92&gt;0,V92/(G92/Assumptions!$B$11),999)</f>
        <v/>
      </c>
      <c r="Z92" s="28">
        <f>S92+U92</f>
        <v/>
      </c>
      <c r="AA92" s="12">
        <f>IF(V92&lt;S92,"Below safety stock",IF(X92&lt;=T92,"Reorder now",IF(V92&gt;Z92,"Excess","Healthy")))</f>
        <v/>
      </c>
      <c r="AB92" s="16">
        <f>V92*E92</f>
        <v/>
      </c>
      <c r="AC92" s="16">
        <f>MAX(0,V92-Z92)*E92</f>
        <v/>
      </c>
      <c r="AD92" s="28">
        <f>IF(X92&lt;=T92,ROUNDUP(T92+U92-X92,0),0)</f>
        <v/>
      </c>
      <c r="AE92" s="16">
        <f>MAX(0,T92-X92)*E92</f>
        <v/>
      </c>
      <c r="AF92" s="31">
        <f>IF(INDEX(Stock_Snapshot!$D$2:$D$117,MATCH($A92,Stock_Snapshot!$A$2:$A$117,0))="","",INDEX(Stock_Snapshot!$D$2:$D$117,MATCH($A92,Stock_Snapshot!$A$2:$A$117,0)))</f>
        <v/>
      </c>
      <c r="AG92" s="12">
        <f>IF(AF92="","",IF(AF92&lt;=EDATE(Assumptions!$B$4,Assumptions!$B$12),"Expires &lt; "&amp;Assumptions!$B$12&amp;" m","OK"))</f>
        <v/>
      </c>
    </row>
    <row r="93">
      <c r="A93" s="12" t="inlineStr">
        <is>
          <t>CMD-0089</t>
        </is>
      </c>
      <c r="B93" s="12">
        <f>INDEX(Items!$B$2:$B$117,MATCH($A93,Items!$A$2:$A$117,0))</f>
        <v/>
      </c>
      <c r="C93" s="12">
        <f>INDEX(Items!$C$2:$C$117,MATCH($A93,Items!$A$2:$A$117,0))</f>
        <v/>
      </c>
      <c r="D93" s="12">
        <f>INDEX(Items!$D$2:$D$117,MATCH($A93,Items!$A$2:$A$117,0))</f>
        <v/>
      </c>
      <c r="E93" s="27">
        <f>INDEX(Items!$E$2:$E$117,MATCH($A93,Items!$A$2:$A$117,0))</f>
        <v/>
      </c>
      <c r="F93" s="28">
        <f>SUM(INDEX(Demand!$N$2:$Y$117,MATCH($A93,Demand!$A$2:$A$117,0),0))</f>
        <v/>
      </c>
      <c r="G93" s="28">
        <f>F93/12</f>
        <v/>
      </c>
      <c r="H93" s="28">
        <f>STDEV(INDEX(Demand!$N$2:$Y$117,MATCH($A93,Demand!$A$2:$A$117,0),0))</f>
        <v/>
      </c>
      <c r="I93" s="29">
        <f>IF(G93&gt;0,H93/G93,0)</f>
        <v/>
      </c>
      <c r="J93" s="16">
        <f>F93*E93</f>
        <v/>
      </c>
      <c r="K93" s="11">
        <f>SUMIF($J$5:$J$120,"&gt;="&amp;J93)/SUM($J$5:$J$120)</f>
        <v/>
      </c>
      <c r="L93" s="12">
        <f>IF(K93&lt;=Assumptions!$B$7,"A",IF(K93&lt;=Assumptions!$B$8,"B","C"))</f>
        <v/>
      </c>
      <c r="M93" s="12">
        <f>IF(I93&lt;=Assumptions!$B$9,"X",IF(I93&lt;=Assumptions!$B$10,"Y","Z"))</f>
        <v/>
      </c>
      <c r="N93" s="12">
        <f>L93&amp;M93</f>
        <v/>
      </c>
      <c r="O93" s="11">
        <f>INDEX(Assumptions!$F$4:$F$6,MATCH(L93,Assumptions!$E$4:$E$6,0))</f>
        <v/>
      </c>
      <c r="P93" s="29">
        <f>NORMSINV(O93)</f>
        <v/>
      </c>
      <c r="Q93" s="30">
        <f>IFERROR(AVERAGEIFS(PO_Lines!$R$2:$R$2025,PO_Lines!$B$2:$B$2025,$A93,PO_Lines!$Q$2:$Q$2025,1),INDEX(Items!$F$2:$F$117,MATCH($A93,Items!$A$2:$A$117,0)))</f>
        <v/>
      </c>
      <c r="R93" s="30">
        <f>IFERROR(SQRT(SUMPRODUCT((PO_Lines!$B$2:$B$2025=$A93)*PO_Lines!$Q$2:$Q$2025*(PO_Lines!$R$2:$R$2025-Q93)^2)/(COUNTIFS(PO_Lines!$B$2:$B$2025,$A93,PO_Lines!$Q$2:$Q$2025,1)-1)),0)</f>
        <v/>
      </c>
      <c r="S93" s="28">
        <f>ROUNDUP(P93*SQRT((Q93/Assumptions!$B$11)*H93^2+G93^2*(R93/Assumptions!$B$11)^2),0)</f>
        <v/>
      </c>
      <c r="T93" s="28">
        <f>ROUNDUP(G93*Q93/Assumptions!$B$11+S93,0)</f>
        <v/>
      </c>
      <c r="U93" s="28">
        <f>ROUNDUP(MAX(INDEX(Items!$G$2:$G$117,MATCH($A93,Items!$A$2:$A$117,0)),SQRT(2*F93*Assumptions!$B$5/(Assumptions!$B$6*E93)),G93*Assumptions!$B$16),0)</f>
        <v/>
      </c>
      <c r="V93" s="28">
        <f>INDEX(Stock_Snapshot!$B$2:$B$117,MATCH($A93,Stock_Snapshot!$A$2:$A$117,0))</f>
        <v/>
      </c>
      <c r="W93" s="28">
        <f>INDEX(Stock_Snapshot!$C$2:$C$117,MATCH($A93,Stock_Snapshot!$A$2:$A$117,0))</f>
        <v/>
      </c>
      <c r="X93" s="28">
        <f>V93+W93</f>
        <v/>
      </c>
      <c r="Y93" s="10">
        <f>IF(G93&gt;0,V93/(G93/Assumptions!$B$11),999)</f>
        <v/>
      </c>
      <c r="Z93" s="28">
        <f>S93+U93</f>
        <v/>
      </c>
      <c r="AA93" s="12">
        <f>IF(V93&lt;S93,"Below safety stock",IF(X93&lt;=T93,"Reorder now",IF(V93&gt;Z93,"Excess","Healthy")))</f>
        <v/>
      </c>
      <c r="AB93" s="16">
        <f>V93*E93</f>
        <v/>
      </c>
      <c r="AC93" s="16">
        <f>MAX(0,V93-Z93)*E93</f>
        <v/>
      </c>
      <c r="AD93" s="28">
        <f>IF(X93&lt;=T93,ROUNDUP(T93+U93-X93,0),0)</f>
        <v/>
      </c>
      <c r="AE93" s="16">
        <f>MAX(0,T93-X93)*E93</f>
        <v/>
      </c>
      <c r="AF93" s="31">
        <f>IF(INDEX(Stock_Snapshot!$D$2:$D$117,MATCH($A93,Stock_Snapshot!$A$2:$A$117,0))="","",INDEX(Stock_Snapshot!$D$2:$D$117,MATCH($A93,Stock_Snapshot!$A$2:$A$117,0)))</f>
        <v/>
      </c>
      <c r="AG93" s="12">
        <f>IF(AF93="","",IF(AF93&lt;=EDATE(Assumptions!$B$4,Assumptions!$B$12),"Expires &lt; "&amp;Assumptions!$B$12&amp;" m","OK"))</f>
        <v/>
      </c>
    </row>
    <row r="94">
      <c r="A94" s="12" t="inlineStr">
        <is>
          <t>CMD-0090</t>
        </is>
      </c>
      <c r="B94" s="12">
        <f>INDEX(Items!$B$2:$B$117,MATCH($A94,Items!$A$2:$A$117,0))</f>
        <v/>
      </c>
      <c r="C94" s="12">
        <f>INDEX(Items!$C$2:$C$117,MATCH($A94,Items!$A$2:$A$117,0))</f>
        <v/>
      </c>
      <c r="D94" s="12">
        <f>INDEX(Items!$D$2:$D$117,MATCH($A94,Items!$A$2:$A$117,0))</f>
        <v/>
      </c>
      <c r="E94" s="27">
        <f>INDEX(Items!$E$2:$E$117,MATCH($A94,Items!$A$2:$A$117,0))</f>
        <v/>
      </c>
      <c r="F94" s="28">
        <f>SUM(INDEX(Demand!$N$2:$Y$117,MATCH($A94,Demand!$A$2:$A$117,0),0))</f>
        <v/>
      </c>
      <c r="G94" s="28">
        <f>F94/12</f>
        <v/>
      </c>
      <c r="H94" s="28">
        <f>STDEV(INDEX(Demand!$N$2:$Y$117,MATCH($A94,Demand!$A$2:$A$117,0),0))</f>
        <v/>
      </c>
      <c r="I94" s="29">
        <f>IF(G94&gt;0,H94/G94,0)</f>
        <v/>
      </c>
      <c r="J94" s="16">
        <f>F94*E94</f>
        <v/>
      </c>
      <c r="K94" s="11">
        <f>SUMIF($J$5:$J$120,"&gt;="&amp;J94)/SUM($J$5:$J$120)</f>
        <v/>
      </c>
      <c r="L94" s="12">
        <f>IF(K94&lt;=Assumptions!$B$7,"A",IF(K94&lt;=Assumptions!$B$8,"B","C"))</f>
        <v/>
      </c>
      <c r="M94" s="12">
        <f>IF(I94&lt;=Assumptions!$B$9,"X",IF(I94&lt;=Assumptions!$B$10,"Y","Z"))</f>
        <v/>
      </c>
      <c r="N94" s="12">
        <f>L94&amp;M94</f>
        <v/>
      </c>
      <c r="O94" s="11">
        <f>INDEX(Assumptions!$F$4:$F$6,MATCH(L94,Assumptions!$E$4:$E$6,0))</f>
        <v/>
      </c>
      <c r="P94" s="29">
        <f>NORMSINV(O94)</f>
        <v/>
      </c>
      <c r="Q94" s="30">
        <f>IFERROR(AVERAGEIFS(PO_Lines!$R$2:$R$2025,PO_Lines!$B$2:$B$2025,$A94,PO_Lines!$Q$2:$Q$2025,1),INDEX(Items!$F$2:$F$117,MATCH($A94,Items!$A$2:$A$117,0)))</f>
        <v/>
      </c>
      <c r="R94" s="30">
        <f>IFERROR(SQRT(SUMPRODUCT((PO_Lines!$B$2:$B$2025=$A94)*PO_Lines!$Q$2:$Q$2025*(PO_Lines!$R$2:$R$2025-Q94)^2)/(COUNTIFS(PO_Lines!$B$2:$B$2025,$A94,PO_Lines!$Q$2:$Q$2025,1)-1)),0)</f>
        <v/>
      </c>
      <c r="S94" s="28">
        <f>ROUNDUP(P94*SQRT((Q94/Assumptions!$B$11)*H94^2+G94^2*(R94/Assumptions!$B$11)^2),0)</f>
        <v/>
      </c>
      <c r="T94" s="28">
        <f>ROUNDUP(G94*Q94/Assumptions!$B$11+S94,0)</f>
        <v/>
      </c>
      <c r="U94" s="28">
        <f>ROUNDUP(MAX(INDEX(Items!$G$2:$G$117,MATCH($A94,Items!$A$2:$A$117,0)),SQRT(2*F94*Assumptions!$B$5/(Assumptions!$B$6*E94)),G94*Assumptions!$B$16),0)</f>
        <v/>
      </c>
      <c r="V94" s="28">
        <f>INDEX(Stock_Snapshot!$B$2:$B$117,MATCH($A94,Stock_Snapshot!$A$2:$A$117,0))</f>
        <v/>
      </c>
      <c r="W94" s="28">
        <f>INDEX(Stock_Snapshot!$C$2:$C$117,MATCH($A94,Stock_Snapshot!$A$2:$A$117,0))</f>
        <v/>
      </c>
      <c r="X94" s="28">
        <f>V94+W94</f>
        <v/>
      </c>
      <c r="Y94" s="10">
        <f>IF(G94&gt;0,V94/(G94/Assumptions!$B$11),999)</f>
        <v/>
      </c>
      <c r="Z94" s="28">
        <f>S94+U94</f>
        <v/>
      </c>
      <c r="AA94" s="12">
        <f>IF(V94&lt;S94,"Below safety stock",IF(X94&lt;=T94,"Reorder now",IF(V94&gt;Z94,"Excess","Healthy")))</f>
        <v/>
      </c>
      <c r="AB94" s="16">
        <f>V94*E94</f>
        <v/>
      </c>
      <c r="AC94" s="16">
        <f>MAX(0,V94-Z94)*E94</f>
        <v/>
      </c>
      <c r="AD94" s="28">
        <f>IF(X94&lt;=T94,ROUNDUP(T94+U94-X94,0),0)</f>
        <v/>
      </c>
      <c r="AE94" s="16">
        <f>MAX(0,T94-X94)*E94</f>
        <v/>
      </c>
      <c r="AF94" s="31">
        <f>IF(INDEX(Stock_Snapshot!$D$2:$D$117,MATCH($A94,Stock_Snapshot!$A$2:$A$117,0))="","",INDEX(Stock_Snapshot!$D$2:$D$117,MATCH($A94,Stock_Snapshot!$A$2:$A$117,0)))</f>
        <v/>
      </c>
      <c r="AG94" s="12">
        <f>IF(AF94="","",IF(AF94&lt;=EDATE(Assumptions!$B$4,Assumptions!$B$12),"Expires &lt; "&amp;Assumptions!$B$12&amp;" m","OK"))</f>
        <v/>
      </c>
    </row>
    <row r="95">
      <c r="A95" s="12" t="inlineStr">
        <is>
          <t>CMD-0091</t>
        </is>
      </c>
      <c r="B95" s="12">
        <f>INDEX(Items!$B$2:$B$117,MATCH($A95,Items!$A$2:$A$117,0))</f>
        <v/>
      </c>
      <c r="C95" s="12">
        <f>INDEX(Items!$C$2:$C$117,MATCH($A95,Items!$A$2:$A$117,0))</f>
        <v/>
      </c>
      <c r="D95" s="12">
        <f>INDEX(Items!$D$2:$D$117,MATCH($A95,Items!$A$2:$A$117,0))</f>
        <v/>
      </c>
      <c r="E95" s="27">
        <f>INDEX(Items!$E$2:$E$117,MATCH($A95,Items!$A$2:$A$117,0))</f>
        <v/>
      </c>
      <c r="F95" s="28">
        <f>SUM(INDEX(Demand!$N$2:$Y$117,MATCH($A95,Demand!$A$2:$A$117,0),0))</f>
        <v/>
      </c>
      <c r="G95" s="28">
        <f>F95/12</f>
        <v/>
      </c>
      <c r="H95" s="28">
        <f>STDEV(INDEX(Demand!$N$2:$Y$117,MATCH($A95,Demand!$A$2:$A$117,0),0))</f>
        <v/>
      </c>
      <c r="I95" s="29">
        <f>IF(G95&gt;0,H95/G95,0)</f>
        <v/>
      </c>
      <c r="J95" s="16">
        <f>F95*E95</f>
        <v/>
      </c>
      <c r="K95" s="11">
        <f>SUMIF($J$5:$J$120,"&gt;="&amp;J95)/SUM($J$5:$J$120)</f>
        <v/>
      </c>
      <c r="L95" s="12">
        <f>IF(K95&lt;=Assumptions!$B$7,"A",IF(K95&lt;=Assumptions!$B$8,"B","C"))</f>
        <v/>
      </c>
      <c r="M95" s="12">
        <f>IF(I95&lt;=Assumptions!$B$9,"X",IF(I95&lt;=Assumptions!$B$10,"Y","Z"))</f>
        <v/>
      </c>
      <c r="N95" s="12">
        <f>L95&amp;M95</f>
        <v/>
      </c>
      <c r="O95" s="11">
        <f>INDEX(Assumptions!$F$4:$F$6,MATCH(L95,Assumptions!$E$4:$E$6,0))</f>
        <v/>
      </c>
      <c r="P95" s="29">
        <f>NORMSINV(O95)</f>
        <v/>
      </c>
      <c r="Q95" s="30">
        <f>IFERROR(AVERAGEIFS(PO_Lines!$R$2:$R$2025,PO_Lines!$B$2:$B$2025,$A95,PO_Lines!$Q$2:$Q$2025,1),INDEX(Items!$F$2:$F$117,MATCH($A95,Items!$A$2:$A$117,0)))</f>
        <v/>
      </c>
      <c r="R95" s="30">
        <f>IFERROR(SQRT(SUMPRODUCT((PO_Lines!$B$2:$B$2025=$A95)*PO_Lines!$Q$2:$Q$2025*(PO_Lines!$R$2:$R$2025-Q95)^2)/(COUNTIFS(PO_Lines!$B$2:$B$2025,$A95,PO_Lines!$Q$2:$Q$2025,1)-1)),0)</f>
        <v/>
      </c>
      <c r="S95" s="28">
        <f>ROUNDUP(P95*SQRT((Q95/Assumptions!$B$11)*H95^2+G95^2*(R95/Assumptions!$B$11)^2),0)</f>
        <v/>
      </c>
      <c r="T95" s="28">
        <f>ROUNDUP(G95*Q95/Assumptions!$B$11+S95,0)</f>
        <v/>
      </c>
      <c r="U95" s="28">
        <f>ROUNDUP(MAX(INDEX(Items!$G$2:$G$117,MATCH($A95,Items!$A$2:$A$117,0)),SQRT(2*F95*Assumptions!$B$5/(Assumptions!$B$6*E95)),G95*Assumptions!$B$16),0)</f>
        <v/>
      </c>
      <c r="V95" s="28">
        <f>INDEX(Stock_Snapshot!$B$2:$B$117,MATCH($A95,Stock_Snapshot!$A$2:$A$117,0))</f>
        <v/>
      </c>
      <c r="W95" s="28">
        <f>INDEX(Stock_Snapshot!$C$2:$C$117,MATCH($A95,Stock_Snapshot!$A$2:$A$117,0))</f>
        <v/>
      </c>
      <c r="X95" s="28">
        <f>V95+W95</f>
        <v/>
      </c>
      <c r="Y95" s="10">
        <f>IF(G95&gt;0,V95/(G95/Assumptions!$B$11),999)</f>
        <v/>
      </c>
      <c r="Z95" s="28">
        <f>S95+U95</f>
        <v/>
      </c>
      <c r="AA95" s="12">
        <f>IF(V95&lt;S95,"Below safety stock",IF(X95&lt;=T95,"Reorder now",IF(V95&gt;Z95,"Excess","Healthy")))</f>
        <v/>
      </c>
      <c r="AB95" s="16">
        <f>V95*E95</f>
        <v/>
      </c>
      <c r="AC95" s="16">
        <f>MAX(0,V95-Z95)*E95</f>
        <v/>
      </c>
      <c r="AD95" s="28">
        <f>IF(X95&lt;=T95,ROUNDUP(T95+U95-X95,0),0)</f>
        <v/>
      </c>
      <c r="AE95" s="16">
        <f>MAX(0,T95-X95)*E95</f>
        <v/>
      </c>
      <c r="AF95" s="31">
        <f>IF(INDEX(Stock_Snapshot!$D$2:$D$117,MATCH($A95,Stock_Snapshot!$A$2:$A$117,0))="","",INDEX(Stock_Snapshot!$D$2:$D$117,MATCH($A95,Stock_Snapshot!$A$2:$A$117,0)))</f>
        <v/>
      </c>
      <c r="AG95" s="12">
        <f>IF(AF95="","",IF(AF95&lt;=EDATE(Assumptions!$B$4,Assumptions!$B$12),"Expires &lt; "&amp;Assumptions!$B$12&amp;" m","OK"))</f>
        <v/>
      </c>
    </row>
    <row r="96">
      <c r="A96" s="12" t="inlineStr">
        <is>
          <t>CMD-0092</t>
        </is>
      </c>
      <c r="B96" s="12">
        <f>INDEX(Items!$B$2:$B$117,MATCH($A96,Items!$A$2:$A$117,0))</f>
        <v/>
      </c>
      <c r="C96" s="12">
        <f>INDEX(Items!$C$2:$C$117,MATCH($A96,Items!$A$2:$A$117,0))</f>
        <v/>
      </c>
      <c r="D96" s="12">
        <f>INDEX(Items!$D$2:$D$117,MATCH($A96,Items!$A$2:$A$117,0))</f>
        <v/>
      </c>
      <c r="E96" s="27">
        <f>INDEX(Items!$E$2:$E$117,MATCH($A96,Items!$A$2:$A$117,0))</f>
        <v/>
      </c>
      <c r="F96" s="28">
        <f>SUM(INDEX(Demand!$N$2:$Y$117,MATCH($A96,Demand!$A$2:$A$117,0),0))</f>
        <v/>
      </c>
      <c r="G96" s="28">
        <f>F96/12</f>
        <v/>
      </c>
      <c r="H96" s="28">
        <f>STDEV(INDEX(Demand!$N$2:$Y$117,MATCH($A96,Demand!$A$2:$A$117,0),0))</f>
        <v/>
      </c>
      <c r="I96" s="29">
        <f>IF(G96&gt;0,H96/G96,0)</f>
        <v/>
      </c>
      <c r="J96" s="16">
        <f>F96*E96</f>
        <v/>
      </c>
      <c r="K96" s="11">
        <f>SUMIF($J$5:$J$120,"&gt;="&amp;J96)/SUM($J$5:$J$120)</f>
        <v/>
      </c>
      <c r="L96" s="12">
        <f>IF(K96&lt;=Assumptions!$B$7,"A",IF(K96&lt;=Assumptions!$B$8,"B","C"))</f>
        <v/>
      </c>
      <c r="M96" s="12">
        <f>IF(I96&lt;=Assumptions!$B$9,"X",IF(I96&lt;=Assumptions!$B$10,"Y","Z"))</f>
        <v/>
      </c>
      <c r="N96" s="12">
        <f>L96&amp;M96</f>
        <v/>
      </c>
      <c r="O96" s="11">
        <f>INDEX(Assumptions!$F$4:$F$6,MATCH(L96,Assumptions!$E$4:$E$6,0))</f>
        <v/>
      </c>
      <c r="P96" s="29">
        <f>NORMSINV(O96)</f>
        <v/>
      </c>
      <c r="Q96" s="30">
        <f>IFERROR(AVERAGEIFS(PO_Lines!$R$2:$R$2025,PO_Lines!$B$2:$B$2025,$A96,PO_Lines!$Q$2:$Q$2025,1),INDEX(Items!$F$2:$F$117,MATCH($A96,Items!$A$2:$A$117,0)))</f>
        <v/>
      </c>
      <c r="R96" s="30">
        <f>IFERROR(SQRT(SUMPRODUCT((PO_Lines!$B$2:$B$2025=$A96)*PO_Lines!$Q$2:$Q$2025*(PO_Lines!$R$2:$R$2025-Q96)^2)/(COUNTIFS(PO_Lines!$B$2:$B$2025,$A96,PO_Lines!$Q$2:$Q$2025,1)-1)),0)</f>
        <v/>
      </c>
      <c r="S96" s="28">
        <f>ROUNDUP(P96*SQRT((Q96/Assumptions!$B$11)*H96^2+G96^2*(R96/Assumptions!$B$11)^2),0)</f>
        <v/>
      </c>
      <c r="T96" s="28">
        <f>ROUNDUP(G96*Q96/Assumptions!$B$11+S96,0)</f>
        <v/>
      </c>
      <c r="U96" s="28">
        <f>ROUNDUP(MAX(INDEX(Items!$G$2:$G$117,MATCH($A96,Items!$A$2:$A$117,0)),SQRT(2*F96*Assumptions!$B$5/(Assumptions!$B$6*E96)),G96*Assumptions!$B$16),0)</f>
        <v/>
      </c>
      <c r="V96" s="28">
        <f>INDEX(Stock_Snapshot!$B$2:$B$117,MATCH($A96,Stock_Snapshot!$A$2:$A$117,0))</f>
        <v/>
      </c>
      <c r="W96" s="28">
        <f>INDEX(Stock_Snapshot!$C$2:$C$117,MATCH($A96,Stock_Snapshot!$A$2:$A$117,0))</f>
        <v/>
      </c>
      <c r="X96" s="28">
        <f>V96+W96</f>
        <v/>
      </c>
      <c r="Y96" s="10">
        <f>IF(G96&gt;0,V96/(G96/Assumptions!$B$11),999)</f>
        <v/>
      </c>
      <c r="Z96" s="28">
        <f>S96+U96</f>
        <v/>
      </c>
      <c r="AA96" s="12">
        <f>IF(V96&lt;S96,"Below safety stock",IF(X96&lt;=T96,"Reorder now",IF(V96&gt;Z96,"Excess","Healthy")))</f>
        <v/>
      </c>
      <c r="AB96" s="16">
        <f>V96*E96</f>
        <v/>
      </c>
      <c r="AC96" s="16">
        <f>MAX(0,V96-Z96)*E96</f>
        <v/>
      </c>
      <c r="AD96" s="28">
        <f>IF(X96&lt;=T96,ROUNDUP(T96+U96-X96,0),0)</f>
        <v/>
      </c>
      <c r="AE96" s="16">
        <f>MAX(0,T96-X96)*E96</f>
        <v/>
      </c>
      <c r="AF96" s="31">
        <f>IF(INDEX(Stock_Snapshot!$D$2:$D$117,MATCH($A96,Stock_Snapshot!$A$2:$A$117,0))="","",INDEX(Stock_Snapshot!$D$2:$D$117,MATCH($A96,Stock_Snapshot!$A$2:$A$117,0)))</f>
        <v/>
      </c>
      <c r="AG96" s="12">
        <f>IF(AF96="","",IF(AF96&lt;=EDATE(Assumptions!$B$4,Assumptions!$B$12),"Expires &lt; "&amp;Assumptions!$B$12&amp;" m","OK"))</f>
        <v/>
      </c>
    </row>
    <row r="97">
      <c r="A97" s="12" t="inlineStr">
        <is>
          <t>CMD-0093</t>
        </is>
      </c>
      <c r="B97" s="12">
        <f>INDEX(Items!$B$2:$B$117,MATCH($A97,Items!$A$2:$A$117,0))</f>
        <v/>
      </c>
      <c r="C97" s="12">
        <f>INDEX(Items!$C$2:$C$117,MATCH($A97,Items!$A$2:$A$117,0))</f>
        <v/>
      </c>
      <c r="D97" s="12">
        <f>INDEX(Items!$D$2:$D$117,MATCH($A97,Items!$A$2:$A$117,0))</f>
        <v/>
      </c>
      <c r="E97" s="27">
        <f>INDEX(Items!$E$2:$E$117,MATCH($A97,Items!$A$2:$A$117,0))</f>
        <v/>
      </c>
      <c r="F97" s="28">
        <f>SUM(INDEX(Demand!$N$2:$Y$117,MATCH($A97,Demand!$A$2:$A$117,0),0))</f>
        <v/>
      </c>
      <c r="G97" s="28">
        <f>F97/12</f>
        <v/>
      </c>
      <c r="H97" s="28">
        <f>STDEV(INDEX(Demand!$N$2:$Y$117,MATCH($A97,Demand!$A$2:$A$117,0),0))</f>
        <v/>
      </c>
      <c r="I97" s="29">
        <f>IF(G97&gt;0,H97/G97,0)</f>
        <v/>
      </c>
      <c r="J97" s="16">
        <f>F97*E97</f>
        <v/>
      </c>
      <c r="K97" s="11">
        <f>SUMIF($J$5:$J$120,"&gt;="&amp;J97)/SUM($J$5:$J$120)</f>
        <v/>
      </c>
      <c r="L97" s="12">
        <f>IF(K97&lt;=Assumptions!$B$7,"A",IF(K97&lt;=Assumptions!$B$8,"B","C"))</f>
        <v/>
      </c>
      <c r="M97" s="12">
        <f>IF(I97&lt;=Assumptions!$B$9,"X",IF(I97&lt;=Assumptions!$B$10,"Y","Z"))</f>
        <v/>
      </c>
      <c r="N97" s="12">
        <f>L97&amp;M97</f>
        <v/>
      </c>
      <c r="O97" s="11">
        <f>INDEX(Assumptions!$F$4:$F$6,MATCH(L97,Assumptions!$E$4:$E$6,0))</f>
        <v/>
      </c>
      <c r="P97" s="29">
        <f>NORMSINV(O97)</f>
        <v/>
      </c>
      <c r="Q97" s="30">
        <f>IFERROR(AVERAGEIFS(PO_Lines!$R$2:$R$2025,PO_Lines!$B$2:$B$2025,$A97,PO_Lines!$Q$2:$Q$2025,1),INDEX(Items!$F$2:$F$117,MATCH($A97,Items!$A$2:$A$117,0)))</f>
        <v/>
      </c>
      <c r="R97" s="30">
        <f>IFERROR(SQRT(SUMPRODUCT((PO_Lines!$B$2:$B$2025=$A97)*PO_Lines!$Q$2:$Q$2025*(PO_Lines!$R$2:$R$2025-Q97)^2)/(COUNTIFS(PO_Lines!$B$2:$B$2025,$A97,PO_Lines!$Q$2:$Q$2025,1)-1)),0)</f>
        <v/>
      </c>
      <c r="S97" s="28">
        <f>ROUNDUP(P97*SQRT((Q97/Assumptions!$B$11)*H97^2+G97^2*(R97/Assumptions!$B$11)^2),0)</f>
        <v/>
      </c>
      <c r="T97" s="28">
        <f>ROUNDUP(G97*Q97/Assumptions!$B$11+S97,0)</f>
        <v/>
      </c>
      <c r="U97" s="28">
        <f>ROUNDUP(MAX(INDEX(Items!$G$2:$G$117,MATCH($A97,Items!$A$2:$A$117,0)),SQRT(2*F97*Assumptions!$B$5/(Assumptions!$B$6*E97)),G97*Assumptions!$B$16),0)</f>
        <v/>
      </c>
      <c r="V97" s="28">
        <f>INDEX(Stock_Snapshot!$B$2:$B$117,MATCH($A97,Stock_Snapshot!$A$2:$A$117,0))</f>
        <v/>
      </c>
      <c r="W97" s="28">
        <f>INDEX(Stock_Snapshot!$C$2:$C$117,MATCH($A97,Stock_Snapshot!$A$2:$A$117,0))</f>
        <v/>
      </c>
      <c r="X97" s="28">
        <f>V97+W97</f>
        <v/>
      </c>
      <c r="Y97" s="10">
        <f>IF(G97&gt;0,V97/(G97/Assumptions!$B$11),999)</f>
        <v/>
      </c>
      <c r="Z97" s="28">
        <f>S97+U97</f>
        <v/>
      </c>
      <c r="AA97" s="12">
        <f>IF(V97&lt;S97,"Below safety stock",IF(X97&lt;=T97,"Reorder now",IF(V97&gt;Z97,"Excess","Healthy")))</f>
        <v/>
      </c>
      <c r="AB97" s="16">
        <f>V97*E97</f>
        <v/>
      </c>
      <c r="AC97" s="16">
        <f>MAX(0,V97-Z97)*E97</f>
        <v/>
      </c>
      <c r="AD97" s="28">
        <f>IF(X97&lt;=T97,ROUNDUP(T97+U97-X97,0),0)</f>
        <v/>
      </c>
      <c r="AE97" s="16">
        <f>MAX(0,T97-X97)*E97</f>
        <v/>
      </c>
      <c r="AF97" s="31">
        <f>IF(INDEX(Stock_Snapshot!$D$2:$D$117,MATCH($A97,Stock_Snapshot!$A$2:$A$117,0))="","",INDEX(Stock_Snapshot!$D$2:$D$117,MATCH($A97,Stock_Snapshot!$A$2:$A$117,0)))</f>
        <v/>
      </c>
      <c r="AG97" s="12">
        <f>IF(AF97="","",IF(AF97&lt;=EDATE(Assumptions!$B$4,Assumptions!$B$12),"Expires &lt; "&amp;Assumptions!$B$12&amp;" m","OK"))</f>
        <v/>
      </c>
    </row>
    <row r="98">
      <c r="A98" s="12" t="inlineStr">
        <is>
          <t>CMD-0094</t>
        </is>
      </c>
      <c r="B98" s="12">
        <f>INDEX(Items!$B$2:$B$117,MATCH($A98,Items!$A$2:$A$117,0))</f>
        <v/>
      </c>
      <c r="C98" s="12">
        <f>INDEX(Items!$C$2:$C$117,MATCH($A98,Items!$A$2:$A$117,0))</f>
        <v/>
      </c>
      <c r="D98" s="12">
        <f>INDEX(Items!$D$2:$D$117,MATCH($A98,Items!$A$2:$A$117,0))</f>
        <v/>
      </c>
      <c r="E98" s="27">
        <f>INDEX(Items!$E$2:$E$117,MATCH($A98,Items!$A$2:$A$117,0))</f>
        <v/>
      </c>
      <c r="F98" s="28">
        <f>SUM(INDEX(Demand!$N$2:$Y$117,MATCH($A98,Demand!$A$2:$A$117,0),0))</f>
        <v/>
      </c>
      <c r="G98" s="28">
        <f>F98/12</f>
        <v/>
      </c>
      <c r="H98" s="28">
        <f>STDEV(INDEX(Demand!$N$2:$Y$117,MATCH($A98,Demand!$A$2:$A$117,0),0))</f>
        <v/>
      </c>
      <c r="I98" s="29">
        <f>IF(G98&gt;0,H98/G98,0)</f>
        <v/>
      </c>
      <c r="J98" s="16">
        <f>F98*E98</f>
        <v/>
      </c>
      <c r="K98" s="11">
        <f>SUMIF($J$5:$J$120,"&gt;="&amp;J98)/SUM($J$5:$J$120)</f>
        <v/>
      </c>
      <c r="L98" s="12">
        <f>IF(K98&lt;=Assumptions!$B$7,"A",IF(K98&lt;=Assumptions!$B$8,"B","C"))</f>
        <v/>
      </c>
      <c r="M98" s="12">
        <f>IF(I98&lt;=Assumptions!$B$9,"X",IF(I98&lt;=Assumptions!$B$10,"Y","Z"))</f>
        <v/>
      </c>
      <c r="N98" s="12">
        <f>L98&amp;M98</f>
        <v/>
      </c>
      <c r="O98" s="11">
        <f>INDEX(Assumptions!$F$4:$F$6,MATCH(L98,Assumptions!$E$4:$E$6,0))</f>
        <v/>
      </c>
      <c r="P98" s="29">
        <f>NORMSINV(O98)</f>
        <v/>
      </c>
      <c r="Q98" s="30">
        <f>IFERROR(AVERAGEIFS(PO_Lines!$R$2:$R$2025,PO_Lines!$B$2:$B$2025,$A98,PO_Lines!$Q$2:$Q$2025,1),INDEX(Items!$F$2:$F$117,MATCH($A98,Items!$A$2:$A$117,0)))</f>
        <v/>
      </c>
      <c r="R98" s="30">
        <f>IFERROR(SQRT(SUMPRODUCT((PO_Lines!$B$2:$B$2025=$A98)*PO_Lines!$Q$2:$Q$2025*(PO_Lines!$R$2:$R$2025-Q98)^2)/(COUNTIFS(PO_Lines!$B$2:$B$2025,$A98,PO_Lines!$Q$2:$Q$2025,1)-1)),0)</f>
        <v/>
      </c>
      <c r="S98" s="28">
        <f>ROUNDUP(P98*SQRT((Q98/Assumptions!$B$11)*H98^2+G98^2*(R98/Assumptions!$B$11)^2),0)</f>
        <v/>
      </c>
      <c r="T98" s="28">
        <f>ROUNDUP(G98*Q98/Assumptions!$B$11+S98,0)</f>
        <v/>
      </c>
      <c r="U98" s="28">
        <f>ROUNDUP(MAX(INDEX(Items!$G$2:$G$117,MATCH($A98,Items!$A$2:$A$117,0)),SQRT(2*F98*Assumptions!$B$5/(Assumptions!$B$6*E98)),G98*Assumptions!$B$16),0)</f>
        <v/>
      </c>
      <c r="V98" s="28">
        <f>INDEX(Stock_Snapshot!$B$2:$B$117,MATCH($A98,Stock_Snapshot!$A$2:$A$117,0))</f>
        <v/>
      </c>
      <c r="W98" s="28">
        <f>INDEX(Stock_Snapshot!$C$2:$C$117,MATCH($A98,Stock_Snapshot!$A$2:$A$117,0))</f>
        <v/>
      </c>
      <c r="X98" s="28">
        <f>V98+W98</f>
        <v/>
      </c>
      <c r="Y98" s="10">
        <f>IF(G98&gt;0,V98/(G98/Assumptions!$B$11),999)</f>
        <v/>
      </c>
      <c r="Z98" s="28">
        <f>S98+U98</f>
        <v/>
      </c>
      <c r="AA98" s="12">
        <f>IF(V98&lt;S98,"Below safety stock",IF(X98&lt;=T98,"Reorder now",IF(V98&gt;Z98,"Excess","Healthy")))</f>
        <v/>
      </c>
      <c r="AB98" s="16">
        <f>V98*E98</f>
        <v/>
      </c>
      <c r="AC98" s="16">
        <f>MAX(0,V98-Z98)*E98</f>
        <v/>
      </c>
      <c r="AD98" s="28">
        <f>IF(X98&lt;=T98,ROUNDUP(T98+U98-X98,0),0)</f>
        <v/>
      </c>
      <c r="AE98" s="16">
        <f>MAX(0,T98-X98)*E98</f>
        <v/>
      </c>
      <c r="AF98" s="31">
        <f>IF(INDEX(Stock_Snapshot!$D$2:$D$117,MATCH($A98,Stock_Snapshot!$A$2:$A$117,0))="","",INDEX(Stock_Snapshot!$D$2:$D$117,MATCH($A98,Stock_Snapshot!$A$2:$A$117,0)))</f>
        <v/>
      </c>
      <c r="AG98" s="12">
        <f>IF(AF98="","",IF(AF98&lt;=EDATE(Assumptions!$B$4,Assumptions!$B$12),"Expires &lt; "&amp;Assumptions!$B$12&amp;" m","OK"))</f>
        <v/>
      </c>
    </row>
    <row r="99">
      <c r="A99" s="12" t="inlineStr">
        <is>
          <t>CMD-0095</t>
        </is>
      </c>
      <c r="B99" s="12">
        <f>INDEX(Items!$B$2:$B$117,MATCH($A99,Items!$A$2:$A$117,0))</f>
        <v/>
      </c>
      <c r="C99" s="12">
        <f>INDEX(Items!$C$2:$C$117,MATCH($A99,Items!$A$2:$A$117,0))</f>
        <v/>
      </c>
      <c r="D99" s="12">
        <f>INDEX(Items!$D$2:$D$117,MATCH($A99,Items!$A$2:$A$117,0))</f>
        <v/>
      </c>
      <c r="E99" s="27">
        <f>INDEX(Items!$E$2:$E$117,MATCH($A99,Items!$A$2:$A$117,0))</f>
        <v/>
      </c>
      <c r="F99" s="28">
        <f>SUM(INDEX(Demand!$N$2:$Y$117,MATCH($A99,Demand!$A$2:$A$117,0),0))</f>
        <v/>
      </c>
      <c r="G99" s="28">
        <f>F99/12</f>
        <v/>
      </c>
      <c r="H99" s="28">
        <f>STDEV(INDEX(Demand!$N$2:$Y$117,MATCH($A99,Demand!$A$2:$A$117,0),0))</f>
        <v/>
      </c>
      <c r="I99" s="29">
        <f>IF(G99&gt;0,H99/G99,0)</f>
        <v/>
      </c>
      <c r="J99" s="16">
        <f>F99*E99</f>
        <v/>
      </c>
      <c r="K99" s="11">
        <f>SUMIF($J$5:$J$120,"&gt;="&amp;J99)/SUM($J$5:$J$120)</f>
        <v/>
      </c>
      <c r="L99" s="12">
        <f>IF(K99&lt;=Assumptions!$B$7,"A",IF(K99&lt;=Assumptions!$B$8,"B","C"))</f>
        <v/>
      </c>
      <c r="M99" s="12">
        <f>IF(I99&lt;=Assumptions!$B$9,"X",IF(I99&lt;=Assumptions!$B$10,"Y","Z"))</f>
        <v/>
      </c>
      <c r="N99" s="12">
        <f>L99&amp;M99</f>
        <v/>
      </c>
      <c r="O99" s="11">
        <f>INDEX(Assumptions!$F$4:$F$6,MATCH(L99,Assumptions!$E$4:$E$6,0))</f>
        <v/>
      </c>
      <c r="P99" s="29">
        <f>NORMSINV(O99)</f>
        <v/>
      </c>
      <c r="Q99" s="30">
        <f>IFERROR(AVERAGEIFS(PO_Lines!$R$2:$R$2025,PO_Lines!$B$2:$B$2025,$A99,PO_Lines!$Q$2:$Q$2025,1),INDEX(Items!$F$2:$F$117,MATCH($A99,Items!$A$2:$A$117,0)))</f>
        <v/>
      </c>
      <c r="R99" s="30">
        <f>IFERROR(SQRT(SUMPRODUCT((PO_Lines!$B$2:$B$2025=$A99)*PO_Lines!$Q$2:$Q$2025*(PO_Lines!$R$2:$R$2025-Q99)^2)/(COUNTIFS(PO_Lines!$B$2:$B$2025,$A99,PO_Lines!$Q$2:$Q$2025,1)-1)),0)</f>
        <v/>
      </c>
      <c r="S99" s="28">
        <f>ROUNDUP(P99*SQRT((Q99/Assumptions!$B$11)*H99^2+G99^2*(R99/Assumptions!$B$11)^2),0)</f>
        <v/>
      </c>
      <c r="T99" s="28">
        <f>ROUNDUP(G99*Q99/Assumptions!$B$11+S99,0)</f>
        <v/>
      </c>
      <c r="U99" s="28">
        <f>ROUNDUP(MAX(INDEX(Items!$G$2:$G$117,MATCH($A99,Items!$A$2:$A$117,0)),SQRT(2*F99*Assumptions!$B$5/(Assumptions!$B$6*E99)),G99*Assumptions!$B$16),0)</f>
        <v/>
      </c>
      <c r="V99" s="28">
        <f>INDEX(Stock_Snapshot!$B$2:$B$117,MATCH($A99,Stock_Snapshot!$A$2:$A$117,0))</f>
        <v/>
      </c>
      <c r="W99" s="28">
        <f>INDEX(Stock_Snapshot!$C$2:$C$117,MATCH($A99,Stock_Snapshot!$A$2:$A$117,0))</f>
        <v/>
      </c>
      <c r="X99" s="28">
        <f>V99+W99</f>
        <v/>
      </c>
      <c r="Y99" s="10">
        <f>IF(G99&gt;0,V99/(G99/Assumptions!$B$11),999)</f>
        <v/>
      </c>
      <c r="Z99" s="28">
        <f>S99+U99</f>
        <v/>
      </c>
      <c r="AA99" s="12">
        <f>IF(V99&lt;S99,"Below safety stock",IF(X99&lt;=T99,"Reorder now",IF(V99&gt;Z99,"Excess","Healthy")))</f>
        <v/>
      </c>
      <c r="AB99" s="16">
        <f>V99*E99</f>
        <v/>
      </c>
      <c r="AC99" s="16">
        <f>MAX(0,V99-Z99)*E99</f>
        <v/>
      </c>
      <c r="AD99" s="28">
        <f>IF(X99&lt;=T99,ROUNDUP(T99+U99-X99,0),0)</f>
        <v/>
      </c>
      <c r="AE99" s="16">
        <f>MAX(0,T99-X99)*E99</f>
        <v/>
      </c>
      <c r="AF99" s="31">
        <f>IF(INDEX(Stock_Snapshot!$D$2:$D$117,MATCH($A99,Stock_Snapshot!$A$2:$A$117,0))="","",INDEX(Stock_Snapshot!$D$2:$D$117,MATCH($A99,Stock_Snapshot!$A$2:$A$117,0)))</f>
        <v/>
      </c>
      <c r="AG99" s="12">
        <f>IF(AF99="","",IF(AF99&lt;=EDATE(Assumptions!$B$4,Assumptions!$B$12),"Expires &lt; "&amp;Assumptions!$B$12&amp;" m","OK"))</f>
        <v/>
      </c>
    </row>
    <row r="100">
      <c r="A100" s="12" t="inlineStr">
        <is>
          <t>CMD-0096</t>
        </is>
      </c>
      <c r="B100" s="12">
        <f>INDEX(Items!$B$2:$B$117,MATCH($A100,Items!$A$2:$A$117,0))</f>
        <v/>
      </c>
      <c r="C100" s="12">
        <f>INDEX(Items!$C$2:$C$117,MATCH($A100,Items!$A$2:$A$117,0))</f>
        <v/>
      </c>
      <c r="D100" s="12">
        <f>INDEX(Items!$D$2:$D$117,MATCH($A100,Items!$A$2:$A$117,0))</f>
        <v/>
      </c>
      <c r="E100" s="27">
        <f>INDEX(Items!$E$2:$E$117,MATCH($A100,Items!$A$2:$A$117,0))</f>
        <v/>
      </c>
      <c r="F100" s="28">
        <f>SUM(INDEX(Demand!$N$2:$Y$117,MATCH($A100,Demand!$A$2:$A$117,0),0))</f>
        <v/>
      </c>
      <c r="G100" s="28">
        <f>F100/12</f>
        <v/>
      </c>
      <c r="H100" s="28">
        <f>STDEV(INDEX(Demand!$N$2:$Y$117,MATCH($A100,Demand!$A$2:$A$117,0),0))</f>
        <v/>
      </c>
      <c r="I100" s="29">
        <f>IF(G100&gt;0,H100/G100,0)</f>
        <v/>
      </c>
      <c r="J100" s="16">
        <f>F100*E100</f>
        <v/>
      </c>
      <c r="K100" s="11">
        <f>SUMIF($J$5:$J$120,"&gt;="&amp;J100)/SUM($J$5:$J$120)</f>
        <v/>
      </c>
      <c r="L100" s="12">
        <f>IF(K100&lt;=Assumptions!$B$7,"A",IF(K100&lt;=Assumptions!$B$8,"B","C"))</f>
        <v/>
      </c>
      <c r="M100" s="12">
        <f>IF(I100&lt;=Assumptions!$B$9,"X",IF(I100&lt;=Assumptions!$B$10,"Y","Z"))</f>
        <v/>
      </c>
      <c r="N100" s="12">
        <f>L100&amp;M100</f>
        <v/>
      </c>
      <c r="O100" s="11">
        <f>INDEX(Assumptions!$F$4:$F$6,MATCH(L100,Assumptions!$E$4:$E$6,0))</f>
        <v/>
      </c>
      <c r="P100" s="29">
        <f>NORMSINV(O100)</f>
        <v/>
      </c>
      <c r="Q100" s="30">
        <f>IFERROR(AVERAGEIFS(PO_Lines!$R$2:$R$2025,PO_Lines!$B$2:$B$2025,$A100,PO_Lines!$Q$2:$Q$2025,1),INDEX(Items!$F$2:$F$117,MATCH($A100,Items!$A$2:$A$117,0)))</f>
        <v/>
      </c>
      <c r="R100" s="30">
        <f>IFERROR(SQRT(SUMPRODUCT((PO_Lines!$B$2:$B$2025=$A100)*PO_Lines!$Q$2:$Q$2025*(PO_Lines!$R$2:$R$2025-Q100)^2)/(COUNTIFS(PO_Lines!$B$2:$B$2025,$A100,PO_Lines!$Q$2:$Q$2025,1)-1)),0)</f>
        <v/>
      </c>
      <c r="S100" s="28">
        <f>ROUNDUP(P100*SQRT((Q100/Assumptions!$B$11)*H100^2+G100^2*(R100/Assumptions!$B$11)^2),0)</f>
        <v/>
      </c>
      <c r="T100" s="28">
        <f>ROUNDUP(G100*Q100/Assumptions!$B$11+S100,0)</f>
        <v/>
      </c>
      <c r="U100" s="28">
        <f>ROUNDUP(MAX(INDEX(Items!$G$2:$G$117,MATCH($A100,Items!$A$2:$A$117,0)),SQRT(2*F100*Assumptions!$B$5/(Assumptions!$B$6*E100)),G100*Assumptions!$B$16),0)</f>
        <v/>
      </c>
      <c r="V100" s="28">
        <f>INDEX(Stock_Snapshot!$B$2:$B$117,MATCH($A100,Stock_Snapshot!$A$2:$A$117,0))</f>
        <v/>
      </c>
      <c r="W100" s="28">
        <f>INDEX(Stock_Snapshot!$C$2:$C$117,MATCH($A100,Stock_Snapshot!$A$2:$A$117,0))</f>
        <v/>
      </c>
      <c r="X100" s="28">
        <f>V100+W100</f>
        <v/>
      </c>
      <c r="Y100" s="10">
        <f>IF(G100&gt;0,V100/(G100/Assumptions!$B$11),999)</f>
        <v/>
      </c>
      <c r="Z100" s="28">
        <f>S100+U100</f>
        <v/>
      </c>
      <c r="AA100" s="12">
        <f>IF(V100&lt;S100,"Below safety stock",IF(X100&lt;=T100,"Reorder now",IF(V100&gt;Z100,"Excess","Healthy")))</f>
        <v/>
      </c>
      <c r="AB100" s="16">
        <f>V100*E100</f>
        <v/>
      </c>
      <c r="AC100" s="16">
        <f>MAX(0,V100-Z100)*E100</f>
        <v/>
      </c>
      <c r="AD100" s="28">
        <f>IF(X100&lt;=T100,ROUNDUP(T100+U100-X100,0),0)</f>
        <v/>
      </c>
      <c r="AE100" s="16">
        <f>MAX(0,T100-X100)*E100</f>
        <v/>
      </c>
      <c r="AF100" s="31">
        <f>IF(INDEX(Stock_Snapshot!$D$2:$D$117,MATCH($A100,Stock_Snapshot!$A$2:$A$117,0))="","",INDEX(Stock_Snapshot!$D$2:$D$117,MATCH($A100,Stock_Snapshot!$A$2:$A$117,0)))</f>
        <v/>
      </c>
      <c r="AG100" s="12">
        <f>IF(AF100="","",IF(AF100&lt;=EDATE(Assumptions!$B$4,Assumptions!$B$12),"Expires &lt; "&amp;Assumptions!$B$12&amp;" m","OK"))</f>
        <v/>
      </c>
    </row>
    <row r="101">
      <c r="A101" s="12" t="inlineStr">
        <is>
          <t>CMD-0097</t>
        </is>
      </c>
      <c r="B101" s="12">
        <f>INDEX(Items!$B$2:$B$117,MATCH($A101,Items!$A$2:$A$117,0))</f>
        <v/>
      </c>
      <c r="C101" s="12">
        <f>INDEX(Items!$C$2:$C$117,MATCH($A101,Items!$A$2:$A$117,0))</f>
        <v/>
      </c>
      <c r="D101" s="12">
        <f>INDEX(Items!$D$2:$D$117,MATCH($A101,Items!$A$2:$A$117,0))</f>
        <v/>
      </c>
      <c r="E101" s="27">
        <f>INDEX(Items!$E$2:$E$117,MATCH($A101,Items!$A$2:$A$117,0))</f>
        <v/>
      </c>
      <c r="F101" s="28">
        <f>SUM(INDEX(Demand!$N$2:$Y$117,MATCH($A101,Demand!$A$2:$A$117,0),0))</f>
        <v/>
      </c>
      <c r="G101" s="28">
        <f>F101/12</f>
        <v/>
      </c>
      <c r="H101" s="28">
        <f>STDEV(INDEX(Demand!$N$2:$Y$117,MATCH($A101,Demand!$A$2:$A$117,0),0))</f>
        <v/>
      </c>
      <c r="I101" s="29">
        <f>IF(G101&gt;0,H101/G101,0)</f>
        <v/>
      </c>
      <c r="J101" s="16">
        <f>F101*E101</f>
        <v/>
      </c>
      <c r="K101" s="11">
        <f>SUMIF($J$5:$J$120,"&gt;="&amp;J101)/SUM($J$5:$J$120)</f>
        <v/>
      </c>
      <c r="L101" s="12">
        <f>IF(K101&lt;=Assumptions!$B$7,"A",IF(K101&lt;=Assumptions!$B$8,"B","C"))</f>
        <v/>
      </c>
      <c r="M101" s="12">
        <f>IF(I101&lt;=Assumptions!$B$9,"X",IF(I101&lt;=Assumptions!$B$10,"Y","Z"))</f>
        <v/>
      </c>
      <c r="N101" s="12">
        <f>L101&amp;M101</f>
        <v/>
      </c>
      <c r="O101" s="11">
        <f>INDEX(Assumptions!$F$4:$F$6,MATCH(L101,Assumptions!$E$4:$E$6,0))</f>
        <v/>
      </c>
      <c r="P101" s="29">
        <f>NORMSINV(O101)</f>
        <v/>
      </c>
      <c r="Q101" s="30">
        <f>IFERROR(AVERAGEIFS(PO_Lines!$R$2:$R$2025,PO_Lines!$B$2:$B$2025,$A101,PO_Lines!$Q$2:$Q$2025,1),INDEX(Items!$F$2:$F$117,MATCH($A101,Items!$A$2:$A$117,0)))</f>
        <v/>
      </c>
      <c r="R101" s="30">
        <f>IFERROR(SQRT(SUMPRODUCT((PO_Lines!$B$2:$B$2025=$A101)*PO_Lines!$Q$2:$Q$2025*(PO_Lines!$R$2:$R$2025-Q101)^2)/(COUNTIFS(PO_Lines!$B$2:$B$2025,$A101,PO_Lines!$Q$2:$Q$2025,1)-1)),0)</f>
        <v/>
      </c>
      <c r="S101" s="28">
        <f>ROUNDUP(P101*SQRT((Q101/Assumptions!$B$11)*H101^2+G101^2*(R101/Assumptions!$B$11)^2),0)</f>
        <v/>
      </c>
      <c r="T101" s="28">
        <f>ROUNDUP(G101*Q101/Assumptions!$B$11+S101,0)</f>
        <v/>
      </c>
      <c r="U101" s="28">
        <f>ROUNDUP(MAX(INDEX(Items!$G$2:$G$117,MATCH($A101,Items!$A$2:$A$117,0)),SQRT(2*F101*Assumptions!$B$5/(Assumptions!$B$6*E101)),G101*Assumptions!$B$16),0)</f>
        <v/>
      </c>
      <c r="V101" s="28">
        <f>INDEX(Stock_Snapshot!$B$2:$B$117,MATCH($A101,Stock_Snapshot!$A$2:$A$117,0))</f>
        <v/>
      </c>
      <c r="W101" s="28">
        <f>INDEX(Stock_Snapshot!$C$2:$C$117,MATCH($A101,Stock_Snapshot!$A$2:$A$117,0))</f>
        <v/>
      </c>
      <c r="X101" s="28">
        <f>V101+W101</f>
        <v/>
      </c>
      <c r="Y101" s="10">
        <f>IF(G101&gt;0,V101/(G101/Assumptions!$B$11),999)</f>
        <v/>
      </c>
      <c r="Z101" s="28">
        <f>S101+U101</f>
        <v/>
      </c>
      <c r="AA101" s="12">
        <f>IF(V101&lt;S101,"Below safety stock",IF(X101&lt;=T101,"Reorder now",IF(V101&gt;Z101,"Excess","Healthy")))</f>
        <v/>
      </c>
      <c r="AB101" s="16">
        <f>V101*E101</f>
        <v/>
      </c>
      <c r="AC101" s="16">
        <f>MAX(0,V101-Z101)*E101</f>
        <v/>
      </c>
      <c r="AD101" s="28">
        <f>IF(X101&lt;=T101,ROUNDUP(T101+U101-X101,0),0)</f>
        <v/>
      </c>
      <c r="AE101" s="16">
        <f>MAX(0,T101-X101)*E101</f>
        <v/>
      </c>
      <c r="AF101" s="31">
        <f>IF(INDEX(Stock_Snapshot!$D$2:$D$117,MATCH($A101,Stock_Snapshot!$A$2:$A$117,0))="","",INDEX(Stock_Snapshot!$D$2:$D$117,MATCH($A101,Stock_Snapshot!$A$2:$A$117,0)))</f>
        <v/>
      </c>
      <c r="AG101" s="12">
        <f>IF(AF101="","",IF(AF101&lt;=EDATE(Assumptions!$B$4,Assumptions!$B$12),"Expires &lt; "&amp;Assumptions!$B$12&amp;" m","OK"))</f>
        <v/>
      </c>
    </row>
    <row r="102">
      <c r="A102" s="12" t="inlineStr">
        <is>
          <t>CMD-0098</t>
        </is>
      </c>
      <c r="B102" s="12">
        <f>INDEX(Items!$B$2:$B$117,MATCH($A102,Items!$A$2:$A$117,0))</f>
        <v/>
      </c>
      <c r="C102" s="12">
        <f>INDEX(Items!$C$2:$C$117,MATCH($A102,Items!$A$2:$A$117,0))</f>
        <v/>
      </c>
      <c r="D102" s="12">
        <f>INDEX(Items!$D$2:$D$117,MATCH($A102,Items!$A$2:$A$117,0))</f>
        <v/>
      </c>
      <c r="E102" s="27">
        <f>INDEX(Items!$E$2:$E$117,MATCH($A102,Items!$A$2:$A$117,0))</f>
        <v/>
      </c>
      <c r="F102" s="28">
        <f>SUM(INDEX(Demand!$N$2:$Y$117,MATCH($A102,Demand!$A$2:$A$117,0),0))</f>
        <v/>
      </c>
      <c r="G102" s="28">
        <f>F102/12</f>
        <v/>
      </c>
      <c r="H102" s="28">
        <f>STDEV(INDEX(Demand!$N$2:$Y$117,MATCH($A102,Demand!$A$2:$A$117,0),0))</f>
        <v/>
      </c>
      <c r="I102" s="29">
        <f>IF(G102&gt;0,H102/G102,0)</f>
        <v/>
      </c>
      <c r="J102" s="16">
        <f>F102*E102</f>
        <v/>
      </c>
      <c r="K102" s="11">
        <f>SUMIF($J$5:$J$120,"&gt;="&amp;J102)/SUM($J$5:$J$120)</f>
        <v/>
      </c>
      <c r="L102" s="12">
        <f>IF(K102&lt;=Assumptions!$B$7,"A",IF(K102&lt;=Assumptions!$B$8,"B","C"))</f>
        <v/>
      </c>
      <c r="M102" s="12">
        <f>IF(I102&lt;=Assumptions!$B$9,"X",IF(I102&lt;=Assumptions!$B$10,"Y","Z"))</f>
        <v/>
      </c>
      <c r="N102" s="12">
        <f>L102&amp;M102</f>
        <v/>
      </c>
      <c r="O102" s="11">
        <f>INDEX(Assumptions!$F$4:$F$6,MATCH(L102,Assumptions!$E$4:$E$6,0))</f>
        <v/>
      </c>
      <c r="P102" s="29">
        <f>NORMSINV(O102)</f>
        <v/>
      </c>
      <c r="Q102" s="30">
        <f>IFERROR(AVERAGEIFS(PO_Lines!$R$2:$R$2025,PO_Lines!$B$2:$B$2025,$A102,PO_Lines!$Q$2:$Q$2025,1),INDEX(Items!$F$2:$F$117,MATCH($A102,Items!$A$2:$A$117,0)))</f>
        <v/>
      </c>
      <c r="R102" s="30">
        <f>IFERROR(SQRT(SUMPRODUCT((PO_Lines!$B$2:$B$2025=$A102)*PO_Lines!$Q$2:$Q$2025*(PO_Lines!$R$2:$R$2025-Q102)^2)/(COUNTIFS(PO_Lines!$B$2:$B$2025,$A102,PO_Lines!$Q$2:$Q$2025,1)-1)),0)</f>
        <v/>
      </c>
      <c r="S102" s="28">
        <f>ROUNDUP(P102*SQRT((Q102/Assumptions!$B$11)*H102^2+G102^2*(R102/Assumptions!$B$11)^2),0)</f>
        <v/>
      </c>
      <c r="T102" s="28">
        <f>ROUNDUP(G102*Q102/Assumptions!$B$11+S102,0)</f>
        <v/>
      </c>
      <c r="U102" s="28">
        <f>ROUNDUP(MAX(INDEX(Items!$G$2:$G$117,MATCH($A102,Items!$A$2:$A$117,0)),SQRT(2*F102*Assumptions!$B$5/(Assumptions!$B$6*E102)),G102*Assumptions!$B$16),0)</f>
        <v/>
      </c>
      <c r="V102" s="28">
        <f>INDEX(Stock_Snapshot!$B$2:$B$117,MATCH($A102,Stock_Snapshot!$A$2:$A$117,0))</f>
        <v/>
      </c>
      <c r="W102" s="28">
        <f>INDEX(Stock_Snapshot!$C$2:$C$117,MATCH($A102,Stock_Snapshot!$A$2:$A$117,0))</f>
        <v/>
      </c>
      <c r="X102" s="28">
        <f>V102+W102</f>
        <v/>
      </c>
      <c r="Y102" s="10">
        <f>IF(G102&gt;0,V102/(G102/Assumptions!$B$11),999)</f>
        <v/>
      </c>
      <c r="Z102" s="28">
        <f>S102+U102</f>
        <v/>
      </c>
      <c r="AA102" s="12">
        <f>IF(V102&lt;S102,"Below safety stock",IF(X102&lt;=T102,"Reorder now",IF(V102&gt;Z102,"Excess","Healthy")))</f>
        <v/>
      </c>
      <c r="AB102" s="16">
        <f>V102*E102</f>
        <v/>
      </c>
      <c r="AC102" s="16">
        <f>MAX(0,V102-Z102)*E102</f>
        <v/>
      </c>
      <c r="AD102" s="28">
        <f>IF(X102&lt;=T102,ROUNDUP(T102+U102-X102,0),0)</f>
        <v/>
      </c>
      <c r="AE102" s="16">
        <f>MAX(0,T102-X102)*E102</f>
        <v/>
      </c>
      <c r="AF102" s="31">
        <f>IF(INDEX(Stock_Snapshot!$D$2:$D$117,MATCH($A102,Stock_Snapshot!$A$2:$A$117,0))="","",INDEX(Stock_Snapshot!$D$2:$D$117,MATCH($A102,Stock_Snapshot!$A$2:$A$117,0)))</f>
        <v/>
      </c>
      <c r="AG102" s="12">
        <f>IF(AF102="","",IF(AF102&lt;=EDATE(Assumptions!$B$4,Assumptions!$B$12),"Expires &lt; "&amp;Assumptions!$B$12&amp;" m","OK"))</f>
        <v/>
      </c>
    </row>
    <row r="103">
      <c r="A103" s="12" t="inlineStr">
        <is>
          <t>CMD-0099</t>
        </is>
      </c>
      <c r="B103" s="12">
        <f>INDEX(Items!$B$2:$B$117,MATCH($A103,Items!$A$2:$A$117,0))</f>
        <v/>
      </c>
      <c r="C103" s="12">
        <f>INDEX(Items!$C$2:$C$117,MATCH($A103,Items!$A$2:$A$117,0))</f>
        <v/>
      </c>
      <c r="D103" s="12">
        <f>INDEX(Items!$D$2:$D$117,MATCH($A103,Items!$A$2:$A$117,0))</f>
        <v/>
      </c>
      <c r="E103" s="27">
        <f>INDEX(Items!$E$2:$E$117,MATCH($A103,Items!$A$2:$A$117,0))</f>
        <v/>
      </c>
      <c r="F103" s="28">
        <f>SUM(INDEX(Demand!$N$2:$Y$117,MATCH($A103,Demand!$A$2:$A$117,0),0))</f>
        <v/>
      </c>
      <c r="G103" s="28">
        <f>F103/12</f>
        <v/>
      </c>
      <c r="H103" s="28">
        <f>STDEV(INDEX(Demand!$N$2:$Y$117,MATCH($A103,Demand!$A$2:$A$117,0),0))</f>
        <v/>
      </c>
      <c r="I103" s="29">
        <f>IF(G103&gt;0,H103/G103,0)</f>
        <v/>
      </c>
      <c r="J103" s="16">
        <f>F103*E103</f>
        <v/>
      </c>
      <c r="K103" s="11">
        <f>SUMIF($J$5:$J$120,"&gt;="&amp;J103)/SUM($J$5:$J$120)</f>
        <v/>
      </c>
      <c r="L103" s="12">
        <f>IF(K103&lt;=Assumptions!$B$7,"A",IF(K103&lt;=Assumptions!$B$8,"B","C"))</f>
        <v/>
      </c>
      <c r="M103" s="12">
        <f>IF(I103&lt;=Assumptions!$B$9,"X",IF(I103&lt;=Assumptions!$B$10,"Y","Z"))</f>
        <v/>
      </c>
      <c r="N103" s="12">
        <f>L103&amp;M103</f>
        <v/>
      </c>
      <c r="O103" s="11">
        <f>INDEX(Assumptions!$F$4:$F$6,MATCH(L103,Assumptions!$E$4:$E$6,0))</f>
        <v/>
      </c>
      <c r="P103" s="29">
        <f>NORMSINV(O103)</f>
        <v/>
      </c>
      <c r="Q103" s="30">
        <f>IFERROR(AVERAGEIFS(PO_Lines!$R$2:$R$2025,PO_Lines!$B$2:$B$2025,$A103,PO_Lines!$Q$2:$Q$2025,1),INDEX(Items!$F$2:$F$117,MATCH($A103,Items!$A$2:$A$117,0)))</f>
        <v/>
      </c>
      <c r="R103" s="30">
        <f>IFERROR(SQRT(SUMPRODUCT((PO_Lines!$B$2:$B$2025=$A103)*PO_Lines!$Q$2:$Q$2025*(PO_Lines!$R$2:$R$2025-Q103)^2)/(COUNTIFS(PO_Lines!$B$2:$B$2025,$A103,PO_Lines!$Q$2:$Q$2025,1)-1)),0)</f>
        <v/>
      </c>
      <c r="S103" s="28">
        <f>ROUNDUP(P103*SQRT((Q103/Assumptions!$B$11)*H103^2+G103^2*(R103/Assumptions!$B$11)^2),0)</f>
        <v/>
      </c>
      <c r="T103" s="28">
        <f>ROUNDUP(G103*Q103/Assumptions!$B$11+S103,0)</f>
        <v/>
      </c>
      <c r="U103" s="28">
        <f>ROUNDUP(MAX(INDEX(Items!$G$2:$G$117,MATCH($A103,Items!$A$2:$A$117,0)),SQRT(2*F103*Assumptions!$B$5/(Assumptions!$B$6*E103)),G103*Assumptions!$B$16),0)</f>
        <v/>
      </c>
      <c r="V103" s="28">
        <f>INDEX(Stock_Snapshot!$B$2:$B$117,MATCH($A103,Stock_Snapshot!$A$2:$A$117,0))</f>
        <v/>
      </c>
      <c r="W103" s="28">
        <f>INDEX(Stock_Snapshot!$C$2:$C$117,MATCH($A103,Stock_Snapshot!$A$2:$A$117,0))</f>
        <v/>
      </c>
      <c r="X103" s="28">
        <f>V103+W103</f>
        <v/>
      </c>
      <c r="Y103" s="10">
        <f>IF(G103&gt;0,V103/(G103/Assumptions!$B$11),999)</f>
        <v/>
      </c>
      <c r="Z103" s="28">
        <f>S103+U103</f>
        <v/>
      </c>
      <c r="AA103" s="12">
        <f>IF(V103&lt;S103,"Below safety stock",IF(X103&lt;=T103,"Reorder now",IF(V103&gt;Z103,"Excess","Healthy")))</f>
        <v/>
      </c>
      <c r="AB103" s="16">
        <f>V103*E103</f>
        <v/>
      </c>
      <c r="AC103" s="16">
        <f>MAX(0,V103-Z103)*E103</f>
        <v/>
      </c>
      <c r="AD103" s="28">
        <f>IF(X103&lt;=T103,ROUNDUP(T103+U103-X103,0),0)</f>
        <v/>
      </c>
      <c r="AE103" s="16">
        <f>MAX(0,T103-X103)*E103</f>
        <v/>
      </c>
      <c r="AF103" s="31">
        <f>IF(INDEX(Stock_Snapshot!$D$2:$D$117,MATCH($A103,Stock_Snapshot!$A$2:$A$117,0))="","",INDEX(Stock_Snapshot!$D$2:$D$117,MATCH($A103,Stock_Snapshot!$A$2:$A$117,0)))</f>
        <v/>
      </c>
      <c r="AG103" s="12">
        <f>IF(AF103="","",IF(AF103&lt;=EDATE(Assumptions!$B$4,Assumptions!$B$12),"Expires &lt; "&amp;Assumptions!$B$12&amp;" m","OK"))</f>
        <v/>
      </c>
    </row>
    <row r="104">
      <c r="A104" s="12" t="inlineStr">
        <is>
          <t>CMD-0100</t>
        </is>
      </c>
      <c r="B104" s="12">
        <f>INDEX(Items!$B$2:$B$117,MATCH($A104,Items!$A$2:$A$117,0))</f>
        <v/>
      </c>
      <c r="C104" s="12">
        <f>INDEX(Items!$C$2:$C$117,MATCH($A104,Items!$A$2:$A$117,0))</f>
        <v/>
      </c>
      <c r="D104" s="12">
        <f>INDEX(Items!$D$2:$D$117,MATCH($A104,Items!$A$2:$A$117,0))</f>
        <v/>
      </c>
      <c r="E104" s="27">
        <f>INDEX(Items!$E$2:$E$117,MATCH($A104,Items!$A$2:$A$117,0))</f>
        <v/>
      </c>
      <c r="F104" s="28">
        <f>SUM(INDEX(Demand!$N$2:$Y$117,MATCH($A104,Demand!$A$2:$A$117,0),0))</f>
        <v/>
      </c>
      <c r="G104" s="28">
        <f>F104/12</f>
        <v/>
      </c>
      <c r="H104" s="28">
        <f>STDEV(INDEX(Demand!$N$2:$Y$117,MATCH($A104,Demand!$A$2:$A$117,0),0))</f>
        <v/>
      </c>
      <c r="I104" s="29">
        <f>IF(G104&gt;0,H104/G104,0)</f>
        <v/>
      </c>
      <c r="J104" s="16">
        <f>F104*E104</f>
        <v/>
      </c>
      <c r="K104" s="11">
        <f>SUMIF($J$5:$J$120,"&gt;="&amp;J104)/SUM($J$5:$J$120)</f>
        <v/>
      </c>
      <c r="L104" s="12">
        <f>IF(K104&lt;=Assumptions!$B$7,"A",IF(K104&lt;=Assumptions!$B$8,"B","C"))</f>
        <v/>
      </c>
      <c r="M104" s="12">
        <f>IF(I104&lt;=Assumptions!$B$9,"X",IF(I104&lt;=Assumptions!$B$10,"Y","Z"))</f>
        <v/>
      </c>
      <c r="N104" s="12">
        <f>L104&amp;M104</f>
        <v/>
      </c>
      <c r="O104" s="11">
        <f>INDEX(Assumptions!$F$4:$F$6,MATCH(L104,Assumptions!$E$4:$E$6,0))</f>
        <v/>
      </c>
      <c r="P104" s="29">
        <f>NORMSINV(O104)</f>
        <v/>
      </c>
      <c r="Q104" s="30">
        <f>IFERROR(AVERAGEIFS(PO_Lines!$R$2:$R$2025,PO_Lines!$B$2:$B$2025,$A104,PO_Lines!$Q$2:$Q$2025,1),INDEX(Items!$F$2:$F$117,MATCH($A104,Items!$A$2:$A$117,0)))</f>
        <v/>
      </c>
      <c r="R104" s="30">
        <f>IFERROR(SQRT(SUMPRODUCT((PO_Lines!$B$2:$B$2025=$A104)*PO_Lines!$Q$2:$Q$2025*(PO_Lines!$R$2:$R$2025-Q104)^2)/(COUNTIFS(PO_Lines!$B$2:$B$2025,$A104,PO_Lines!$Q$2:$Q$2025,1)-1)),0)</f>
        <v/>
      </c>
      <c r="S104" s="28">
        <f>ROUNDUP(P104*SQRT((Q104/Assumptions!$B$11)*H104^2+G104^2*(R104/Assumptions!$B$11)^2),0)</f>
        <v/>
      </c>
      <c r="T104" s="28">
        <f>ROUNDUP(G104*Q104/Assumptions!$B$11+S104,0)</f>
        <v/>
      </c>
      <c r="U104" s="28">
        <f>ROUNDUP(MAX(INDEX(Items!$G$2:$G$117,MATCH($A104,Items!$A$2:$A$117,0)),SQRT(2*F104*Assumptions!$B$5/(Assumptions!$B$6*E104)),G104*Assumptions!$B$16),0)</f>
        <v/>
      </c>
      <c r="V104" s="28">
        <f>INDEX(Stock_Snapshot!$B$2:$B$117,MATCH($A104,Stock_Snapshot!$A$2:$A$117,0))</f>
        <v/>
      </c>
      <c r="W104" s="28">
        <f>INDEX(Stock_Snapshot!$C$2:$C$117,MATCH($A104,Stock_Snapshot!$A$2:$A$117,0))</f>
        <v/>
      </c>
      <c r="X104" s="28">
        <f>V104+W104</f>
        <v/>
      </c>
      <c r="Y104" s="10">
        <f>IF(G104&gt;0,V104/(G104/Assumptions!$B$11),999)</f>
        <v/>
      </c>
      <c r="Z104" s="28">
        <f>S104+U104</f>
        <v/>
      </c>
      <c r="AA104" s="12">
        <f>IF(V104&lt;S104,"Below safety stock",IF(X104&lt;=T104,"Reorder now",IF(V104&gt;Z104,"Excess","Healthy")))</f>
        <v/>
      </c>
      <c r="AB104" s="16">
        <f>V104*E104</f>
        <v/>
      </c>
      <c r="AC104" s="16">
        <f>MAX(0,V104-Z104)*E104</f>
        <v/>
      </c>
      <c r="AD104" s="28">
        <f>IF(X104&lt;=T104,ROUNDUP(T104+U104-X104,0),0)</f>
        <v/>
      </c>
      <c r="AE104" s="16">
        <f>MAX(0,T104-X104)*E104</f>
        <v/>
      </c>
      <c r="AF104" s="31">
        <f>IF(INDEX(Stock_Snapshot!$D$2:$D$117,MATCH($A104,Stock_Snapshot!$A$2:$A$117,0))="","",INDEX(Stock_Snapshot!$D$2:$D$117,MATCH($A104,Stock_Snapshot!$A$2:$A$117,0)))</f>
        <v/>
      </c>
      <c r="AG104" s="12">
        <f>IF(AF104="","",IF(AF104&lt;=EDATE(Assumptions!$B$4,Assumptions!$B$12),"Expires &lt; "&amp;Assumptions!$B$12&amp;" m","OK"))</f>
        <v/>
      </c>
    </row>
    <row r="105">
      <c r="A105" s="12" t="inlineStr">
        <is>
          <t>CMD-0101</t>
        </is>
      </c>
      <c r="B105" s="12">
        <f>INDEX(Items!$B$2:$B$117,MATCH($A105,Items!$A$2:$A$117,0))</f>
        <v/>
      </c>
      <c r="C105" s="12">
        <f>INDEX(Items!$C$2:$C$117,MATCH($A105,Items!$A$2:$A$117,0))</f>
        <v/>
      </c>
      <c r="D105" s="12">
        <f>INDEX(Items!$D$2:$D$117,MATCH($A105,Items!$A$2:$A$117,0))</f>
        <v/>
      </c>
      <c r="E105" s="27">
        <f>INDEX(Items!$E$2:$E$117,MATCH($A105,Items!$A$2:$A$117,0))</f>
        <v/>
      </c>
      <c r="F105" s="28">
        <f>SUM(INDEX(Demand!$N$2:$Y$117,MATCH($A105,Demand!$A$2:$A$117,0),0))</f>
        <v/>
      </c>
      <c r="G105" s="28">
        <f>F105/12</f>
        <v/>
      </c>
      <c r="H105" s="28">
        <f>STDEV(INDEX(Demand!$N$2:$Y$117,MATCH($A105,Demand!$A$2:$A$117,0),0))</f>
        <v/>
      </c>
      <c r="I105" s="29">
        <f>IF(G105&gt;0,H105/G105,0)</f>
        <v/>
      </c>
      <c r="J105" s="16">
        <f>F105*E105</f>
        <v/>
      </c>
      <c r="K105" s="11">
        <f>SUMIF($J$5:$J$120,"&gt;="&amp;J105)/SUM($J$5:$J$120)</f>
        <v/>
      </c>
      <c r="L105" s="12">
        <f>IF(K105&lt;=Assumptions!$B$7,"A",IF(K105&lt;=Assumptions!$B$8,"B","C"))</f>
        <v/>
      </c>
      <c r="M105" s="12">
        <f>IF(I105&lt;=Assumptions!$B$9,"X",IF(I105&lt;=Assumptions!$B$10,"Y","Z"))</f>
        <v/>
      </c>
      <c r="N105" s="12">
        <f>L105&amp;M105</f>
        <v/>
      </c>
      <c r="O105" s="11">
        <f>INDEX(Assumptions!$F$4:$F$6,MATCH(L105,Assumptions!$E$4:$E$6,0))</f>
        <v/>
      </c>
      <c r="P105" s="29">
        <f>NORMSINV(O105)</f>
        <v/>
      </c>
      <c r="Q105" s="30">
        <f>IFERROR(AVERAGEIFS(PO_Lines!$R$2:$R$2025,PO_Lines!$B$2:$B$2025,$A105,PO_Lines!$Q$2:$Q$2025,1),INDEX(Items!$F$2:$F$117,MATCH($A105,Items!$A$2:$A$117,0)))</f>
        <v/>
      </c>
      <c r="R105" s="30">
        <f>IFERROR(SQRT(SUMPRODUCT((PO_Lines!$B$2:$B$2025=$A105)*PO_Lines!$Q$2:$Q$2025*(PO_Lines!$R$2:$R$2025-Q105)^2)/(COUNTIFS(PO_Lines!$B$2:$B$2025,$A105,PO_Lines!$Q$2:$Q$2025,1)-1)),0)</f>
        <v/>
      </c>
      <c r="S105" s="28">
        <f>ROUNDUP(P105*SQRT((Q105/Assumptions!$B$11)*H105^2+G105^2*(R105/Assumptions!$B$11)^2),0)</f>
        <v/>
      </c>
      <c r="T105" s="28">
        <f>ROUNDUP(G105*Q105/Assumptions!$B$11+S105,0)</f>
        <v/>
      </c>
      <c r="U105" s="28">
        <f>ROUNDUP(MAX(INDEX(Items!$G$2:$G$117,MATCH($A105,Items!$A$2:$A$117,0)),SQRT(2*F105*Assumptions!$B$5/(Assumptions!$B$6*E105)),G105*Assumptions!$B$16),0)</f>
        <v/>
      </c>
      <c r="V105" s="28">
        <f>INDEX(Stock_Snapshot!$B$2:$B$117,MATCH($A105,Stock_Snapshot!$A$2:$A$117,0))</f>
        <v/>
      </c>
      <c r="W105" s="28">
        <f>INDEX(Stock_Snapshot!$C$2:$C$117,MATCH($A105,Stock_Snapshot!$A$2:$A$117,0))</f>
        <v/>
      </c>
      <c r="X105" s="28">
        <f>V105+W105</f>
        <v/>
      </c>
      <c r="Y105" s="10">
        <f>IF(G105&gt;0,V105/(G105/Assumptions!$B$11),999)</f>
        <v/>
      </c>
      <c r="Z105" s="28">
        <f>S105+U105</f>
        <v/>
      </c>
      <c r="AA105" s="12">
        <f>IF(V105&lt;S105,"Below safety stock",IF(X105&lt;=T105,"Reorder now",IF(V105&gt;Z105,"Excess","Healthy")))</f>
        <v/>
      </c>
      <c r="AB105" s="16">
        <f>V105*E105</f>
        <v/>
      </c>
      <c r="AC105" s="16">
        <f>MAX(0,V105-Z105)*E105</f>
        <v/>
      </c>
      <c r="AD105" s="28">
        <f>IF(X105&lt;=T105,ROUNDUP(T105+U105-X105,0),0)</f>
        <v/>
      </c>
      <c r="AE105" s="16">
        <f>MAX(0,T105-X105)*E105</f>
        <v/>
      </c>
      <c r="AF105" s="31">
        <f>IF(INDEX(Stock_Snapshot!$D$2:$D$117,MATCH($A105,Stock_Snapshot!$A$2:$A$117,0))="","",INDEX(Stock_Snapshot!$D$2:$D$117,MATCH($A105,Stock_Snapshot!$A$2:$A$117,0)))</f>
        <v/>
      </c>
      <c r="AG105" s="12">
        <f>IF(AF105="","",IF(AF105&lt;=EDATE(Assumptions!$B$4,Assumptions!$B$12),"Expires &lt; "&amp;Assumptions!$B$12&amp;" m","OK"))</f>
        <v/>
      </c>
    </row>
    <row r="106">
      <c r="A106" s="12" t="inlineStr">
        <is>
          <t>CMD-0102</t>
        </is>
      </c>
      <c r="B106" s="12">
        <f>INDEX(Items!$B$2:$B$117,MATCH($A106,Items!$A$2:$A$117,0))</f>
        <v/>
      </c>
      <c r="C106" s="12">
        <f>INDEX(Items!$C$2:$C$117,MATCH($A106,Items!$A$2:$A$117,0))</f>
        <v/>
      </c>
      <c r="D106" s="12">
        <f>INDEX(Items!$D$2:$D$117,MATCH($A106,Items!$A$2:$A$117,0))</f>
        <v/>
      </c>
      <c r="E106" s="27">
        <f>INDEX(Items!$E$2:$E$117,MATCH($A106,Items!$A$2:$A$117,0))</f>
        <v/>
      </c>
      <c r="F106" s="28">
        <f>SUM(INDEX(Demand!$N$2:$Y$117,MATCH($A106,Demand!$A$2:$A$117,0),0))</f>
        <v/>
      </c>
      <c r="G106" s="28">
        <f>F106/12</f>
        <v/>
      </c>
      <c r="H106" s="28">
        <f>STDEV(INDEX(Demand!$N$2:$Y$117,MATCH($A106,Demand!$A$2:$A$117,0),0))</f>
        <v/>
      </c>
      <c r="I106" s="29">
        <f>IF(G106&gt;0,H106/G106,0)</f>
        <v/>
      </c>
      <c r="J106" s="16">
        <f>F106*E106</f>
        <v/>
      </c>
      <c r="K106" s="11">
        <f>SUMIF($J$5:$J$120,"&gt;="&amp;J106)/SUM($J$5:$J$120)</f>
        <v/>
      </c>
      <c r="L106" s="12">
        <f>IF(K106&lt;=Assumptions!$B$7,"A",IF(K106&lt;=Assumptions!$B$8,"B","C"))</f>
        <v/>
      </c>
      <c r="M106" s="12">
        <f>IF(I106&lt;=Assumptions!$B$9,"X",IF(I106&lt;=Assumptions!$B$10,"Y","Z"))</f>
        <v/>
      </c>
      <c r="N106" s="12">
        <f>L106&amp;M106</f>
        <v/>
      </c>
      <c r="O106" s="11">
        <f>INDEX(Assumptions!$F$4:$F$6,MATCH(L106,Assumptions!$E$4:$E$6,0))</f>
        <v/>
      </c>
      <c r="P106" s="29">
        <f>NORMSINV(O106)</f>
        <v/>
      </c>
      <c r="Q106" s="30">
        <f>IFERROR(AVERAGEIFS(PO_Lines!$R$2:$R$2025,PO_Lines!$B$2:$B$2025,$A106,PO_Lines!$Q$2:$Q$2025,1),INDEX(Items!$F$2:$F$117,MATCH($A106,Items!$A$2:$A$117,0)))</f>
        <v/>
      </c>
      <c r="R106" s="30">
        <f>IFERROR(SQRT(SUMPRODUCT((PO_Lines!$B$2:$B$2025=$A106)*PO_Lines!$Q$2:$Q$2025*(PO_Lines!$R$2:$R$2025-Q106)^2)/(COUNTIFS(PO_Lines!$B$2:$B$2025,$A106,PO_Lines!$Q$2:$Q$2025,1)-1)),0)</f>
        <v/>
      </c>
      <c r="S106" s="28">
        <f>ROUNDUP(P106*SQRT((Q106/Assumptions!$B$11)*H106^2+G106^2*(R106/Assumptions!$B$11)^2),0)</f>
        <v/>
      </c>
      <c r="T106" s="28">
        <f>ROUNDUP(G106*Q106/Assumptions!$B$11+S106,0)</f>
        <v/>
      </c>
      <c r="U106" s="28">
        <f>ROUNDUP(MAX(INDEX(Items!$G$2:$G$117,MATCH($A106,Items!$A$2:$A$117,0)),SQRT(2*F106*Assumptions!$B$5/(Assumptions!$B$6*E106)),G106*Assumptions!$B$16),0)</f>
        <v/>
      </c>
      <c r="V106" s="28">
        <f>INDEX(Stock_Snapshot!$B$2:$B$117,MATCH($A106,Stock_Snapshot!$A$2:$A$117,0))</f>
        <v/>
      </c>
      <c r="W106" s="28">
        <f>INDEX(Stock_Snapshot!$C$2:$C$117,MATCH($A106,Stock_Snapshot!$A$2:$A$117,0))</f>
        <v/>
      </c>
      <c r="X106" s="28">
        <f>V106+W106</f>
        <v/>
      </c>
      <c r="Y106" s="10">
        <f>IF(G106&gt;0,V106/(G106/Assumptions!$B$11),999)</f>
        <v/>
      </c>
      <c r="Z106" s="28">
        <f>S106+U106</f>
        <v/>
      </c>
      <c r="AA106" s="12">
        <f>IF(V106&lt;S106,"Below safety stock",IF(X106&lt;=T106,"Reorder now",IF(V106&gt;Z106,"Excess","Healthy")))</f>
        <v/>
      </c>
      <c r="AB106" s="16">
        <f>V106*E106</f>
        <v/>
      </c>
      <c r="AC106" s="16">
        <f>MAX(0,V106-Z106)*E106</f>
        <v/>
      </c>
      <c r="AD106" s="28">
        <f>IF(X106&lt;=T106,ROUNDUP(T106+U106-X106,0),0)</f>
        <v/>
      </c>
      <c r="AE106" s="16">
        <f>MAX(0,T106-X106)*E106</f>
        <v/>
      </c>
      <c r="AF106" s="31">
        <f>IF(INDEX(Stock_Snapshot!$D$2:$D$117,MATCH($A106,Stock_Snapshot!$A$2:$A$117,0))="","",INDEX(Stock_Snapshot!$D$2:$D$117,MATCH($A106,Stock_Snapshot!$A$2:$A$117,0)))</f>
        <v/>
      </c>
      <c r="AG106" s="12">
        <f>IF(AF106="","",IF(AF106&lt;=EDATE(Assumptions!$B$4,Assumptions!$B$12),"Expires &lt; "&amp;Assumptions!$B$12&amp;" m","OK"))</f>
        <v/>
      </c>
    </row>
    <row r="107">
      <c r="A107" s="12" t="inlineStr">
        <is>
          <t>CMD-0103</t>
        </is>
      </c>
      <c r="B107" s="12">
        <f>INDEX(Items!$B$2:$B$117,MATCH($A107,Items!$A$2:$A$117,0))</f>
        <v/>
      </c>
      <c r="C107" s="12">
        <f>INDEX(Items!$C$2:$C$117,MATCH($A107,Items!$A$2:$A$117,0))</f>
        <v/>
      </c>
      <c r="D107" s="12">
        <f>INDEX(Items!$D$2:$D$117,MATCH($A107,Items!$A$2:$A$117,0))</f>
        <v/>
      </c>
      <c r="E107" s="27">
        <f>INDEX(Items!$E$2:$E$117,MATCH($A107,Items!$A$2:$A$117,0))</f>
        <v/>
      </c>
      <c r="F107" s="28">
        <f>SUM(INDEX(Demand!$N$2:$Y$117,MATCH($A107,Demand!$A$2:$A$117,0),0))</f>
        <v/>
      </c>
      <c r="G107" s="28">
        <f>F107/12</f>
        <v/>
      </c>
      <c r="H107" s="28">
        <f>STDEV(INDEX(Demand!$N$2:$Y$117,MATCH($A107,Demand!$A$2:$A$117,0),0))</f>
        <v/>
      </c>
      <c r="I107" s="29">
        <f>IF(G107&gt;0,H107/G107,0)</f>
        <v/>
      </c>
      <c r="J107" s="16">
        <f>F107*E107</f>
        <v/>
      </c>
      <c r="K107" s="11">
        <f>SUMIF($J$5:$J$120,"&gt;="&amp;J107)/SUM($J$5:$J$120)</f>
        <v/>
      </c>
      <c r="L107" s="12">
        <f>IF(K107&lt;=Assumptions!$B$7,"A",IF(K107&lt;=Assumptions!$B$8,"B","C"))</f>
        <v/>
      </c>
      <c r="M107" s="12">
        <f>IF(I107&lt;=Assumptions!$B$9,"X",IF(I107&lt;=Assumptions!$B$10,"Y","Z"))</f>
        <v/>
      </c>
      <c r="N107" s="12">
        <f>L107&amp;M107</f>
        <v/>
      </c>
      <c r="O107" s="11">
        <f>INDEX(Assumptions!$F$4:$F$6,MATCH(L107,Assumptions!$E$4:$E$6,0))</f>
        <v/>
      </c>
      <c r="P107" s="29">
        <f>NORMSINV(O107)</f>
        <v/>
      </c>
      <c r="Q107" s="30">
        <f>IFERROR(AVERAGEIFS(PO_Lines!$R$2:$R$2025,PO_Lines!$B$2:$B$2025,$A107,PO_Lines!$Q$2:$Q$2025,1),INDEX(Items!$F$2:$F$117,MATCH($A107,Items!$A$2:$A$117,0)))</f>
        <v/>
      </c>
      <c r="R107" s="30">
        <f>IFERROR(SQRT(SUMPRODUCT((PO_Lines!$B$2:$B$2025=$A107)*PO_Lines!$Q$2:$Q$2025*(PO_Lines!$R$2:$R$2025-Q107)^2)/(COUNTIFS(PO_Lines!$B$2:$B$2025,$A107,PO_Lines!$Q$2:$Q$2025,1)-1)),0)</f>
        <v/>
      </c>
      <c r="S107" s="28">
        <f>ROUNDUP(P107*SQRT((Q107/Assumptions!$B$11)*H107^2+G107^2*(R107/Assumptions!$B$11)^2),0)</f>
        <v/>
      </c>
      <c r="T107" s="28">
        <f>ROUNDUP(G107*Q107/Assumptions!$B$11+S107,0)</f>
        <v/>
      </c>
      <c r="U107" s="28">
        <f>ROUNDUP(MAX(INDEX(Items!$G$2:$G$117,MATCH($A107,Items!$A$2:$A$117,0)),SQRT(2*F107*Assumptions!$B$5/(Assumptions!$B$6*E107)),G107*Assumptions!$B$16),0)</f>
        <v/>
      </c>
      <c r="V107" s="28">
        <f>INDEX(Stock_Snapshot!$B$2:$B$117,MATCH($A107,Stock_Snapshot!$A$2:$A$117,0))</f>
        <v/>
      </c>
      <c r="W107" s="28">
        <f>INDEX(Stock_Snapshot!$C$2:$C$117,MATCH($A107,Stock_Snapshot!$A$2:$A$117,0))</f>
        <v/>
      </c>
      <c r="X107" s="28">
        <f>V107+W107</f>
        <v/>
      </c>
      <c r="Y107" s="10">
        <f>IF(G107&gt;0,V107/(G107/Assumptions!$B$11),999)</f>
        <v/>
      </c>
      <c r="Z107" s="28">
        <f>S107+U107</f>
        <v/>
      </c>
      <c r="AA107" s="12">
        <f>IF(V107&lt;S107,"Below safety stock",IF(X107&lt;=T107,"Reorder now",IF(V107&gt;Z107,"Excess","Healthy")))</f>
        <v/>
      </c>
      <c r="AB107" s="16">
        <f>V107*E107</f>
        <v/>
      </c>
      <c r="AC107" s="16">
        <f>MAX(0,V107-Z107)*E107</f>
        <v/>
      </c>
      <c r="AD107" s="28">
        <f>IF(X107&lt;=T107,ROUNDUP(T107+U107-X107,0),0)</f>
        <v/>
      </c>
      <c r="AE107" s="16">
        <f>MAX(0,T107-X107)*E107</f>
        <v/>
      </c>
      <c r="AF107" s="31">
        <f>IF(INDEX(Stock_Snapshot!$D$2:$D$117,MATCH($A107,Stock_Snapshot!$A$2:$A$117,0))="","",INDEX(Stock_Snapshot!$D$2:$D$117,MATCH($A107,Stock_Snapshot!$A$2:$A$117,0)))</f>
        <v/>
      </c>
      <c r="AG107" s="12">
        <f>IF(AF107="","",IF(AF107&lt;=EDATE(Assumptions!$B$4,Assumptions!$B$12),"Expires &lt; "&amp;Assumptions!$B$12&amp;" m","OK"))</f>
        <v/>
      </c>
    </row>
    <row r="108">
      <c r="A108" s="12" t="inlineStr">
        <is>
          <t>CMD-0104</t>
        </is>
      </c>
      <c r="B108" s="12">
        <f>INDEX(Items!$B$2:$B$117,MATCH($A108,Items!$A$2:$A$117,0))</f>
        <v/>
      </c>
      <c r="C108" s="12">
        <f>INDEX(Items!$C$2:$C$117,MATCH($A108,Items!$A$2:$A$117,0))</f>
        <v/>
      </c>
      <c r="D108" s="12">
        <f>INDEX(Items!$D$2:$D$117,MATCH($A108,Items!$A$2:$A$117,0))</f>
        <v/>
      </c>
      <c r="E108" s="27">
        <f>INDEX(Items!$E$2:$E$117,MATCH($A108,Items!$A$2:$A$117,0))</f>
        <v/>
      </c>
      <c r="F108" s="28">
        <f>SUM(INDEX(Demand!$N$2:$Y$117,MATCH($A108,Demand!$A$2:$A$117,0),0))</f>
        <v/>
      </c>
      <c r="G108" s="28">
        <f>F108/12</f>
        <v/>
      </c>
      <c r="H108" s="28">
        <f>STDEV(INDEX(Demand!$N$2:$Y$117,MATCH($A108,Demand!$A$2:$A$117,0),0))</f>
        <v/>
      </c>
      <c r="I108" s="29">
        <f>IF(G108&gt;0,H108/G108,0)</f>
        <v/>
      </c>
      <c r="J108" s="16">
        <f>F108*E108</f>
        <v/>
      </c>
      <c r="K108" s="11">
        <f>SUMIF($J$5:$J$120,"&gt;="&amp;J108)/SUM($J$5:$J$120)</f>
        <v/>
      </c>
      <c r="L108" s="12">
        <f>IF(K108&lt;=Assumptions!$B$7,"A",IF(K108&lt;=Assumptions!$B$8,"B","C"))</f>
        <v/>
      </c>
      <c r="M108" s="12">
        <f>IF(I108&lt;=Assumptions!$B$9,"X",IF(I108&lt;=Assumptions!$B$10,"Y","Z"))</f>
        <v/>
      </c>
      <c r="N108" s="12">
        <f>L108&amp;M108</f>
        <v/>
      </c>
      <c r="O108" s="11">
        <f>INDEX(Assumptions!$F$4:$F$6,MATCH(L108,Assumptions!$E$4:$E$6,0))</f>
        <v/>
      </c>
      <c r="P108" s="29">
        <f>NORMSINV(O108)</f>
        <v/>
      </c>
      <c r="Q108" s="30">
        <f>IFERROR(AVERAGEIFS(PO_Lines!$R$2:$R$2025,PO_Lines!$B$2:$B$2025,$A108,PO_Lines!$Q$2:$Q$2025,1),INDEX(Items!$F$2:$F$117,MATCH($A108,Items!$A$2:$A$117,0)))</f>
        <v/>
      </c>
      <c r="R108" s="30">
        <f>IFERROR(SQRT(SUMPRODUCT((PO_Lines!$B$2:$B$2025=$A108)*PO_Lines!$Q$2:$Q$2025*(PO_Lines!$R$2:$R$2025-Q108)^2)/(COUNTIFS(PO_Lines!$B$2:$B$2025,$A108,PO_Lines!$Q$2:$Q$2025,1)-1)),0)</f>
        <v/>
      </c>
      <c r="S108" s="28">
        <f>ROUNDUP(P108*SQRT((Q108/Assumptions!$B$11)*H108^2+G108^2*(R108/Assumptions!$B$11)^2),0)</f>
        <v/>
      </c>
      <c r="T108" s="28">
        <f>ROUNDUP(G108*Q108/Assumptions!$B$11+S108,0)</f>
        <v/>
      </c>
      <c r="U108" s="28">
        <f>ROUNDUP(MAX(INDEX(Items!$G$2:$G$117,MATCH($A108,Items!$A$2:$A$117,0)),SQRT(2*F108*Assumptions!$B$5/(Assumptions!$B$6*E108)),G108*Assumptions!$B$16),0)</f>
        <v/>
      </c>
      <c r="V108" s="28">
        <f>INDEX(Stock_Snapshot!$B$2:$B$117,MATCH($A108,Stock_Snapshot!$A$2:$A$117,0))</f>
        <v/>
      </c>
      <c r="W108" s="28">
        <f>INDEX(Stock_Snapshot!$C$2:$C$117,MATCH($A108,Stock_Snapshot!$A$2:$A$117,0))</f>
        <v/>
      </c>
      <c r="X108" s="28">
        <f>V108+W108</f>
        <v/>
      </c>
      <c r="Y108" s="10">
        <f>IF(G108&gt;0,V108/(G108/Assumptions!$B$11),999)</f>
        <v/>
      </c>
      <c r="Z108" s="28">
        <f>S108+U108</f>
        <v/>
      </c>
      <c r="AA108" s="12">
        <f>IF(V108&lt;S108,"Below safety stock",IF(X108&lt;=T108,"Reorder now",IF(V108&gt;Z108,"Excess","Healthy")))</f>
        <v/>
      </c>
      <c r="AB108" s="16">
        <f>V108*E108</f>
        <v/>
      </c>
      <c r="AC108" s="16">
        <f>MAX(0,V108-Z108)*E108</f>
        <v/>
      </c>
      <c r="AD108" s="28">
        <f>IF(X108&lt;=T108,ROUNDUP(T108+U108-X108,0),0)</f>
        <v/>
      </c>
      <c r="AE108" s="16">
        <f>MAX(0,T108-X108)*E108</f>
        <v/>
      </c>
      <c r="AF108" s="31">
        <f>IF(INDEX(Stock_Snapshot!$D$2:$D$117,MATCH($A108,Stock_Snapshot!$A$2:$A$117,0))="","",INDEX(Stock_Snapshot!$D$2:$D$117,MATCH($A108,Stock_Snapshot!$A$2:$A$117,0)))</f>
        <v/>
      </c>
      <c r="AG108" s="12">
        <f>IF(AF108="","",IF(AF108&lt;=EDATE(Assumptions!$B$4,Assumptions!$B$12),"Expires &lt; "&amp;Assumptions!$B$12&amp;" m","OK"))</f>
        <v/>
      </c>
    </row>
    <row r="109">
      <c r="A109" s="12" t="inlineStr">
        <is>
          <t>CMD-0105</t>
        </is>
      </c>
      <c r="B109" s="12">
        <f>INDEX(Items!$B$2:$B$117,MATCH($A109,Items!$A$2:$A$117,0))</f>
        <v/>
      </c>
      <c r="C109" s="12">
        <f>INDEX(Items!$C$2:$C$117,MATCH($A109,Items!$A$2:$A$117,0))</f>
        <v/>
      </c>
      <c r="D109" s="12">
        <f>INDEX(Items!$D$2:$D$117,MATCH($A109,Items!$A$2:$A$117,0))</f>
        <v/>
      </c>
      <c r="E109" s="27">
        <f>INDEX(Items!$E$2:$E$117,MATCH($A109,Items!$A$2:$A$117,0))</f>
        <v/>
      </c>
      <c r="F109" s="28">
        <f>SUM(INDEX(Demand!$N$2:$Y$117,MATCH($A109,Demand!$A$2:$A$117,0),0))</f>
        <v/>
      </c>
      <c r="G109" s="28">
        <f>F109/12</f>
        <v/>
      </c>
      <c r="H109" s="28">
        <f>STDEV(INDEX(Demand!$N$2:$Y$117,MATCH($A109,Demand!$A$2:$A$117,0),0))</f>
        <v/>
      </c>
      <c r="I109" s="29">
        <f>IF(G109&gt;0,H109/G109,0)</f>
        <v/>
      </c>
      <c r="J109" s="16">
        <f>F109*E109</f>
        <v/>
      </c>
      <c r="K109" s="11">
        <f>SUMIF($J$5:$J$120,"&gt;="&amp;J109)/SUM($J$5:$J$120)</f>
        <v/>
      </c>
      <c r="L109" s="12">
        <f>IF(K109&lt;=Assumptions!$B$7,"A",IF(K109&lt;=Assumptions!$B$8,"B","C"))</f>
        <v/>
      </c>
      <c r="M109" s="12">
        <f>IF(I109&lt;=Assumptions!$B$9,"X",IF(I109&lt;=Assumptions!$B$10,"Y","Z"))</f>
        <v/>
      </c>
      <c r="N109" s="12">
        <f>L109&amp;M109</f>
        <v/>
      </c>
      <c r="O109" s="11">
        <f>INDEX(Assumptions!$F$4:$F$6,MATCH(L109,Assumptions!$E$4:$E$6,0))</f>
        <v/>
      </c>
      <c r="P109" s="29">
        <f>NORMSINV(O109)</f>
        <v/>
      </c>
      <c r="Q109" s="30">
        <f>IFERROR(AVERAGEIFS(PO_Lines!$R$2:$R$2025,PO_Lines!$B$2:$B$2025,$A109,PO_Lines!$Q$2:$Q$2025,1),INDEX(Items!$F$2:$F$117,MATCH($A109,Items!$A$2:$A$117,0)))</f>
        <v/>
      </c>
      <c r="R109" s="30">
        <f>IFERROR(SQRT(SUMPRODUCT((PO_Lines!$B$2:$B$2025=$A109)*PO_Lines!$Q$2:$Q$2025*(PO_Lines!$R$2:$R$2025-Q109)^2)/(COUNTIFS(PO_Lines!$B$2:$B$2025,$A109,PO_Lines!$Q$2:$Q$2025,1)-1)),0)</f>
        <v/>
      </c>
      <c r="S109" s="28">
        <f>ROUNDUP(P109*SQRT((Q109/Assumptions!$B$11)*H109^2+G109^2*(R109/Assumptions!$B$11)^2),0)</f>
        <v/>
      </c>
      <c r="T109" s="28">
        <f>ROUNDUP(G109*Q109/Assumptions!$B$11+S109,0)</f>
        <v/>
      </c>
      <c r="U109" s="28">
        <f>ROUNDUP(MAX(INDEX(Items!$G$2:$G$117,MATCH($A109,Items!$A$2:$A$117,0)),SQRT(2*F109*Assumptions!$B$5/(Assumptions!$B$6*E109)),G109*Assumptions!$B$16),0)</f>
        <v/>
      </c>
      <c r="V109" s="28">
        <f>INDEX(Stock_Snapshot!$B$2:$B$117,MATCH($A109,Stock_Snapshot!$A$2:$A$117,0))</f>
        <v/>
      </c>
      <c r="W109" s="28">
        <f>INDEX(Stock_Snapshot!$C$2:$C$117,MATCH($A109,Stock_Snapshot!$A$2:$A$117,0))</f>
        <v/>
      </c>
      <c r="X109" s="28">
        <f>V109+W109</f>
        <v/>
      </c>
      <c r="Y109" s="10">
        <f>IF(G109&gt;0,V109/(G109/Assumptions!$B$11),999)</f>
        <v/>
      </c>
      <c r="Z109" s="28">
        <f>S109+U109</f>
        <v/>
      </c>
      <c r="AA109" s="12">
        <f>IF(V109&lt;S109,"Below safety stock",IF(X109&lt;=T109,"Reorder now",IF(V109&gt;Z109,"Excess","Healthy")))</f>
        <v/>
      </c>
      <c r="AB109" s="16">
        <f>V109*E109</f>
        <v/>
      </c>
      <c r="AC109" s="16">
        <f>MAX(0,V109-Z109)*E109</f>
        <v/>
      </c>
      <c r="AD109" s="28">
        <f>IF(X109&lt;=T109,ROUNDUP(T109+U109-X109,0),0)</f>
        <v/>
      </c>
      <c r="AE109" s="16">
        <f>MAX(0,T109-X109)*E109</f>
        <v/>
      </c>
      <c r="AF109" s="31">
        <f>IF(INDEX(Stock_Snapshot!$D$2:$D$117,MATCH($A109,Stock_Snapshot!$A$2:$A$117,0))="","",INDEX(Stock_Snapshot!$D$2:$D$117,MATCH($A109,Stock_Snapshot!$A$2:$A$117,0)))</f>
        <v/>
      </c>
      <c r="AG109" s="12">
        <f>IF(AF109="","",IF(AF109&lt;=EDATE(Assumptions!$B$4,Assumptions!$B$12),"Expires &lt; "&amp;Assumptions!$B$12&amp;" m","OK"))</f>
        <v/>
      </c>
    </row>
    <row r="110">
      <c r="A110" s="12" t="inlineStr">
        <is>
          <t>CMD-0106</t>
        </is>
      </c>
      <c r="B110" s="12">
        <f>INDEX(Items!$B$2:$B$117,MATCH($A110,Items!$A$2:$A$117,0))</f>
        <v/>
      </c>
      <c r="C110" s="12">
        <f>INDEX(Items!$C$2:$C$117,MATCH($A110,Items!$A$2:$A$117,0))</f>
        <v/>
      </c>
      <c r="D110" s="12">
        <f>INDEX(Items!$D$2:$D$117,MATCH($A110,Items!$A$2:$A$117,0))</f>
        <v/>
      </c>
      <c r="E110" s="27">
        <f>INDEX(Items!$E$2:$E$117,MATCH($A110,Items!$A$2:$A$117,0))</f>
        <v/>
      </c>
      <c r="F110" s="28">
        <f>SUM(INDEX(Demand!$N$2:$Y$117,MATCH($A110,Demand!$A$2:$A$117,0),0))</f>
        <v/>
      </c>
      <c r="G110" s="28">
        <f>F110/12</f>
        <v/>
      </c>
      <c r="H110" s="28">
        <f>STDEV(INDEX(Demand!$N$2:$Y$117,MATCH($A110,Demand!$A$2:$A$117,0),0))</f>
        <v/>
      </c>
      <c r="I110" s="29">
        <f>IF(G110&gt;0,H110/G110,0)</f>
        <v/>
      </c>
      <c r="J110" s="16">
        <f>F110*E110</f>
        <v/>
      </c>
      <c r="K110" s="11">
        <f>SUMIF($J$5:$J$120,"&gt;="&amp;J110)/SUM($J$5:$J$120)</f>
        <v/>
      </c>
      <c r="L110" s="12">
        <f>IF(K110&lt;=Assumptions!$B$7,"A",IF(K110&lt;=Assumptions!$B$8,"B","C"))</f>
        <v/>
      </c>
      <c r="M110" s="12">
        <f>IF(I110&lt;=Assumptions!$B$9,"X",IF(I110&lt;=Assumptions!$B$10,"Y","Z"))</f>
        <v/>
      </c>
      <c r="N110" s="12">
        <f>L110&amp;M110</f>
        <v/>
      </c>
      <c r="O110" s="11">
        <f>INDEX(Assumptions!$F$4:$F$6,MATCH(L110,Assumptions!$E$4:$E$6,0))</f>
        <v/>
      </c>
      <c r="P110" s="29">
        <f>NORMSINV(O110)</f>
        <v/>
      </c>
      <c r="Q110" s="30">
        <f>IFERROR(AVERAGEIFS(PO_Lines!$R$2:$R$2025,PO_Lines!$B$2:$B$2025,$A110,PO_Lines!$Q$2:$Q$2025,1),INDEX(Items!$F$2:$F$117,MATCH($A110,Items!$A$2:$A$117,0)))</f>
        <v/>
      </c>
      <c r="R110" s="30">
        <f>IFERROR(SQRT(SUMPRODUCT((PO_Lines!$B$2:$B$2025=$A110)*PO_Lines!$Q$2:$Q$2025*(PO_Lines!$R$2:$R$2025-Q110)^2)/(COUNTIFS(PO_Lines!$B$2:$B$2025,$A110,PO_Lines!$Q$2:$Q$2025,1)-1)),0)</f>
        <v/>
      </c>
      <c r="S110" s="28">
        <f>ROUNDUP(P110*SQRT((Q110/Assumptions!$B$11)*H110^2+G110^2*(R110/Assumptions!$B$11)^2),0)</f>
        <v/>
      </c>
      <c r="T110" s="28">
        <f>ROUNDUP(G110*Q110/Assumptions!$B$11+S110,0)</f>
        <v/>
      </c>
      <c r="U110" s="28">
        <f>ROUNDUP(MAX(INDEX(Items!$G$2:$G$117,MATCH($A110,Items!$A$2:$A$117,0)),SQRT(2*F110*Assumptions!$B$5/(Assumptions!$B$6*E110)),G110*Assumptions!$B$16),0)</f>
        <v/>
      </c>
      <c r="V110" s="28">
        <f>INDEX(Stock_Snapshot!$B$2:$B$117,MATCH($A110,Stock_Snapshot!$A$2:$A$117,0))</f>
        <v/>
      </c>
      <c r="W110" s="28">
        <f>INDEX(Stock_Snapshot!$C$2:$C$117,MATCH($A110,Stock_Snapshot!$A$2:$A$117,0))</f>
        <v/>
      </c>
      <c r="X110" s="28">
        <f>V110+W110</f>
        <v/>
      </c>
      <c r="Y110" s="10">
        <f>IF(G110&gt;0,V110/(G110/Assumptions!$B$11),999)</f>
        <v/>
      </c>
      <c r="Z110" s="28">
        <f>S110+U110</f>
        <v/>
      </c>
      <c r="AA110" s="12">
        <f>IF(V110&lt;S110,"Below safety stock",IF(X110&lt;=T110,"Reorder now",IF(V110&gt;Z110,"Excess","Healthy")))</f>
        <v/>
      </c>
      <c r="AB110" s="16">
        <f>V110*E110</f>
        <v/>
      </c>
      <c r="AC110" s="16">
        <f>MAX(0,V110-Z110)*E110</f>
        <v/>
      </c>
      <c r="AD110" s="28">
        <f>IF(X110&lt;=T110,ROUNDUP(T110+U110-X110,0),0)</f>
        <v/>
      </c>
      <c r="AE110" s="16">
        <f>MAX(0,T110-X110)*E110</f>
        <v/>
      </c>
      <c r="AF110" s="31">
        <f>IF(INDEX(Stock_Snapshot!$D$2:$D$117,MATCH($A110,Stock_Snapshot!$A$2:$A$117,0))="","",INDEX(Stock_Snapshot!$D$2:$D$117,MATCH($A110,Stock_Snapshot!$A$2:$A$117,0)))</f>
        <v/>
      </c>
      <c r="AG110" s="12">
        <f>IF(AF110="","",IF(AF110&lt;=EDATE(Assumptions!$B$4,Assumptions!$B$12),"Expires &lt; "&amp;Assumptions!$B$12&amp;" m","OK"))</f>
        <v/>
      </c>
    </row>
    <row r="111">
      <c r="A111" s="12" t="inlineStr">
        <is>
          <t>CMD-0107</t>
        </is>
      </c>
      <c r="B111" s="12">
        <f>INDEX(Items!$B$2:$B$117,MATCH($A111,Items!$A$2:$A$117,0))</f>
        <v/>
      </c>
      <c r="C111" s="12">
        <f>INDEX(Items!$C$2:$C$117,MATCH($A111,Items!$A$2:$A$117,0))</f>
        <v/>
      </c>
      <c r="D111" s="12">
        <f>INDEX(Items!$D$2:$D$117,MATCH($A111,Items!$A$2:$A$117,0))</f>
        <v/>
      </c>
      <c r="E111" s="27">
        <f>INDEX(Items!$E$2:$E$117,MATCH($A111,Items!$A$2:$A$117,0))</f>
        <v/>
      </c>
      <c r="F111" s="28">
        <f>SUM(INDEX(Demand!$N$2:$Y$117,MATCH($A111,Demand!$A$2:$A$117,0),0))</f>
        <v/>
      </c>
      <c r="G111" s="28">
        <f>F111/12</f>
        <v/>
      </c>
      <c r="H111" s="28">
        <f>STDEV(INDEX(Demand!$N$2:$Y$117,MATCH($A111,Demand!$A$2:$A$117,0),0))</f>
        <v/>
      </c>
      <c r="I111" s="29">
        <f>IF(G111&gt;0,H111/G111,0)</f>
        <v/>
      </c>
      <c r="J111" s="16">
        <f>F111*E111</f>
        <v/>
      </c>
      <c r="K111" s="11">
        <f>SUMIF($J$5:$J$120,"&gt;="&amp;J111)/SUM($J$5:$J$120)</f>
        <v/>
      </c>
      <c r="L111" s="12">
        <f>IF(K111&lt;=Assumptions!$B$7,"A",IF(K111&lt;=Assumptions!$B$8,"B","C"))</f>
        <v/>
      </c>
      <c r="M111" s="12">
        <f>IF(I111&lt;=Assumptions!$B$9,"X",IF(I111&lt;=Assumptions!$B$10,"Y","Z"))</f>
        <v/>
      </c>
      <c r="N111" s="12">
        <f>L111&amp;M111</f>
        <v/>
      </c>
      <c r="O111" s="11">
        <f>INDEX(Assumptions!$F$4:$F$6,MATCH(L111,Assumptions!$E$4:$E$6,0))</f>
        <v/>
      </c>
      <c r="P111" s="29">
        <f>NORMSINV(O111)</f>
        <v/>
      </c>
      <c r="Q111" s="30">
        <f>IFERROR(AVERAGEIFS(PO_Lines!$R$2:$R$2025,PO_Lines!$B$2:$B$2025,$A111,PO_Lines!$Q$2:$Q$2025,1),INDEX(Items!$F$2:$F$117,MATCH($A111,Items!$A$2:$A$117,0)))</f>
        <v/>
      </c>
      <c r="R111" s="30">
        <f>IFERROR(SQRT(SUMPRODUCT((PO_Lines!$B$2:$B$2025=$A111)*PO_Lines!$Q$2:$Q$2025*(PO_Lines!$R$2:$R$2025-Q111)^2)/(COUNTIFS(PO_Lines!$B$2:$B$2025,$A111,PO_Lines!$Q$2:$Q$2025,1)-1)),0)</f>
        <v/>
      </c>
      <c r="S111" s="28">
        <f>ROUNDUP(P111*SQRT((Q111/Assumptions!$B$11)*H111^2+G111^2*(R111/Assumptions!$B$11)^2),0)</f>
        <v/>
      </c>
      <c r="T111" s="28">
        <f>ROUNDUP(G111*Q111/Assumptions!$B$11+S111,0)</f>
        <v/>
      </c>
      <c r="U111" s="28">
        <f>ROUNDUP(MAX(INDEX(Items!$G$2:$G$117,MATCH($A111,Items!$A$2:$A$117,0)),SQRT(2*F111*Assumptions!$B$5/(Assumptions!$B$6*E111)),G111*Assumptions!$B$16),0)</f>
        <v/>
      </c>
      <c r="V111" s="28">
        <f>INDEX(Stock_Snapshot!$B$2:$B$117,MATCH($A111,Stock_Snapshot!$A$2:$A$117,0))</f>
        <v/>
      </c>
      <c r="W111" s="28">
        <f>INDEX(Stock_Snapshot!$C$2:$C$117,MATCH($A111,Stock_Snapshot!$A$2:$A$117,0))</f>
        <v/>
      </c>
      <c r="X111" s="28">
        <f>V111+W111</f>
        <v/>
      </c>
      <c r="Y111" s="10">
        <f>IF(G111&gt;0,V111/(G111/Assumptions!$B$11),999)</f>
        <v/>
      </c>
      <c r="Z111" s="28">
        <f>S111+U111</f>
        <v/>
      </c>
      <c r="AA111" s="12">
        <f>IF(V111&lt;S111,"Below safety stock",IF(X111&lt;=T111,"Reorder now",IF(V111&gt;Z111,"Excess","Healthy")))</f>
        <v/>
      </c>
      <c r="AB111" s="16">
        <f>V111*E111</f>
        <v/>
      </c>
      <c r="AC111" s="16">
        <f>MAX(0,V111-Z111)*E111</f>
        <v/>
      </c>
      <c r="AD111" s="28">
        <f>IF(X111&lt;=T111,ROUNDUP(T111+U111-X111,0),0)</f>
        <v/>
      </c>
      <c r="AE111" s="16">
        <f>MAX(0,T111-X111)*E111</f>
        <v/>
      </c>
      <c r="AF111" s="31">
        <f>IF(INDEX(Stock_Snapshot!$D$2:$D$117,MATCH($A111,Stock_Snapshot!$A$2:$A$117,0))="","",INDEX(Stock_Snapshot!$D$2:$D$117,MATCH($A111,Stock_Snapshot!$A$2:$A$117,0)))</f>
        <v/>
      </c>
      <c r="AG111" s="12">
        <f>IF(AF111="","",IF(AF111&lt;=EDATE(Assumptions!$B$4,Assumptions!$B$12),"Expires &lt; "&amp;Assumptions!$B$12&amp;" m","OK"))</f>
        <v/>
      </c>
    </row>
    <row r="112">
      <c r="A112" s="12" t="inlineStr">
        <is>
          <t>CMD-0108</t>
        </is>
      </c>
      <c r="B112" s="12">
        <f>INDEX(Items!$B$2:$B$117,MATCH($A112,Items!$A$2:$A$117,0))</f>
        <v/>
      </c>
      <c r="C112" s="12">
        <f>INDEX(Items!$C$2:$C$117,MATCH($A112,Items!$A$2:$A$117,0))</f>
        <v/>
      </c>
      <c r="D112" s="12">
        <f>INDEX(Items!$D$2:$D$117,MATCH($A112,Items!$A$2:$A$117,0))</f>
        <v/>
      </c>
      <c r="E112" s="27">
        <f>INDEX(Items!$E$2:$E$117,MATCH($A112,Items!$A$2:$A$117,0))</f>
        <v/>
      </c>
      <c r="F112" s="28">
        <f>SUM(INDEX(Demand!$N$2:$Y$117,MATCH($A112,Demand!$A$2:$A$117,0),0))</f>
        <v/>
      </c>
      <c r="G112" s="28">
        <f>F112/12</f>
        <v/>
      </c>
      <c r="H112" s="28">
        <f>STDEV(INDEX(Demand!$N$2:$Y$117,MATCH($A112,Demand!$A$2:$A$117,0),0))</f>
        <v/>
      </c>
      <c r="I112" s="29">
        <f>IF(G112&gt;0,H112/G112,0)</f>
        <v/>
      </c>
      <c r="J112" s="16">
        <f>F112*E112</f>
        <v/>
      </c>
      <c r="K112" s="11">
        <f>SUMIF($J$5:$J$120,"&gt;="&amp;J112)/SUM($J$5:$J$120)</f>
        <v/>
      </c>
      <c r="L112" s="12">
        <f>IF(K112&lt;=Assumptions!$B$7,"A",IF(K112&lt;=Assumptions!$B$8,"B","C"))</f>
        <v/>
      </c>
      <c r="M112" s="12">
        <f>IF(I112&lt;=Assumptions!$B$9,"X",IF(I112&lt;=Assumptions!$B$10,"Y","Z"))</f>
        <v/>
      </c>
      <c r="N112" s="12">
        <f>L112&amp;M112</f>
        <v/>
      </c>
      <c r="O112" s="11">
        <f>INDEX(Assumptions!$F$4:$F$6,MATCH(L112,Assumptions!$E$4:$E$6,0))</f>
        <v/>
      </c>
      <c r="P112" s="29">
        <f>NORMSINV(O112)</f>
        <v/>
      </c>
      <c r="Q112" s="30">
        <f>IFERROR(AVERAGEIFS(PO_Lines!$R$2:$R$2025,PO_Lines!$B$2:$B$2025,$A112,PO_Lines!$Q$2:$Q$2025,1),INDEX(Items!$F$2:$F$117,MATCH($A112,Items!$A$2:$A$117,0)))</f>
        <v/>
      </c>
      <c r="R112" s="30">
        <f>IFERROR(SQRT(SUMPRODUCT((PO_Lines!$B$2:$B$2025=$A112)*PO_Lines!$Q$2:$Q$2025*(PO_Lines!$R$2:$R$2025-Q112)^2)/(COUNTIFS(PO_Lines!$B$2:$B$2025,$A112,PO_Lines!$Q$2:$Q$2025,1)-1)),0)</f>
        <v/>
      </c>
      <c r="S112" s="28">
        <f>ROUNDUP(P112*SQRT((Q112/Assumptions!$B$11)*H112^2+G112^2*(R112/Assumptions!$B$11)^2),0)</f>
        <v/>
      </c>
      <c r="T112" s="28">
        <f>ROUNDUP(G112*Q112/Assumptions!$B$11+S112,0)</f>
        <v/>
      </c>
      <c r="U112" s="28">
        <f>ROUNDUP(MAX(INDEX(Items!$G$2:$G$117,MATCH($A112,Items!$A$2:$A$117,0)),SQRT(2*F112*Assumptions!$B$5/(Assumptions!$B$6*E112)),G112*Assumptions!$B$16),0)</f>
        <v/>
      </c>
      <c r="V112" s="28">
        <f>INDEX(Stock_Snapshot!$B$2:$B$117,MATCH($A112,Stock_Snapshot!$A$2:$A$117,0))</f>
        <v/>
      </c>
      <c r="W112" s="28">
        <f>INDEX(Stock_Snapshot!$C$2:$C$117,MATCH($A112,Stock_Snapshot!$A$2:$A$117,0))</f>
        <v/>
      </c>
      <c r="X112" s="28">
        <f>V112+W112</f>
        <v/>
      </c>
      <c r="Y112" s="10">
        <f>IF(G112&gt;0,V112/(G112/Assumptions!$B$11),999)</f>
        <v/>
      </c>
      <c r="Z112" s="28">
        <f>S112+U112</f>
        <v/>
      </c>
      <c r="AA112" s="12">
        <f>IF(V112&lt;S112,"Below safety stock",IF(X112&lt;=T112,"Reorder now",IF(V112&gt;Z112,"Excess","Healthy")))</f>
        <v/>
      </c>
      <c r="AB112" s="16">
        <f>V112*E112</f>
        <v/>
      </c>
      <c r="AC112" s="16">
        <f>MAX(0,V112-Z112)*E112</f>
        <v/>
      </c>
      <c r="AD112" s="28">
        <f>IF(X112&lt;=T112,ROUNDUP(T112+U112-X112,0),0)</f>
        <v/>
      </c>
      <c r="AE112" s="16">
        <f>MAX(0,T112-X112)*E112</f>
        <v/>
      </c>
      <c r="AF112" s="31">
        <f>IF(INDEX(Stock_Snapshot!$D$2:$D$117,MATCH($A112,Stock_Snapshot!$A$2:$A$117,0))="","",INDEX(Stock_Snapshot!$D$2:$D$117,MATCH($A112,Stock_Snapshot!$A$2:$A$117,0)))</f>
        <v/>
      </c>
      <c r="AG112" s="12">
        <f>IF(AF112="","",IF(AF112&lt;=EDATE(Assumptions!$B$4,Assumptions!$B$12),"Expires &lt; "&amp;Assumptions!$B$12&amp;" m","OK"))</f>
        <v/>
      </c>
    </row>
    <row r="113">
      <c r="A113" s="12" t="inlineStr">
        <is>
          <t>CMD-0109</t>
        </is>
      </c>
      <c r="B113" s="12">
        <f>INDEX(Items!$B$2:$B$117,MATCH($A113,Items!$A$2:$A$117,0))</f>
        <v/>
      </c>
      <c r="C113" s="12">
        <f>INDEX(Items!$C$2:$C$117,MATCH($A113,Items!$A$2:$A$117,0))</f>
        <v/>
      </c>
      <c r="D113" s="12">
        <f>INDEX(Items!$D$2:$D$117,MATCH($A113,Items!$A$2:$A$117,0))</f>
        <v/>
      </c>
      <c r="E113" s="27">
        <f>INDEX(Items!$E$2:$E$117,MATCH($A113,Items!$A$2:$A$117,0))</f>
        <v/>
      </c>
      <c r="F113" s="28">
        <f>SUM(INDEX(Demand!$N$2:$Y$117,MATCH($A113,Demand!$A$2:$A$117,0),0))</f>
        <v/>
      </c>
      <c r="G113" s="28">
        <f>F113/12</f>
        <v/>
      </c>
      <c r="H113" s="28">
        <f>STDEV(INDEX(Demand!$N$2:$Y$117,MATCH($A113,Demand!$A$2:$A$117,0),0))</f>
        <v/>
      </c>
      <c r="I113" s="29">
        <f>IF(G113&gt;0,H113/G113,0)</f>
        <v/>
      </c>
      <c r="J113" s="16">
        <f>F113*E113</f>
        <v/>
      </c>
      <c r="K113" s="11">
        <f>SUMIF($J$5:$J$120,"&gt;="&amp;J113)/SUM($J$5:$J$120)</f>
        <v/>
      </c>
      <c r="L113" s="12">
        <f>IF(K113&lt;=Assumptions!$B$7,"A",IF(K113&lt;=Assumptions!$B$8,"B","C"))</f>
        <v/>
      </c>
      <c r="M113" s="12">
        <f>IF(I113&lt;=Assumptions!$B$9,"X",IF(I113&lt;=Assumptions!$B$10,"Y","Z"))</f>
        <v/>
      </c>
      <c r="N113" s="12">
        <f>L113&amp;M113</f>
        <v/>
      </c>
      <c r="O113" s="11">
        <f>INDEX(Assumptions!$F$4:$F$6,MATCH(L113,Assumptions!$E$4:$E$6,0))</f>
        <v/>
      </c>
      <c r="P113" s="29">
        <f>NORMSINV(O113)</f>
        <v/>
      </c>
      <c r="Q113" s="30">
        <f>IFERROR(AVERAGEIFS(PO_Lines!$R$2:$R$2025,PO_Lines!$B$2:$B$2025,$A113,PO_Lines!$Q$2:$Q$2025,1),INDEX(Items!$F$2:$F$117,MATCH($A113,Items!$A$2:$A$117,0)))</f>
        <v/>
      </c>
      <c r="R113" s="30">
        <f>IFERROR(SQRT(SUMPRODUCT((PO_Lines!$B$2:$B$2025=$A113)*PO_Lines!$Q$2:$Q$2025*(PO_Lines!$R$2:$R$2025-Q113)^2)/(COUNTIFS(PO_Lines!$B$2:$B$2025,$A113,PO_Lines!$Q$2:$Q$2025,1)-1)),0)</f>
        <v/>
      </c>
      <c r="S113" s="28">
        <f>ROUNDUP(P113*SQRT((Q113/Assumptions!$B$11)*H113^2+G113^2*(R113/Assumptions!$B$11)^2),0)</f>
        <v/>
      </c>
      <c r="T113" s="28">
        <f>ROUNDUP(G113*Q113/Assumptions!$B$11+S113,0)</f>
        <v/>
      </c>
      <c r="U113" s="28">
        <f>ROUNDUP(MAX(INDEX(Items!$G$2:$G$117,MATCH($A113,Items!$A$2:$A$117,0)),SQRT(2*F113*Assumptions!$B$5/(Assumptions!$B$6*E113)),G113*Assumptions!$B$16),0)</f>
        <v/>
      </c>
      <c r="V113" s="28">
        <f>INDEX(Stock_Snapshot!$B$2:$B$117,MATCH($A113,Stock_Snapshot!$A$2:$A$117,0))</f>
        <v/>
      </c>
      <c r="W113" s="28">
        <f>INDEX(Stock_Snapshot!$C$2:$C$117,MATCH($A113,Stock_Snapshot!$A$2:$A$117,0))</f>
        <v/>
      </c>
      <c r="X113" s="28">
        <f>V113+W113</f>
        <v/>
      </c>
      <c r="Y113" s="10">
        <f>IF(G113&gt;0,V113/(G113/Assumptions!$B$11),999)</f>
        <v/>
      </c>
      <c r="Z113" s="28">
        <f>S113+U113</f>
        <v/>
      </c>
      <c r="AA113" s="12">
        <f>IF(V113&lt;S113,"Below safety stock",IF(X113&lt;=T113,"Reorder now",IF(V113&gt;Z113,"Excess","Healthy")))</f>
        <v/>
      </c>
      <c r="AB113" s="16">
        <f>V113*E113</f>
        <v/>
      </c>
      <c r="AC113" s="16">
        <f>MAX(0,V113-Z113)*E113</f>
        <v/>
      </c>
      <c r="AD113" s="28">
        <f>IF(X113&lt;=T113,ROUNDUP(T113+U113-X113,0),0)</f>
        <v/>
      </c>
      <c r="AE113" s="16">
        <f>MAX(0,T113-X113)*E113</f>
        <v/>
      </c>
      <c r="AF113" s="31">
        <f>IF(INDEX(Stock_Snapshot!$D$2:$D$117,MATCH($A113,Stock_Snapshot!$A$2:$A$117,0))="","",INDEX(Stock_Snapshot!$D$2:$D$117,MATCH($A113,Stock_Snapshot!$A$2:$A$117,0)))</f>
        <v/>
      </c>
      <c r="AG113" s="12">
        <f>IF(AF113="","",IF(AF113&lt;=EDATE(Assumptions!$B$4,Assumptions!$B$12),"Expires &lt; "&amp;Assumptions!$B$12&amp;" m","OK"))</f>
        <v/>
      </c>
    </row>
    <row r="114">
      <c r="A114" s="12" t="inlineStr">
        <is>
          <t>CMD-0110</t>
        </is>
      </c>
      <c r="B114" s="12">
        <f>INDEX(Items!$B$2:$B$117,MATCH($A114,Items!$A$2:$A$117,0))</f>
        <v/>
      </c>
      <c r="C114" s="12">
        <f>INDEX(Items!$C$2:$C$117,MATCH($A114,Items!$A$2:$A$117,0))</f>
        <v/>
      </c>
      <c r="D114" s="12">
        <f>INDEX(Items!$D$2:$D$117,MATCH($A114,Items!$A$2:$A$117,0))</f>
        <v/>
      </c>
      <c r="E114" s="27">
        <f>INDEX(Items!$E$2:$E$117,MATCH($A114,Items!$A$2:$A$117,0))</f>
        <v/>
      </c>
      <c r="F114" s="28">
        <f>SUM(INDEX(Demand!$N$2:$Y$117,MATCH($A114,Demand!$A$2:$A$117,0),0))</f>
        <v/>
      </c>
      <c r="G114" s="28">
        <f>F114/12</f>
        <v/>
      </c>
      <c r="H114" s="28">
        <f>STDEV(INDEX(Demand!$N$2:$Y$117,MATCH($A114,Demand!$A$2:$A$117,0),0))</f>
        <v/>
      </c>
      <c r="I114" s="29">
        <f>IF(G114&gt;0,H114/G114,0)</f>
        <v/>
      </c>
      <c r="J114" s="16">
        <f>F114*E114</f>
        <v/>
      </c>
      <c r="K114" s="11">
        <f>SUMIF($J$5:$J$120,"&gt;="&amp;J114)/SUM($J$5:$J$120)</f>
        <v/>
      </c>
      <c r="L114" s="12">
        <f>IF(K114&lt;=Assumptions!$B$7,"A",IF(K114&lt;=Assumptions!$B$8,"B","C"))</f>
        <v/>
      </c>
      <c r="M114" s="12">
        <f>IF(I114&lt;=Assumptions!$B$9,"X",IF(I114&lt;=Assumptions!$B$10,"Y","Z"))</f>
        <v/>
      </c>
      <c r="N114" s="12">
        <f>L114&amp;M114</f>
        <v/>
      </c>
      <c r="O114" s="11">
        <f>INDEX(Assumptions!$F$4:$F$6,MATCH(L114,Assumptions!$E$4:$E$6,0))</f>
        <v/>
      </c>
      <c r="P114" s="29">
        <f>NORMSINV(O114)</f>
        <v/>
      </c>
      <c r="Q114" s="30">
        <f>IFERROR(AVERAGEIFS(PO_Lines!$R$2:$R$2025,PO_Lines!$B$2:$B$2025,$A114,PO_Lines!$Q$2:$Q$2025,1),INDEX(Items!$F$2:$F$117,MATCH($A114,Items!$A$2:$A$117,0)))</f>
        <v/>
      </c>
      <c r="R114" s="30">
        <f>IFERROR(SQRT(SUMPRODUCT((PO_Lines!$B$2:$B$2025=$A114)*PO_Lines!$Q$2:$Q$2025*(PO_Lines!$R$2:$R$2025-Q114)^2)/(COUNTIFS(PO_Lines!$B$2:$B$2025,$A114,PO_Lines!$Q$2:$Q$2025,1)-1)),0)</f>
        <v/>
      </c>
      <c r="S114" s="28">
        <f>ROUNDUP(P114*SQRT((Q114/Assumptions!$B$11)*H114^2+G114^2*(R114/Assumptions!$B$11)^2),0)</f>
        <v/>
      </c>
      <c r="T114" s="28">
        <f>ROUNDUP(G114*Q114/Assumptions!$B$11+S114,0)</f>
        <v/>
      </c>
      <c r="U114" s="28">
        <f>ROUNDUP(MAX(INDEX(Items!$G$2:$G$117,MATCH($A114,Items!$A$2:$A$117,0)),SQRT(2*F114*Assumptions!$B$5/(Assumptions!$B$6*E114)),G114*Assumptions!$B$16),0)</f>
        <v/>
      </c>
      <c r="V114" s="28">
        <f>INDEX(Stock_Snapshot!$B$2:$B$117,MATCH($A114,Stock_Snapshot!$A$2:$A$117,0))</f>
        <v/>
      </c>
      <c r="W114" s="28">
        <f>INDEX(Stock_Snapshot!$C$2:$C$117,MATCH($A114,Stock_Snapshot!$A$2:$A$117,0))</f>
        <v/>
      </c>
      <c r="X114" s="28">
        <f>V114+W114</f>
        <v/>
      </c>
      <c r="Y114" s="10">
        <f>IF(G114&gt;0,V114/(G114/Assumptions!$B$11),999)</f>
        <v/>
      </c>
      <c r="Z114" s="28">
        <f>S114+U114</f>
        <v/>
      </c>
      <c r="AA114" s="12">
        <f>IF(V114&lt;S114,"Below safety stock",IF(X114&lt;=T114,"Reorder now",IF(V114&gt;Z114,"Excess","Healthy")))</f>
        <v/>
      </c>
      <c r="AB114" s="16">
        <f>V114*E114</f>
        <v/>
      </c>
      <c r="AC114" s="16">
        <f>MAX(0,V114-Z114)*E114</f>
        <v/>
      </c>
      <c r="AD114" s="28">
        <f>IF(X114&lt;=T114,ROUNDUP(T114+U114-X114,0),0)</f>
        <v/>
      </c>
      <c r="AE114" s="16">
        <f>MAX(0,T114-X114)*E114</f>
        <v/>
      </c>
      <c r="AF114" s="31">
        <f>IF(INDEX(Stock_Snapshot!$D$2:$D$117,MATCH($A114,Stock_Snapshot!$A$2:$A$117,0))="","",INDEX(Stock_Snapshot!$D$2:$D$117,MATCH($A114,Stock_Snapshot!$A$2:$A$117,0)))</f>
        <v/>
      </c>
      <c r="AG114" s="12">
        <f>IF(AF114="","",IF(AF114&lt;=EDATE(Assumptions!$B$4,Assumptions!$B$12),"Expires &lt; "&amp;Assumptions!$B$12&amp;" m","OK"))</f>
        <v/>
      </c>
    </row>
    <row r="115">
      <c r="A115" s="12" t="inlineStr">
        <is>
          <t>CMD-0111</t>
        </is>
      </c>
      <c r="B115" s="12">
        <f>INDEX(Items!$B$2:$B$117,MATCH($A115,Items!$A$2:$A$117,0))</f>
        <v/>
      </c>
      <c r="C115" s="12">
        <f>INDEX(Items!$C$2:$C$117,MATCH($A115,Items!$A$2:$A$117,0))</f>
        <v/>
      </c>
      <c r="D115" s="12">
        <f>INDEX(Items!$D$2:$D$117,MATCH($A115,Items!$A$2:$A$117,0))</f>
        <v/>
      </c>
      <c r="E115" s="27">
        <f>INDEX(Items!$E$2:$E$117,MATCH($A115,Items!$A$2:$A$117,0))</f>
        <v/>
      </c>
      <c r="F115" s="28">
        <f>SUM(INDEX(Demand!$N$2:$Y$117,MATCH($A115,Demand!$A$2:$A$117,0),0))</f>
        <v/>
      </c>
      <c r="G115" s="28">
        <f>F115/12</f>
        <v/>
      </c>
      <c r="H115" s="28">
        <f>STDEV(INDEX(Demand!$N$2:$Y$117,MATCH($A115,Demand!$A$2:$A$117,0),0))</f>
        <v/>
      </c>
      <c r="I115" s="29">
        <f>IF(G115&gt;0,H115/G115,0)</f>
        <v/>
      </c>
      <c r="J115" s="16">
        <f>F115*E115</f>
        <v/>
      </c>
      <c r="K115" s="11">
        <f>SUMIF($J$5:$J$120,"&gt;="&amp;J115)/SUM($J$5:$J$120)</f>
        <v/>
      </c>
      <c r="L115" s="12">
        <f>IF(K115&lt;=Assumptions!$B$7,"A",IF(K115&lt;=Assumptions!$B$8,"B","C"))</f>
        <v/>
      </c>
      <c r="M115" s="12">
        <f>IF(I115&lt;=Assumptions!$B$9,"X",IF(I115&lt;=Assumptions!$B$10,"Y","Z"))</f>
        <v/>
      </c>
      <c r="N115" s="12">
        <f>L115&amp;M115</f>
        <v/>
      </c>
      <c r="O115" s="11">
        <f>INDEX(Assumptions!$F$4:$F$6,MATCH(L115,Assumptions!$E$4:$E$6,0))</f>
        <v/>
      </c>
      <c r="P115" s="29">
        <f>NORMSINV(O115)</f>
        <v/>
      </c>
      <c r="Q115" s="30">
        <f>IFERROR(AVERAGEIFS(PO_Lines!$R$2:$R$2025,PO_Lines!$B$2:$B$2025,$A115,PO_Lines!$Q$2:$Q$2025,1),INDEX(Items!$F$2:$F$117,MATCH($A115,Items!$A$2:$A$117,0)))</f>
        <v/>
      </c>
      <c r="R115" s="30">
        <f>IFERROR(SQRT(SUMPRODUCT((PO_Lines!$B$2:$B$2025=$A115)*PO_Lines!$Q$2:$Q$2025*(PO_Lines!$R$2:$R$2025-Q115)^2)/(COUNTIFS(PO_Lines!$B$2:$B$2025,$A115,PO_Lines!$Q$2:$Q$2025,1)-1)),0)</f>
        <v/>
      </c>
      <c r="S115" s="28">
        <f>ROUNDUP(P115*SQRT((Q115/Assumptions!$B$11)*H115^2+G115^2*(R115/Assumptions!$B$11)^2),0)</f>
        <v/>
      </c>
      <c r="T115" s="28">
        <f>ROUNDUP(G115*Q115/Assumptions!$B$11+S115,0)</f>
        <v/>
      </c>
      <c r="U115" s="28">
        <f>ROUNDUP(MAX(INDEX(Items!$G$2:$G$117,MATCH($A115,Items!$A$2:$A$117,0)),SQRT(2*F115*Assumptions!$B$5/(Assumptions!$B$6*E115)),G115*Assumptions!$B$16),0)</f>
        <v/>
      </c>
      <c r="V115" s="28">
        <f>INDEX(Stock_Snapshot!$B$2:$B$117,MATCH($A115,Stock_Snapshot!$A$2:$A$117,0))</f>
        <v/>
      </c>
      <c r="W115" s="28">
        <f>INDEX(Stock_Snapshot!$C$2:$C$117,MATCH($A115,Stock_Snapshot!$A$2:$A$117,0))</f>
        <v/>
      </c>
      <c r="X115" s="28">
        <f>V115+W115</f>
        <v/>
      </c>
      <c r="Y115" s="10">
        <f>IF(G115&gt;0,V115/(G115/Assumptions!$B$11),999)</f>
        <v/>
      </c>
      <c r="Z115" s="28">
        <f>S115+U115</f>
        <v/>
      </c>
      <c r="AA115" s="12">
        <f>IF(V115&lt;S115,"Below safety stock",IF(X115&lt;=T115,"Reorder now",IF(V115&gt;Z115,"Excess","Healthy")))</f>
        <v/>
      </c>
      <c r="AB115" s="16">
        <f>V115*E115</f>
        <v/>
      </c>
      <c r="AC115" s="16">
        <f>MAX(0,V115-Z115)*E115</f>
        <v/>
      </c>
      <c r="AD115" s="28">
        <f>IF(X115&lt;=T115,ROUNDUP(T115+U115-X115,0),0)</f>
        <v/>
      </c>
      <c r="AE115" s="16">
        <f>MAX(0,T115-X115)*E115</f>
        <v/>
      </c>
      <c r="AF115" s="31">
        <f>IF(INDEX(Stock_Snapshot!$D$2:$D$117,MATCH($A115,Stock_Snapshot!$A$2:$A$117,0))="","",INDEX(Stock_Snapshot!$D$2:$D$117,MATCH($A115,Stock_Snapshot!$A$2:$A$117,0)))</f>
        <v/>
      </c>
      <c r="AG115" s="12">
        <f>IF(AF115="","",IF(AF115&lt;=EDATE(Assumptions!$B$4,Assumptions!$B$12),"Expires &lt; "&amp;Assumptions!$B$12&amp;" m","OK"))</f>
        <v/>
      </c>
    </row>
    <row r="116">
      <c r="A116" s="12" t="inlineStr">
        <is>
          <t>CMD-0112</t>
        </is>
      </c>
      <c r="B116" s="12">
        <f>INDEX(Items!$B$2:$B$117,MATCH($A116,Items!$A$2:$A$117,0))</f>
        <v/>
      </c>
      <c r="C116" s="12">
        <f>INDEX(Items!$C$2:$C$117,MATCH($A116,Items!$A$2:$A$117,0))</f>
        <v/>
      </c>
      <c r="D116" s="12">
        <f>INDEX(Items!$D$2:$D$117,MATCH($A116,Items!$A$2:$A$117,0))</f>
        <v/>
      </c>
      <c r="E116" s="27">
        <f>INDEX(Items!$E$2:$E$117,MATCH($A116,Items!$A$2:$A$117,0))</f>
        <v/>
      </c>
      <c r="F116" s="28">
        <f>SUM(INDEX(Demand!$N$2:$Y$117,MATCH($A116,Demand!$A$2:$A$117,0),0))</f>
        <v/>
      </c>
      <c r="G116" s="28">
        <f>F116/12</f>
        <v/>
      </c>
      <c r="H116" s="28">
        <f>STDEV(INDEX(Demand!$N$2:$Y$117,MATCH($A116,Demand!$A$2:$A$117,0),0))</f>
        <v/>
      </c>
      <c r="I116" s="29">
        <f>IF(G116&gt;0,H116/G116,0)</f>
        <v/>
      </c>
      <c r="J116" s="16">
        <f>F116*E116</f>
        <v/>
      </c>
      <c r="K116" s="11">
        <f>SUMIF($J$5:$J$120,"&gt;="&amp;J116)/SUM($J$5:$J$120)</f>
        <v/>
      </c>
      <c r="L116" s="12">
        <f>IF(K116&lt;=Assumptions!$B$7,"A",IF(K116&lt;=Assumptions!$B$8,"B","C"))</f>
        <v/>
      </c>
      <c r="M116" s="12">
        <f>IF(I116&lt;=Assumptions!$B$9,"X",IF(I116&lt;=Assumptions!$B$10,"Y","Z"))</f>
        <v/>
      </c>
      <c r="N116" s="12">
        <f>L116&amp;M116</f>
        <v/>
      </c>
      <c r="O116" s="11">
        <f>INDEX(Assumptions!$F$4:$F$6,MATCH(L116,Assumptions!$E$4:$E$6,0))</f>
        <v/>
      </c>
      <c r="P116" s="29">
        <f>NORMSINV(O116)</f>
        <v/>
      </c>
      <c r="Q116" s="30">
        <f>IFERROR(AVERAGEIFS(PO_Lines!$R$2:$R$2025,PO_Lines!$B$2:$B$2025,$A116,PO_Lines!$Q$2:$Q$2025,1),INDEX(Items!$F$2:$F$117,MATCH($A116,Items!$A$2:$A$117,0)))</f>
        <v/>
      </c>
      <c r="R116" s="30">
        <f>IFERROR(SQRT(SUMPRODUCT((PO_Lines!$B$2:$B$2025=$A116)*PO_Lines!$Q$2:$Q$2025*(PO_Lines!$R$2:$R$2025-Q116)^2)/(COUNTIFS(PO_Lines!$B$2:$B$2025,$A116,PO_Lines!$Q$2:$Q$2025,1)-1)),0)</f>
        <v/>
      </c>
      <c r="S116" s="28">
        <f>ROUNDUP(P116*SQRT((Q116/Assumptions!$B$11)*H116^2+G116^2*(R116/Assumptions!$B$11)^2),0)</f>
        <v/>
      </c>
      <c r="T116" s="28">
        <f>ROUNDUP(G116*Q116/Assumptions!$B$11+S116,0)</f>
        <v/>
      </c>
      <c r="U116" s="28">
        <f>ROUNDUP(MAX(INDEX(Items!$G$2:$G$117,MATCH($A116,Items!$A$2:$A$117,0)),SQRT(2*F116*Assumptions!$B$5/(Assumptions!$B$6*E116)),G116*Assumptions!$B$16),0)</f>
        <v/>
      </c>
      <c r="V116" s="28">
        <f>INDEX(Stock_Snapshot!$B$2:$B$117,MATCH($A116,Stock_Snapshot!$A$2:$A$117,0))</f>
        <v/>
      </c>
      <c r="W116" s="28">
        <f>INDEX(Stock_Snapshot!$C$2:$C$117,MATCH($A116,Stock_Snapshot!$A$2:$A$117,0))</f>
        <v/>
      </c>
      <c r="X116" s="28">
        <f>V116+W116</f>
        <v/>
      </c>
      <c r="Y116" s="10">
        <f>IF(G116&gt;0,V116/(G116/Assumptions!$B$11),999)</f>
        <v/>
      </c>
      <c r="Z116" s="28">
        <f>S116+U116</f>
        <v/>
      </c>
      <c r="AA116" s="12">
        <f>IF(V116&lt;S116,"Below safety stock",IF(X116&lt;=T116,"Reorder now",IF(V116&gt;Z116,"Excess","Healthy")))</f>
        <v/>
      </c>
      <c r="AB116" s="16">
        <f>V116*E116</f>
        <v/>
      </c>
      <c r="AC116" s="16">
        <f>MAX(0,V116-Z116)*E116</f>
        <v/>
      </c>
      <c r="AD116" s="28">
        <f>IF(X116&lt;=T116,ROUNDUP(T116+U116-X116,0),0)</f>
        <v/>
      </c>
      <c r="AE116" s="16">
        <f>MAX(0,T116-X116)*E116</f>
        <v/>
      </c>
      <c r="AF116" s="31">
        <f>IF(INDEX(Stock_Snapshot!$D$2:$D$117,MATCH($A116,Stock_Snapshot!$A$2:$A$117,0))="","",INDEX(Stock_Snapshot!$D$2:$D$117,MATCH($A116,Stock_Snapshot!$A$2:$A$117,0)))</f>
        <v/>
      </c>
      <c r="AG116" s="12">
        <f>IF(AF116="","",IF(AF116&lt;=EDATE(Assumptions!$B$4,Assumptions!$B$12),"Expires &lt; "&amp;Assumptions!$B$12&amp;" m","OK"))</f>
        <v/>
      </c>
    </row>
    <row r="117">
      <c r="A117" s="12" t="inlineStr">
        <is>
          <t>CMD-0113</t>
        </is>
      </c>
      <c r="B117" s="12">
        <f>INDEX(Items!$B$2:$B$117,MATCH($A117,Items!$A$2:$A$117,0))</f>
        <v/>
      </c>
      <c r="C117" s="12">
        <f>INDEX(Items!$C$2:$C$117,MATCH($A117,Items!$A$2:$A$117,0))</f>
        <v/>
      </c>
      <c r="D117" s="12">
        <f>INDEX(Items!$D$2:$D$117,MATCH($A117,Items!$A$2:$A$117,0))</f>
        <v/>
      </c>
      <c r="E117" s="27">
        <f>INDEX(Items!$E$2:$E$117,MATCH($A117,Items!$A$2:$A$117,0))</f>
        <v/>
      </c>
      <c r="F117" s="28">
        <f>SUM(INDEX(Demand!$N$2:$Y$117,MATCH($A117,Demand!$A$2:$A$117,0),0))</f>
        <v/>
      </c>
      <c r="G117" s="28">
        <f>F117/12</f>
        <v/>
      </c>
      <c r="H117" s="28">
        <f>STDEV(INDEX(Demand!$N$2:$Y$117,MATCH($A117,Demand!$A$2:$A$117,0),0))</f>
        <v/>
      </c>
      <c r="I117" s="29">
        <f>IF(G117&gt;0,H117/G117,0)</f>
        <v/>
      </c>
      <c r="J117" s="16">
        <f>F117*E117</f>
        <v/>
      </c>
      <c r="K117" s="11">
        <f>SUMIF($J$5:$J$120,"&gt;="&amp;J117)/SUM($J$5:$J$120)</f>
        <v/>
      </c>
      <c r="L117" s="12">
        <f>IF(K117&lt;=Assumptions!$B$7,"A",IF(K117&lt;=Assumptions!$B$8,"B","C"))</f>
        <v/>
      </c>
      <c r="M117" s="12">
        <f>IF(I117&lt;=Assumptions!$B$9,"X",IF(I117&lt;=Assumptions!$B$10,"Y","Z"))</f>
        <v/>
      </c>
      <c r="N117" s="12">
        <f>L117&amp;M117</f>
        <v/>
      </c>
      <c r="O117" s="11">
        <f>INDEX(Assumptions!$F$4:$F$6,MATCH(L117,Assumptions!$E$4:$E$6,0))</f>
        <v/>
      </c>
      <c r="P117" s="29">
        <f>NORMSINV(O117)</f>
        <v/>
      </c>
      <c r="Q117" s="30">
        <f>IFERROR(AVERAGEIFS(PO_Lines!$R$2:$R$2025,PO_Lines!$B$2:$B$2025,$A117,PO_Lines!$Q$2:$Q$2025,1),INDEX(Items!$F$2:$F$117,MATCH($A117,Items!$A$2:$A$117,0)))</f>
        <v/>
      </c>
      <c r="R117" s="30">
        <f>IFERROR(SQRT(SUMPRODUCT((PO_Lines!$B$2:$B$2025=$A117)*PO_Lines!$Q$2:$Q$2025*(PO_Lines!$R$2:$R$2025-Q117)^2)/(COUNTIFS(PO_Lines!$B$2:$B$2025,$A117,PO_Lines!$Q$2:$Q$2025,1)-1)),0)</f>
        <v/>
      </c>
      <c r="S117" s="28">
        <f>ROUNDUP(P117*SQRT((Q117/Assumptions!$B$11)*H117^2+G117^2*(R117/Assumptions!$B$11)^2),0)</f>
        <v/>
      </c>
      <c r="T117" s="28">
        <f>ROUNDUP(G117*Q117/Assumptions!$B$11+S117,0)</f>
        <v/>
      </c>
      <c r="U117" s="28">
        <f>ROUNDUP(MAX(INDEX(Items!$G$2:$G$117,MATCH($A117,Items!$A$2:$A$117,0)),SQRT(2*F117*Assumptions!$B$5/(Assumptions!$B$6*E117)),G117*Assumptions!$B$16),0)</f>
        <v/>
      </c>
      <c r="V117" s="28">
        <f>INDEX(Stock_Snapshot!$B$2:$B$117,MATCH($A117,Stock_Snapshot!$A$2:$A$117,0))</f>
        <v/>
      </c>
      <c r="W117" s="28">
        <f>INDEX(Stock_Snapshot!$C$2:$C$117,MATCH($A117,Stock_Snapshot!$A$2:$A$117,0))</f>
        <v/>
      </c>
      <c r="X117" s="28">
        <f>V117+W117</f>
        <v/>
      </c>
      <c r="Y117" s="10">
        <f>IF(G117&gt;0,V117/(G117/Assumptions!$B$11),999)</f>
        <v/>
      </c>
      <c r="Z117" s="28">
        <f>S117+U117</f>
        <v/>
      </c>
      <c r="AA117" s="12">
        <f>IF(V117&lt;S117,"Below safety stock",IF(X117&lt;=T117,"Reorder now",IF(V117&gt;Z117,"Excess","Healthy")))</f>
        <v/>
      </c>
      <c r="AB117" s="16">
        <f>V117*E117</f>
        <v/>
      </c>
      <c r="AC117" s="16">
        <f>MAX(0,V117-Z117)*E117</f>
        <v/>
      </c>
      <c r="AD117" s="28">
        <f>IF(X117&lt;=T117,ROUNDUP(T117+U117-X117,0),0)</f>
        <v/>
      </c>
      <c r="AE117" s="16">
        <f>MAX(0,T117-X117)*E117</f>
        <v/>
      </c>
      <c r="AF117" s="31">
        <f>IF(INDEX(Stock_Snapshot!$D$2:$D$117,MATCH($A117,Stock_Snapshot!$A$2:$A$117,0))="","",INDEX(Stock_Snapshot!$D$2:$D$117,MATCH($A117,Stock_Snapshot!$A$2:$A$117,0)))</f>
        <v/>
      </c>
      <c r="AG117" s="12">
        <f>IF(AF117="","",IF(AF117&lt;=EDATE(Assumptions!$B$4,Assumptions!$B$12),"Expires &lt; "&amp;Assumptions!$B$12&amp;" m","OK"))</f>
        <v/>
      </c>
    </row>
    <row r="118">
      <c r="A118" s="12" t="inlineStr">
        <is>
          <t>CMD-0114</t>
        </is>
      </c>
      <c r="B118" s="12">
        <f>INDEX(Items!$B$2:$B$117,MATCH($A118,Items!$A$2:$A$117,0))</f>
        <v/>
      </c>
      <c r="C118" s="12">
        <f>INDEX(Items!$C$2:$C$117,MATCH($A118,Items!$A$2:$A$117,0))</f>
        <v/>
      </c>
      <c r="D118" s="12">
        <f>INDEX(Items!$D$2:$D$117,MATCH($A118,Items!$A$2:$A$117,0))</f>
        <v/>
      </c>
      <c r="E118" s="27">
        <f>INDEX(Items!$E$2:$E$117,MATCH($A118,Items!$A$2:$A$117,0))</f>
        <v/>
      </c>
      <c r="F118" s="28">
        <f>SUM(INDEX(Demand!$N$2:$Y$117,MATCH($A118,Demand!$A$2:$A$117,0),0))</f>
        <v/>
      </c>
      <c r="G118" s="28">
        <f>F118/12</f>
        <v/>
      </c>
      <c r="H118" s="28">
        <f>STDEV(INDEX(Demand!$N$2:$Y$117,MATCH($A118,Demand!$A$2:$A$117,0),0))</f>
        <v/>
      </c>
      <c r="I118" s="29">
        <f>IF(G118&gt;0,H118/G118,0)</f>
        <v/>
      </c>
      <c r="J118" s="16">
        <f>F118*E118</f>
        <v/>
      </c>
      <c r="K118" s="11">
        <f>SUMIF($J$5:$J$120,"&gt;="&amp;J118)/SUM($J$5:$J$120)</f>
        <v/>
      </c>
      <c r="L118" s="12">
        <f>IF(K118&lt;=Assumptions!$B$7,"A",IF(K118&lt;=Assumptions!$B$8,"B","C"))</f>
        <v/>
      </c>
      <c r="M118" s="12">
        <f>IF(I118&lt;=Assumptions!$B$9,"X",IF(I118&lt;=Assumptions!$B$10,"Y","Z"))</f>
        <v/>
      </c>
      <c r="N118" s="12">
        <f>L118&amp;M118</f>
        <v/>
      </c>
      <c r="O118" s="11">
        <f>INDEX(Assumptions!$F$4:$F$6,MATCH(L118,Assumptions!$E$4:$E$6,0))</f>
        <v/>
      </c>
      <c r="P118" s="29">
        <f>NORMSINV(O118)</f>
        <v/>
      </c>
      <c r="Q118" s="30">
        <f>IFERROR(AVERAGEIFS(PO_Lines!$R$2:$R$2025,PO_Lines!$B$2:$B$2025,$A118,PO_Lines!$Q$2:$Q$2025,1),INDEX(Items!$F$2:$F$117,MATCH($A118,Items!$A$2:$A$117,0)))</f>
        <v/>
      </c>
      <c r="R118" s="30">
        <f>IFERROR(SQRT(SUMPRODUCT((PO_Lines!$B$2:$B$2025=$A118)*PO_Lines!$Q$2:$Q$2025*(PO_Lines!$R$2:$R$2025-Q118)^2)/(COUNTIFS(PO_Lines!$B$2:$B$2025,$A118,PO_Lines!$Q$2:$Q$2025,1)-1)),0)</f>
        <v/>
      </c>
      <c r="S118" s="28">
        <f>ROUNDUP(P118*SQRT((Q118/Assumptions!$B$11)*H118^2+G118^2*(R118/Assumptions!$B$11)^2),0)</f>
        <v/>
      </c>
      <c r="T118" s="28">
        <f>ROUNDUP(G118*Q118/Assumptions!$B$11+S118,0)</f>
        <v/>
      </c>
      <c r="U118" s="28">
        <f>ROUNDUP(MAX(INDEX(Items!$G$2:$G$117,MATCH($A118,Items!$A$2:$A$117,0)),SQRT(2*F118*Assumptions!$B$5/(Assumptions!$B$6*E118)),G118*Assumptions!$B$16),0)</f>
        <v/>
      </c>
      <c r="V118" s="28">
        <f>INDEX(Stock_Snapshot!$B$2:$B$117,MATCH($A118,Stock_Snapshot!$A$2:$A$117,0))</f>
        <v/>
      </c>
      <c r="W118" s="28">
        <f>INDEX(Stock_Snapshot!$C$2:$C$117,MATCH($A118,Stock_Snapshot!$A$2:$A$117,0))</f>
        <v/>
      </c>
      <c r="X118" s="28">
        <f>V118+W118</f>
        <v/>
      </c>
      <c r="Y118" s="10">
        <f>IF(G118&gt;0,V118/(G118/Assumptions!$B$11),999)</f>
        <v/>
      </c>
      <c r="Z118" s="28">
        <f>S118+U118</f>
        <v/>
      </c>
      <c r="AA118" s="12">
        <f>IF(V118&lt;S118,"Below safety stock",IF(X118&lt;=T118,"Reorder now",IF(V118&gt;Z118,"Excess","Healthy")))</f>
        <v/>
      </c>
      <c r="AB118" s="16">
        <f>V118*E118</f>
        <v/>
      </c>
      <c r="AC118" s="16">
        <f>MAX(0,V118-Z118)*E118</f>
        <v/>
      </c>
      <c r="AD118" s="28">
        <f>IF(X118&lt;=T118,ROUNDUP(T118+U118-X118,0),0)</f>
        <v/>
      </c>
      <c r="AE118" s="16">
        <f>MAX(0,T118-X118)*E118</f>
        <v/>
      </c>
      <c r="AF118" s="31">
        <f>IF(INDEX(Stock_Snapshot!$D$2:$D$117,MATCH($A118,Stock_Snapshot!$A$2:$A$117,0))="","",INDEX(Stock_Snapshot!$D$2:$D$117,MATCH($A118,Stock_Snapshot!$A$2:$A$117,0)))</f>
        <v/>
      </c>
      <c r="AG118" s="12">
        <f>IF(AF118="","",IF(AF118&lt;=EDATE(Assumptions!$B$4,Assumptions!$B$12),"Expires &lt; "&amp;Assumptions!$B$12&amp;" m","OK"))</f>
        <v/>
      </c>
    </row>
    <row r="119">
      <c r="A119" s="12" t="inlineStr">
        <is>
          <t>CMD-0115</t>
        </is>
      </c>
      <c r="B119" s="12">
        <f>INDEX(Items!$B$2:$B$117,MATCH($A119,Items!$A$2:$A$117,0))</f>
        <v/>
      </c>
      <c r="C119" s="12">
        <f>INDEX(Items!$C$2:$C$117,MATCH($A119,Items!$A$2:$A$117,0))</f>
        <v/>
      </c>
      <c r="D119" s="12">
        <f>INDEX(Items!$D$2:$D$117,MATCH($A119,Items!$A$2:$A$117,0))</f>
        <v/>
      </c>
      <c r="E119" s="27">
        <f>INDEX(Items!$E$2:$E$117,MATCH($A119,Items!$A$2:$A$117,0))</f>
        <v/>
      </c>
      <c r="F119" s="28">
        <f>SUM(INDEX(Demand!$N$2:$Y$117,MATCH($A119,Demand!$A$2:$A$117,0),0))</f>
        <v/>
      </c>
      <c r="G119" s="28">
        <f>F119/12</f>
        <v/>
      </c>
      <c r="H119" s="28">
        <f>STDEV(INDEX(Demand!$N$2:$Y$117,MATCH($A119,Demand!$A$2:$A$117,0),0))</f>
        <v/>
      </c>
      <c r="I119" s="29">
        <f>IF(G119&gt;0,H119/G119,0)</f>
        <v/>
      </c>
      <c r="J119" s="16">
        <f>F119*E119</f>
        <v/>
      </c>
      <c r="K119" s="11">
        <f>SUMIF($J$5:$J$120,"&gt;="&amp;J119)/SUM($J$5:$J$120)</f>
        <v/>
      </c>
      <c r="L119" s="12">
        <f>IF(K119&lt;=Assumptions!$B$7,"A",IF(K119&lt;=Assumptions!$B$8,"B","C"))</f>
        <v/>
      </c>
      <c r="M119" s="12">
        <f>IF(I119&lt;=Assumptions!$B$9,"X",IF(I119&lt;=Assumptions!$B$10,"Y","Z"))</f>
        <v/>
      </c>
      <c r="N119" s="12">
        <f>L119&amp;M119</f>
        <v/>
      </c>
      <c r="O119" s="11">
        <f>INDEX(Assumptions!$F$4:$F$6,MATCH(L119,Assumptions!$E$4:$E$6,0))</f>
        <v/>
      </c>
      <c r="P119" s="29">
        <f>NORMSINV(O119)</f>
        <v/>
      </c>
      <c r="Q119" s="30">
        <f>IFERROR(AVERAGEIFS(PO_Lines!$R$2:$R$2025,PO_Lines!$B$2:$B$2025,$A119,PO_Lines!$Q$2:$Q$2025,1),INDEX(Items!$F$2:$F$117,MATCH($A119,Items!$A$2:$A$117,0)))</f>
        <v/>
      </c>
      <c r="R119" s="30">
        <f>IFERROR(SQRT(SUMPRODUCT((PO_Lines!$B$2:$B$2025=$A119)*PO_Lines!$Q$2:$Q$2025*(PO_Lines!$R$2:$R$2025-Q119)^2)/(COUNTIFS(PO_Lines!$B$2:$B$2025,$A119,PO_Lines!$Q$2:$Q$2025,1)-1)),0)</f>
        <v/>
      </c>
      <c r="S119" s="28">
        <f>ROUNDUP(P119*SQRT((Q119/Assumptions!$B$11)*H119^2+G119^2*(R119/Assumptions!$B$11)^2),0)</f>
        <v/>
      </c>
      <c r="T119" s="28">
        <f>ROUNDUP(G119*Q119/Assumptions!$B$11+S119,0)</f>
        <v/>
      </c>
      <c r="U119" s="28">
        <f>ROUNDUP(MAX(INDEX(Items!$G$2:$G$117,MATCH($A119,Items!$A$2:$A$117,0)),SQRT(2*F119*Assumptions!$B$5/(Assumptions!$B$6*E119)),G119*Assumptions!$B$16),0)</f>
        <v/>
      </c>
      <c r="V119" s="28">
        <f>INDEX(Stock_Snapshot!$B$2:$B$117,MATCH($A119,Stock_Snapshot!$A$2:$A$117,0))</f>
        <v/>
      </c>
      <c r="W119" s="28">
        <f>INDEX(Stock_Snapshot!$C$2:$C$117,MATCH($A119,Stock_Snapshot!$A$2:$A$117,0))</f>
        <v/>
      </c>
      <c r="X119" s="28">
        <f>V119+W119</f>
        <v/>
      </c>
      <c r="Y119" s="10">
        <f>IF(G119&gt;0,V119/(G119/Assumptions!$B$11),999)</f>
        <v/>
      </c>
      <c r="Z119" s="28">
        <f>S119+U119</f>
        <v/>
      </c>
      <c r="AA119" s="12">
        <f>IF(V119&lt;S119,"Below safety stock",IF(X119&lt;=T119,"Reorder now",IF(V119&gt;Z119,"Excess","Healthy")))</f>
        <v/>
      </c>
      <c r="AB119" s="16">
        <f>V119*E119</f>
        <v/>
      </c>
      <c r="AC119" s="16">
        <f>MAX(0,V119-Z119)*E119</f>
        <v/>
      </c>
      <c r="AD119" s="28">
        <f>IF(X119&lt;=T119,ROUNDUP(T119+U119-X119,0),0)</f>
        <v/>
      </c>
      <c r="AE119" s="16">
        <f>MAX(0,T119-X119)*E119</f>
        <v/>
      </c>
      <c r="AF119" s="31">
        <f>IF(INDEX(Stock_Snapshot!$D$2:$D$117,MATCH($A119,Stock_Snapshot!$A$2:$A$117,0))="","",INDEX(Stock_Snapshot!$D$2:$D$117,MATCH($A119,Stock_Snapshot!$A$2:$A$117,0)))</f>
        <v/>
      </c>
      <c r="AG119" s="12">
        <f>IF(AF119="","",IF(AF119&lt;=EDATE(Assumptions!$B$4,Assumptions!$B$12),"Expires &lt; "&amp;Assumptions!$B$12&amp;" m","OK"))</f>
        <v/>
      </c>
    </row>
    <row r="120">
      <c r="A120" s="12" t="inlineStr">
        <is>
          <t>CMD-0116</t>
        </is>
      </c>
      <c r="B120" s="12">
        <f>INDEX(Items!$B$2:$B$117,MATCH($A120,Items!$A$2:$A$117,0))</f>
        <v/>
      </c>
      <c r="C120" s="12">
        <f>INDEX(Items!$C$2:$C$117,MATCH($A120,Items!$A$2:$A$117,0))</f>
        <v/>
      </c>
      <c r="D120" s="12">
        <f>INDEX(Items!$D$2:$D$117,MATCH($A120,Items!$A$2:$A$117,0))</f>
        <v/>
      </c>
      <c r="E120" s="27">
        <f>INDEX(Items!$E$2:$E$117,MATCH($A120,Items!$A$2:$A$117,0))</f>
        <v/>
      </c>
      <c r="F120" s="28">
        <f>SUM(INDEX(Demand!$N$2:$Y$117,MATCH($A120,Demand!$A$2:$A$117,0),0))</f>
        <v/>
      </c>
      <c r="G120" s="28">
        <f>F120/12</f>
        <v/>
      </c>
      <c r="H120" s="28">
        <f>STDEV(INDEX(Demand!$N$2:$Y$117,MATCH($A120,Demand!$A$2:$A$117,0),0))</f>
        <v/>
      </c>
      <c r="I120" s="29">
        <f>IF(G120&gt;0,H120/G120,0)</f>
        <v/>
      </c>
      <c r="J120" s="16">
        <f>F120*E120</f>
        <v/>
      </c>
      <c r="K120" s="11">
        <f>SUMIF($J$5:$J$120,"&gt;="&amp;J120)/SUM($J$5:$J$120)</f>
        <v/>
      </c>
      <c r="L120" s="12">
        <f>IF(K120&lt;=Assumptions!$B$7,"A",IF(K120&lt;=Assumptions!$B$8,"B","C"))</f>
        <v/>
      </c>
      <c r="M120" s="12">
        <f>IF(I120&lt;=Assumptions!$B$9,"X",IF(I120&lt;=Assumptions!$B$10,"Y","Z"))</f>
        <v/>
      </c>
      <c r="N120" s="12">
        <f>L120&amp;M120</f>
        <v/>
      </c>
      <c r="O120" s="11">
        <f>INDEX(Assumptions!$F$4:$F$6,MATCH(L120,Assumptions!$E$4:$E$6,0))</f>
        <v/>
      </c>
      <c r="P120" s="29">
        <f>NORMSINV(O120)</f>
        <v/>
      </c>
      <c r="Q120" s="30">
        <f>IFERROR(AVERAGEIFS(PO_Lines!$R$2:$R$2025,PO_Lines!$B$2:$B$2025,$A120,PO_Lines!$Q$2:$Q$2025,1),INDEX(Items!$F$2:$F$117,MATCH($A120,Items!$A$2:$A$117,0)))</f>
        <v/>
      </c>
      <c r="R120" s="30">
        <f>IFERROR(SQRT(SUMPRODUCT((PO_Lines!$B$2:$B$2025=$A120)*PO_Lines!$Q$2:$Q$2025*(PO_Lines!$R$2:$R$2025-Q120)^2)/(COUNTIFS(PO_Lines!$B$2:$B$2025,$A120,PO_Lines!$Q$2:$Q$2025,1)-1)),0)</f>
        <v/>
      </c>
      <c r="S120" s="28">
        <f>ROUNDUP(P120*SQRT((Q120/Assumptions!$B$11)*H120^2+G120^2*(R120/Assumptions!$B$11)^2),0)</f>
        <v/>
      </c>
      <c r="T120" s="28">
        <f>ROUNDUP(G120*Q120/Assumptions!$B$11+S120,0)</f>
        <v/>
      </c>
      <c r="U120" s="28">
        <f>ROUNDUP(MAX(INDEX(Items!$G$2:$G$117,MATCH($A120,Items!$A$2:$A$117,0)),SQRT(2*F120*Assumptions!$B$5/(Assumptions!$B$6*E120)),G120*Assumptions!$B$16),0)</f>
        <v/>
      </c>
      <c r="V120" s="28">
        <f>INDEX(Stock_Snapshot!$B$2:$B$117,MATCH($A120,Stock_Snapshot!$A$2:$A$117,0))</f>
        <v/>
      </c>
      <c r="W120" s="28">
        <f>INDEX(Stock_Snapshot!$C$2:$C$117,MATCH($A120,Stock_Snapshot!$A$2:$A$117,0))</f>
        <v/>
      </c>
      <c r="X120" s="28">
        <f>V120+W120</f>
        <v/>
      </c>
      <c r="Y120" s="10">
        <f>IF(G120&gt;0,V120/(G120/Assumptions!$B$11),999)</f>
        <v/>
      </c>
      <c r="Z120" s="28">
        <f>S120+U120</f>
        <v/>
      </c>
      <c r="AA120" s="12">
        <f>IF(V120&lt;S120,"Below safety stock",IF(X120&lt;=T120,"Reorder now",IF(V120&gt;Z120,"Excess","Healthy")))</f>
        <v/>
      </c>
      <c r="AB120" s="16">
        <f>V120*E120</f>
        <v/>
      </c>
      <c r="AC120" s="16">
        <f>MAX(0,V120-Z120)*E120</f>
        <v/>
      </c>
      <c r="AD120" s="28">
        <f>IF(X120&lt;=T120,ROUNDUP(T120+U120-X120,0),0)</f>
        <v/>
      </c>
      <c r="AE120" s="16">
        <f>MAX(0,T120-X120)*E120</f>
        <v/>
      </c>
      <c r="AF120" s="31">
        <f>IF(INDEX(Stock_Snapshot!$D$2:$D$117,MATCH($A120,Stock_Snapshot!$A$2:$A$117,0))="","",INDEX(Stock_Snapshot!$D$2:$D$117,MATCH($A120,Stock_Snapshot!$A$2:$A$117,0)))</f>
        <v/>
      </c>
      <c r="AG120" s="12">
        <f>IF(AF120="","",IF(AF120&lt;=EDATE(Assumptions!$B$4,Assumptions!$B$12),"Expires &lt; "&amp;Assumptions!$B$12&amp;" m","OK"))</f>
        <v/>
      </c>
    </row>
  </sheetData>
  <autoFilter ref="A4:AG120"/>
  <conditionalFormatting sqref="AA5:AA120">
    <cfRule type="cellIs" priority="1" operator="equal" dxfId="0">
      <formula>"Below safety stock"</formula>
    </cfRule>
    <cfRule type="cellIs" priority="2" operator="equal" dxfId="1">
      <formula>"Reorder now"</formula>
    </cfRule>
    <cfRule type="cellIs" priority="3" operator="equal" dxfId="2">
      <formula>"Excess"</formula>
    </cfRule>
    <cfRule type="cellIs" priority="4" operator="equal" dxfId="3">
      <formula>"Healthy"</formula>
    </cfRule>
  </conditionalFormatting>
  <conditionalFormatting sqref="AG5:AG120">
    <cfRule type="expression" priority="5" dxfId="0">
      <formula>LEFT(AG5,7)="Expires"</formula>
    </cfRule>
  </conditionalFormatting>
  <conditionalFormatting sqref="L5:L120">
    <cfRule type="cellIs" priority="6" operator="equal" dxfId="4">
      <formula>"A"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A78D6"/>
    <outlinePr summaryBelow="1" summaryRight="1"/>
    <pageSetUpPr/>
  </sheetPr>
  <dimension ref="A1:N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9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7" customWidth="1" min="14" max="14"/>
  </cols>
  <sheetData>
    <row r="1">
      <c r="A1" s="1" t="inlineStr">
        <is>
          <t>Supplier Scorecard</t>
        </is>
      </c>
    </row>
    <row r="2">
      <c r="A2" s="2" t="inlineStr">
        <is>
          <t>On-time, in-full (OTIF), quality and lead-time performance per supplier, all POs received Oct-2024 to Sep-2026.</t>
        </is>
      </c>
    </row>
    <row r="4" ht="42" customHeight="1">
      <c r="A4" s="8" t="inlineStr">
        <is>
          <t>Supplier ID</t>
        </is>
      </c>
      <c r="B4" s="8" t="inlineStr">
        <is>
          <t>Supplier</t>
        </is>
      </c>
      <c r="C4" s="8" t="inlineStr">
        <is>
          <t>Country</t>
        </is>
      </c>
      <c r="D4" s="8" t="inlineStr">
        <is>
          <t>SKUs supplied</t>
        </is>
      </c>
      <c r="E4" s="8" t="inlineStr">
        <is>
          <t>Single-source SKUs</t>
        </is>
      </c>
      <c r="F4" s="8" t="inlineStr">
        <is>
          <t>POs received</t>
        </is>
      </c>
      <c r="G4" s="8" t="inlineStr">
        <is>
          <t>FY spend (€)</t>
        </is>
      </c>
      <c r="H4" s="8" t="inlineStr">
        <is>
          <t>On-time %</t>
        </is>
      </c>
      <c r="I4" s="8" t="inlineStr">
        <is>
          <t>In-full %</t>
        </is>
      </c>
      <c r="J4" s="8" t="inlineStr">
        <is>
          <t>OTIF %</t>
        </is>
      </c>
      <c r="K4" s="8" t="inlineStr">
        <is>
          <t>Avg days late (late POs)</t>
        </is>
      </c>
      <c r="L4" s="8" t="inlineStr">
        <is>
          <t>Reject rate</t>
        </is>
      </c>
      <c r="M4" s="8" t="inlineStr">
        <is>
          <t>Avg actual lead time (days)</t>
        </is>
      </c>
      <c r="N4" s="8" t="inlineStr">
        <is>
          <t>Rating</t>
        </is>
      </c>
    </row>
    <row r="5">
      <c r="A5" s="12" t="inlineStr">
        <is>
          <t>S01</t>
        </is>
      </c>
      <c r="B5" s="12" t="inlineStr">
        <is>
          <t>Shannon Electronics Ltd</t>
        </is>
      </c>
      <c r="C5" s="12" t="inlineStr">
        <is>
          <t>Ireland</t>
        </is>
      </c>
      <c r="D5" s="10">
        <f>COUNTIF(Items!$D$2:$D$117,A5)</f>
        <v/>
      </c>
      <c r="E5" s="10">
        <f>COUNTIFS(Items!$D$2:$D$117,A5,Items!$I$2:$I$117,TRUE)</f>
        <v/>
      </c>
      <c r="F5" s="10">
        <f>COUNTIFS(PO_Lines!$C$2:$C$2025,A5,PO_Lines!$Q$2:$Q$2025,1)</f>
        <v/>
      </c>
      <c r="G5" s="16">
        <f>SUMIFS(PO_Lines!$O$2:$O$2025,PO_Lines!$C$2:$C$2025,A5,PO_Lines!$D$2:$D$2025,"&gt;="&amp;Assumptions!$B$13)</f>
        <v/>
      </c>
      <c r="H5" s="11">
        <f>IFERROR(SUMIFS(PO_Lines!$S$2:$S$2025,PO_Lines!$C$2:$C$2025,A5)/F5,0)</f>
        <v/>
      </c>
      <c r="I5" s="11">
        <f>IFERROR(SUMIFS(PO_Lines!$T$2:$T$2025,PO_Lines!$C$2:$C$2025,A5)/F5,0)</f>
        <v/>
      </c>
      <c r="J5" s="11">
        <f>IFERROR(SUMIFS(PO_Lines!$U$2:$U$2025,PO_Lines!$C$2:$C$2025,A5)/F5,0)</f>
        <v/>
      </c>
      <c r="K5" s="30">
        <f>IFERROR(AVERAGEIFS(PO_Lines!$V$2:$V$2025,PO_Lines!$C$2:$C$2025,A5,PO_Lines!$V$2:$V$2025,"&gt;0"),0)</f>
        <v/>
      </c>
      <c r="L5" s="32">
        <f>IFERROR(SUMIFS(PO_Lines!$I$2:$I$2025,PO_Lines!$C$2:$C$2025,A5)/SUMIFS(PO_Lines!$H$2:$H$2025,PO_Lines!$C$2:$C$2025,A5),0)</f>
        <v/>
      </c>
      <c r="M5" s="10">
        <f>IFERROR(AVERAGEIFS(PO_Lines!$R$2:$R$2025,PO_Lines!$C$2:$C$2025,A5,PO_Lines!$Q$2:$Q$2025,1),0)</f>
        <v/>
      </c>
      <c r="N5" s="12">
        <f>IF(J5&gt;=Assumptions!$B$14,"Preferred",IF(J5&gt;=Assumptions!$B$15,"Approved","Improvement plan"))</f>
        <v/>
      </c>
    </row>
    <row r="6">
      <c r="A6" s="12" t="inlineStr">
        <is>
          <t>S02</t>
        </is>
      </c>
      <c r="B6" s="12" t="inlineStr">
        <is>
          <t>Rhein Sensorik GmbH</t>
        </is>
      </c>
      <c r="C6" s="12" t="inlineStr">
        <is>
          <t>Germany</t>
        </is>
      </c>
      <c r="D6" s="10">
        <f>COUNTIF(Items!$D$2:$D$117,A6)</f>
        <v/>
      </c>
      <c r="E6" s="10">
        <f>COUNTIFS(Items!$D$2:$D$117,A6,Items!$I$2:$I$117,TRUE)</f>
        <v/>
      </c>
      <c r="F6" s="10">
        <f>COUNTIFS(PO_Lines!$C$2:$C$2025,A6,PO_Lines!$Q$2:$Q$2025,1)</f>
        <v/>
      </c>
      <c r="G6" s="16">
        <f>SUMIFS(PO_Lines!$O$2:$O$2025,PO_Lines!$C$2:$C$2025,A6,PO_Lines!$D$2:$D$2025,"&gt;="&amp;Assumptions!$B$13)</f>
        <v/>
      </c>
      <c r="H6" s="11">
        <f>IFERROR(SUMIFS(PO_Lines!$S$2:$S$2025,PO_Lines!$C$2:$C$2025,A6)/F6,0)</f>
        <v/>
      </c>
      <c r="I6" s="11">
        <f>IFERROR(SUMIFS(PO_Lines!$T$2:$T$2025,PO_Lines!$C$2:$C$2025,A6)/F6,0)</f>
        <v/>
      </c>
      <c r="J6" s="11">
        <f>IFERROR(SUMIFS(PO_Lines!$U$2:$U$2025,PO_Lines!$C$2:$C$2025,A6)/F6,0)</f>
        <v/>
      </c>
      <c r="K6" s="30">
        <f>IFERROR(AVERAGEIFS(PO_Lines!$V$2:$V$2025,PO_Lines!$C$2:$C$2025,A6,PO_Lines!$V$2:$V$2025,"&gt;0"),0)</f>
        <v/>
      </c>
      <c r="L6" s="32">
        <f>IFERROR(SUMIFS(PO_Lines!$I$2:$I$2025,PO_Lines!$C$2:$C$2025,A6)/SUMIFS(PO_Lines!$H$2:$H$2025,PO_Lines!$C$2:$C$2025,A6),0)</f>
        <v/>
      </c>
      <c r="M6" s="10">
        <f>IFERROR(AVERAGEIFS(PO_Lines!$R$2:$R$2025,PO_Lines!$C$2:$C$2025,A6,PO_Lines!$Q$2:$Q$2025,1),0)</f>
        <v/>
      </c>
      <c r="N6" s="12">
        <f>IF(J6&gt;=Assumptions!$B$14,"Preferred",IF(J6&gt;=Assumptions!$B$15,"Approved","Improvement plan"))</f>
        <v/>
      </c>
    </row>
    <row r="7">
      <c r="A7" s="12" t="inlineStr">
        <is>
          <t>S03</t>
        </is>
      </c>
      <c r="B7" s="12" t="inlineStr">
        <is>
          <t>Formosa Microtech Co.</t>
        </is>
      </c>
      <c r="C7" s="12" t="inlineStr">
        <is>
          <t>Taiwan</t>
        </is>
      </c>
      <c r="D7" s="10">
        <f>COUNTIF(Items!$D$2:$D$117,A7)</f>
        <v/>
      </c>
      <c r="E7" s="10">
        <f>COUNTIFS(Items!$D$2:$D$117,A7,Items!$I$2:$I$117,TRUE)</f>
        <v/>
      </c>
      <c r="F7" s="10">
        <f>COUNTIFS(PO_Lines!$C$2:$C$2025,A7,PO_Lines!$Q$2:$Q$2025,1)</f>
        <v/>
      </c>
      <c r="G7" s="16">
        <f>SUMIFS(PO_Lines!$O$2:$O$2025,PO_Lines!$C$2:$C$2025,A7,PO_Lines!$D$2:$D$2025,"&gt;="&amp;Assumptions!$B$13)</f>
        <v/>
      </c>
      <c r="H7" s="11">
        <f>IFERROR(SUMIFS(PO_Lines!$S$2:$S$2025,PO_Lines!$C$2:$C$2025,A7)/F7,0)</f>
        <v/>
      </c>
      <c r="I7" s="11">
        <f>IFERROR(SUMIFS(PO_Lines!$T$2:$T$2025,PO_Lines!$C$2:$C$2025,A7)/F7,0)</f>
        <v/>
      </c>
      <c r="J7" s="11">
        <f>IFERROR(SUMIFS(PO_Lines!$U$2:$U$2025,PO_Lines!$C$2:$C$2025,A7)/F7,0)</f>
        <v/>
      </c>
      <c r="K7" s="30">
        <f>IFERROR(AVERAGEIFS(PO_Lines!$V$2:$V$2025,PO_Lines!$C$2:$C$2025,A7,PO_Lines!$V$2:$V$2025,"&gt;0"),0)</f>
        <v/>
      </c>
      <c r="L7" s="32">
        <f>IFERROR(SUMIFS(PO_Lines!$I$2:$I$2025,PO_Lines!$C$2:$C$2025,A7)/SUMIFS(PO_Lines!$H$2:$H$2025,PO_Lines!$C$2:$C$2025,A7),0)</f>
        <v/>
      </c>
      <c r="M7" s="10">
        <f>IFERROR(AVERAGEIFS(PO_Lines!$R$2:$R$2025,PO_Lines!$C$2:$C$2025,A7,PO_Lines!$Q$2:$Q$2025,1),0)</f>
        <v/>
      </c>
      <c r="N7" s="12">
        <f>IF(J7&gt;=Assumptions!$B$14,"Preferred",IF(J7&gt;=Assumptions!$B$15,"Approved","Improvement plan"))</f>
        <v/>
      </c>
    </row>
    <row r="8">
      <c r="A8" s="12" t="inlineStr">
        <is>
          <t>S04</t>
        </is>
      </c>
      <c r="B8" s="12" t="inlineStr">
        <is>
          <t>Penang Precision Sdn Bhd</t>
        </is>
      </c>
      <c r="C8" s="12" t="inlineStr">
        <is>
          <t>Malaysia</t>
        </is>
      </c>
      <c r="D8" s="10">
        <f>COUNTIF(Items!$D$2:$D$117,A8)</f>
        <v/>
      </c>
      <c r="E8" s="10">
        <f>COUNTIFS(Items!$D$2:$D$117,A8,Items!$I$2:$I$117,TRUE)</f>
        <v/>
      </c>
      <c r="F8" s="10">
        <f>COUNTIFS(PO_Lines!$C$2:$C$2025,A8,PO_Lines!$Q$2:$Q$2025,1)</f>
        <v/>
      </c>
      <c r="G8" s="16">
        <f>SUMIFS(PO_Lines!$O$2:$O$2025,PO_Lines!$C$2:$C$2025,A8,PO_Lines!$D$2:$D$2025,"&gt;="&amp;Assumptions!$B$13)</f>
        <v/>
      </c>
      <c r="H8" s="11">
        <f>IFERROR(SUMIFS(PO_Lines!$S$2:$S$2025,PO_Lines!$C$2:$C$2025,A8)/F8,0)</f>
        <v/>
      </c>
      <c r="I8" s="11">
        <f>IFERROR(SUMIFS(PO_Lines!$T$2:$T$2025,PO_Lines!$C$2:$C$2025,A8)/F8,0)</f>
        <v/>
      </c>
      <c r="J8" s="11">
        <f>IFERROR(SUMIFS(PO_Lines!$U$2:$U$2025,PO_Lines!$C$2:$C$2025,A8)/F8,0)</f>
        <v/>
      </c>
      <c r="K8" s="30">
        <f>IFERROR(AVERAGEIFS(PO_Lines!$V$2:$V$2025,PO_Lines!$C$2:$C$2025,A8,PO_Lines!$V$2:$V$2025,"&gt;0"),0)</f>
        <v/>
      </c>
      <c r="L8" s="32">
        <f>IFERROR(SUMIFS(PO_Lines!$I$2:$I$2025,PO_Lines!$C$2:$C$2025,A8)/SUMIFS(PO_Lines!$H$2:$H$2025,PO_Lines!$C$2:$C$2025,A8),0)</f>
        <v/>
      </c>
      <c r="M8" s="10">
        <f>IFERROR(AVERAGEIFS(PO_Lines!$R$2:$R$2025,PO_Lines!$C$2:$C$2025,A8,PO_Lines!$Q$2:$Q$2025,1),0)</f>
        <v/>
      </c>
      <c r="N8" s="12">
        <f>IF(J8&gt;=Assumptions!$B$14,"Preferred",IF(J8&gt;=Assumptions!$B$15,"Approved","Improvement plan"))</f>
        <v/>
      </c>
    </row>
    <row r="9">
      <c r="A9" s="12" t="inlineStr">
        <is>
          <t>S05</t>
        </is>
      </c>
      <c r="B9" s="12" t="inlineStr">
        <is>
          <t>Shenzhen Brightcell Power</t>
        </is>
      </c>
      <c r="C9" s="12" t="inlineStr">
        <is>
          <t>China</t>
        </is>
      </c>
      <c r="D9" s="10">
        <f>COUNTIF(Items!$D$2:$D$117,A9)</f>
        <v/>
      </c>
      <c r="E9" s="10">
        <f>COUNTIFS(Items!$D$2:$D$117,A9,Items!$I$2:$I$117,TRUE)</f>
        <v/>
      </c>
      <c r="F9" s="10">
        <f>COUNTIFS(PO_Lines!$C$2:$C$2025,A9,PO_Lines!$Q$2:$Q$2025,1)</f>
        <v/>
      </c>
      <c r="G9" s="16">
        <f>SUMIFS(PO_Lines!$O$2:$O$2025,PO_Lines!$C$2:$C$2025,A9,PO_Lines!$D$2:$D$2025,"&gt;="&amp;Assumptions!$B$13)</f>
        <v/>
      </c>
      <c r="H9" s="11">
        <f>IFERROR(SUMIFS(PO_Lines!$S$2:$S$2025,PO_Lines!$C$2:$C$2025,A9)/F9,0)</f>
        <v/>
      </c>
      <c r="I9" s="11">
        <f>IFERROR(SUMIFS(PO_Lines!$T$2:$T$2025,PO_Lines!$C$2:$C$2025,A9)/F9,0)</f>
        <v/>
      </c>
      <c r="J9" s="11">
        <f>IFERROR(SUMIFS(PO_Lines!$U$2:$U$2025,PO_Lines!$C$2:$C$2025,A9)/F9,0)</f>
        <v/>
      </c>
      <c r="K9" s="30">
        <f>IFERROR(AVERAGEIFS(PO_Lines!$V$2:$V$2025,PO_Lines!$C$2:$C$2025,A9,PO_Lines!$V$2:$V$2025,"&gt;0"),0)</f>
        <v/>
      </c>
      <c r="L9" s="32">
        <f>IFERROR(SUMIFS(PO_Lines!$I$2:$I$2025,PO_Lines!$C$2:$C$2025,A9)/SUMIFS(PO_Lines!$H$2:$H$2025,PO_Lines!$C$2:$C$2025,A9),0)</f>
        <v/>
      </c>
      <c r="M9" s="10">
        <f>IFERROR(AVERAGEIFS(PO_Lines!$R$2:$R$2025,PO_Lines!$C$2:$C$2025,A9,PO_Lines!$Q$2:$Q$2025,1),0)</f>
        <v/>
      </c>
      <c r="N9" s="12">
        <f>IF(J9&gt;=Assumptions!$B$14,"Preferred",IF(J9&gt;=Assumptions!$B$15,"Approved","Improvement plan"))</f>
        <v/>
      </c>
    </row>
    <row r="10">
      <c r="A10" s="12" t="inlineStr">
        <is>
          <t>S06</t>
        </is>
      </c>
      <c r="B10" s="12" t="inlineStr">
        <is>
          <t>Midlands Connect UK</t>
        </is>
      </c>
      <c r="C10" s="12" t="inlineStr">
        <is>
          <t>United Kingdom</t>
        </is>
      </c>
      <c r="D10" s="10">
        <f>COUNTIF(Items!$D$2:$D$117,A10)</f>
        <v/>
      </c>
      <c r="E10" s="10">
        <f>COUNTIFS(Items!$D$2:$D$117,A10,Items!$I$2:$I$117,TRUE)</f>
        <v/>
      </c>
      <c r="F10" s="10">
        <f>COUNTIFS(PO_Lines!$C$2:$C$2025,A10,PO_Lines!$Q$2:$Q$2025,1)</f>
        <v/>
      </c>
      <c r="G10" s="16">
        <f>SUMIFS(PO_Lines!$O$2:$O$2025,PO_Lines!$C$2:$C$2025,A10,PO_Lines!$D$2:$D$2025,"&gt;="&amp;Assumptions!$B$13)</f>
        <v/>
      </c>
      <c r="H10" s="11">
        <f>IFERROR(SUMIFS(PO_Lines!$S$2:$S$2025,PO_Lines!$C$2:$C$2025,A10)/F10,0)</f>
        <v/>
      </c>
      <c r="I10" s="11">
        <f>IFERROR(SUMIFS(PO_Lines!$T$2:$T$2025,PO_Lines!$C$2:$C$2025,A10)/F10,0)</f>
        <v/>
      </c>
      <c r="J10" s="11">
        <f>IFERROR(SUMIFS(PO_Lines!$U$2:$U$2025,PO_Lines!$C$2:$C$2025,A10)/F10,0)</f>
        <v/>
      </c>
      <c r="K10" s="30">
        <f>IFERROR(AVERAGEIFS(PO_Lines!$V$2:$V$2025,PO_Lines!$C$2:$C$2025,A10,PO_Lines!$V$2:$V$2025,"&gt;0"),0)</f>
        <v/>
      </c>
      <c r="L10" s="32">
        <f>IFERROR(SUMIFS(PO_Lines!$I$2:$I$2025,PO_Lines!$C$2:$C$2025,A10)/SUMIFS(PO_Lines!$H$2:$H$2025,PO_Lines!$C$2:$C$2025,A10),0)</f>
        <v/>
      </c>
      <c r="M10" s="10">
        <f>IFERROR(AVERAGEIFS(PO_Lines!$R$2:$R$2025,PO_Lines!$C$2:$C$2025,A10,PO_Lines!$Q$2:$Q$2025,1),0)</f>
        <v/>
      </c>
      <c r="N10" s="12">
        <f>IF(J10&gt;=Assumptions!$B$14,"Preferred",IF(J10&gt;=Assumptions!$B$15,"Approved","Improvement plan"))</f>
        <v/>
      </c>
    </row>
    <row r="11">
      <c r="A11" s="12" t="inlineStr">
        <is>
          <t>S07</t>
        </is>
      </c>
      <c r="B11" s="12" t="inlineStr">
        <is>
          <t>Lakeview Circuits Inc.</t>
        </is>
      </c>
      <c r="C11" s="12" t="inlineStr">
        <is>
          <t>USA</t>
        </is>
      </c>
      <c r="D11" s="10">
        <f>COUNTIF(Items!$D$2:$D$117,A11)</f>
        <v/>
      </c>
      <c r="E11" s="10">
        <f>COUNTIFS(Items!$D$2:$D$117,A11,Items!$I$2:$I$117,TRUE)</f>
        <v/>
      </c>
      <c r="F11" s="10">
        <f>COUNTIFS(PO_Lines!$C$2:$C$2025,A11,PO_Lines!$Q$2:$Q$2025,1)</f>
        <v/>
      </c>
      <c r="G11" s="16">
        <f>SUMIFS(PO_Lines!$O$2:$O$2025,PO_Lines!$C$2:$C$2025,A11,PO_Lines!$D$2:$D$2025,"&gt;="&amp;Assumptions!$B$13)</f>
        <v/>
      </c>
      <c r="H11" s="11">
        <f>IFERROR(SUMIFS(PO_Lines!$S$2:$S$2025,PO_Lines!$C$2:$C$2025,A11)/F11,0)</f>
        <v/>
      </c>
      <c r="I11" s="11">
        <f>IFERROR(SUMIFS(PO_Lines!$T$2:$T$2025,PO_Lines!$C$2:$C$2025,A11)/F11,0)</f>
        <v/>
      </c>
      <c r="J11" s="11">
        <f>IFERROR(SUMIFS(PO_Lines!$U$2:$U$2025,PO_Lines!$C$2:$C$2025,A11)/F11,0)</f>
        <v/>
      </c>
      <c r="K11" s="30">
        <f>IFERROR(AVERAGEIFS(PO_Lines!$V$2:$V$2025,PO_Lines!$C$2:$C$2025,A11,PO_Lines!$V$2:$V$2025,"&gt;0"),0)</f>
        <v/>
      </c>
      <c r="L11" s="32">
        <f>IFERROR(SUMIFS(PO_Lines!$I$2:$I$2025,PO_Lines!$C$2:$C$2025,A11)/SUMIFS(PO_Lines!$H$2:$H$2025,PO_Lines!$C$2:$C$2025,A11),0)</f>
        <v/>
      </c>
      <c r="M11" s="10">
        <f>IFERROR(AVERAGEIFS(PO_Lines!$R$2:$R$2025,PO_Lines!$C$2:$C$2025,A11,PO_Lines!$Q$2:$Q$2025,1),0)</f>
        <v/>
      </c>
      <c r="N11" s="12">
        <f>IF(J11&gt;=Assumptions!$B$14,"Preferred",IF(J11&gt;=Assumptions!$B$15,"Approved","Improvement plan"))</f>
        <v/>
      </c>
    </row>
    <row r="12">
      <c r="A12" s="12" t="inlineStr">
        <is>
          <t>S08</t>
        </is>
      </c>
      <c r="B12" s="12" t="inlineStr">
        <is>
          <t>Bavaria Display AG</t>
        </is>
      </c>
      <c r="C12" s="12" t="inlineStr">
        <is>
          <t>Germany</t>
        </is>
      </c>
      <c r="D12" s="10">
        <f>COUNTIF(Items!$D$2:$D$117,A12)</f>
        <v/>
      </c>
      <c r="E12" s="10">
        <f>COUNTIFS(Items!$D$2:$D$117,A12,Items!$I$2:$I$117,TRUE)</f>
        <v/>
      </c>
      <c r="F12" s="10">
        <f>COUNTIFS(PO_Lines!$C$2:$C$2025,A12,PO_Lines!$Q$2:$Q$2025,1)</f>
        <v/>
      </c>
      <c r="G12" s="16">
        <f>SUMIFS(PO_Lines!$O$2:$O$2025,PO_Lines!$C$2:$C$2025,A12,PO_Lines!$D$2:$D$2025,"&gt;="&amp;Assumptions!$B$13)</f>
        <v/>
      </c>
      <c r="H12" s="11">
        <f>IFERROR(SUMIFS(PO_Lines!$S$2:$S$2025,PO_Lines!$C$2:$C$2025,A12)/F12,0)</f>
        <v/>
      </c>
      <c r="I12" s="11">
        <f>IFERROR(SUMIFS(PO_Lines!$T$2:$T$2025,PO_Lines!$C$2:$C$2025,A12)/F12,0)</f>
        <v/>
      </c>
      <c r="J12" s="11">
        <f>IFERROR(SUMIFS(PO_Lines!$U$2:$U$2025,PO_Lines!$C$2:$C$2025,A12)/F12,0)</f>
        <v/>
      </c>
      <c r="K12" s="30">
        <f>IFERROR(AVERAGEIFS(PO_Lines!$V$2:$V$2025,PO_Lines!$C$2:$C$2025,A12,PO_Lines!$V$2:$V$2025,"&gt;0"),0)</f>
        <v/>
      </c>
      <c r="L12" s="32">
        <f>IFERROR(SUMIFS(PO_Lines!$I$2:$I$2025,PO_Lines!$C$2:$C$2025,A12)/SUMIFS(PO_Lines!$H$2:$H$2025,PO_Lines!$C$2:$C$2025,A12),0)</f>
        <v/>
      </c>
      <c r="M12" s="10">
        <f>IFERROR(AVERAGEIFS(PO_Lines!$R$2:$R$2025,PO_Lines!$C$2:$C$2025,A12,PO_Lines!$Q$2:$Q$2025,1),0)</f>
        <v/>
      </c>
      <c r="N12" s="12">
        <f>IF(J12&gt;=Assumptions!$B$14,"Preferred",IF(J12&gt;=Assumptions!$B$15,"Approved","Improvement plan"))</f>
        <v/>
      </c>
    </row>
    <row r="13">
      <c r="A13" s="12" t="inlineStr">
        <is>
          <t>S09</t>
        </is>
      </c>
      <c r="B13" s="12" t="inlineStr">
        <is>
          <t>Atlantic Polymers Ltd</t>
        </is>
      </c>
      <c r="C13" s="12" t="inlineStr">
        <is>
          <t>Ireland</t>
        </is>
      </c>
      <c r="D13" s="10">
        <f>COUNTIF(Items!$D$2:$D$117,A13)</f>
        <v/>
      </c>
      <c r="E13" s="10">
        <f>COUNTIFS(Items!$D$2:$D$117,A13,Items!$I$2:$I$117,TRUE)</f>
        <v/>
      </c>
      <c r="F13" s="10">
        <f>COUNTIFS(PO_Lines!$C$2:$C$2025,A13,PO_Lines!$Q$2:$Q$2025,1)</f>
        <v/>
      </c>
      <c r="G13" s="16">
        <f>SUMIFS(PO_Lines!$O$2:$O$2025,PO_Lines!$C$2:$C$2025,A13,PO_Lines!$D$2:$D$2025,"&gt;="&amp;Assumptions!$B$13)</f>
        <v/>
      </c>
      <c r="H13" s="11">
        <f>IFERROR(SUMIFS(PO_Lines!$S$2:$S$2025,PO_Lines!$C$2:$C$2025,A13)/F13,0)</f>
        <v/>
      </c>
      <c r="I13" s="11">
        <f>IFERROR(SUMIFS(PO_Lines!$T$2:$T$2025,PO_Lines!$C$2:$C$2025,A13)/F13,0)</f>
        <v/>
      </c>
      <c r="J13" s="11">
        <f>IFERROR(SUMIFS(PO_Lines!$U$2:$U$2025,PO_Lines!$C$2:$C$2025,A13)/F13,0)</f>
        <v/>
      </c>
      <c r="K13" s="30">
        <f>IFERROR(AVERAGEIFS(PO_Lines!$V$2:$V$2025,PO_Lines!$C$2:$C$2025,A13,PO_Lines!$V$2:$V$2025,"&gt;0"),0)</f>
        <v/>
      </c>
      <c r="L13" s="32">
        <f>IFERROR(SUMIFS(PO_Lines!$I$2:$I$2025,PO_Lines!$C$2:$C$2025,A13)/SUMIFS(PO_Lines!$H$2:$H$2025,PO_Lines!$C$2:$C$2025,A13),0)</f>
        <v/>
      </c>
      <c r="M13" s="10">
        <f>IFERROR(AVERAGEIFS(PO_Lines!$R$2:$R$2025,PO_Lines!$C$2:$C$2025,A13,PO_Lines!$Q$2:$Q$2025,1),0)</f>
        <v/>
      </c>
      <c r="N13" s="12">
        <f>IF(J13&gt;=Assumptions!$B$14,"Preferred",IF(J13&gt;=Assumptions!$B$15,"Approved","Improvement plan"))</f>
        <v/>
      </c>
    </row>
    <row r="14">
      <c r="A14" s="12" t="inlineStr">
        <is>
          <t>S10</t>
        </is>
      </c>
      <c r="B14" s="12" t="inlineStr">
        <is>
          <t>Nordic Passive Components</t>
        </is>
      </c>
      <c r="C14" s="12" t="inlineStr">
        <is>
          <t>Sweden</t>
        </is>
      </c>
      <c r="D14" s="10">
        <f>COUNTIF(Items!$D$2:$D$117,A14)</f>
        <v/>
      </c>
      <c r="E14" s="10">
        <f>COUNTIFS(Items!$D$2:$D$117,A14,Items!$I$2:$I$117,TRUE)</f>
        <v/>
      </c>
      <c r="F14" s="10">
        <f>COUNTIFS(PO_Lines!$C$2:$C$2025,A14,PO_Lines!$Q$2:$Q$2025,1)</f>
        <v/>
      </c>
      <c r="G14" s="16">
        <f>SUMIFS(PO_Lines!$O$2:$O$2025,PO_Lines!$C$2:$C$2025,A14,PO_Lines!$D$2:$D$2025,"&gt;="&amp;Assumptions!$B$13)</f>
        <v/>
      </c>
      <c r="H14" s="11">
        <f>IFERROR(SUMIFS(PO_Lines!$S$2:$S$2025,PO_Lines!$C$2:$C$2025,A14)/F14,0)</f>
        <v/>
      </c>
      <c r="I14" s="11">
        <f>IFERROR(SUMIFS(PO_Lines!$T$2:$T$2025,PO_Lines!$C$2:$C$2025,A14)/F14,0)</f>
        <v/>
      </c>
      <c r="J14" s="11">
        <f>IFERROR(SUMIFS(PO_Lines!$U$2:$U$2025,PO_Lines!$C$2:$C$2025,A14)/F14,0)</f>
        <v/>
      </c>
      <c r="K14" s="30">
        <f>IFERROR(AVERAGEIFS(PO_Lines!$V$2:$V$2025,PO_Lines!$C$2:$C$2025,A14,PO_Lines!$V$2:$V$2025,"&gt;0"),0)</f>
        <v/>
      </c>
      <c r="L14" s="32">
        <f>IFERROR(SUMIFS(PO_Lines!$I$2:$I$2025,PO_Lines!$C$2:$C$2025,A14)/SUMIFS(PO_Lines!$H$2:$H$2025,PO_Lines!$C$2:$C$2025,A14),0)</f>
        <v/>
      </c>
      <c r="M14" s="10">
        <f>IFERROR(AVERAGEIFS(PO_Lines!$R$2:$R$2025,PO_Lines!$C$2:$C$2025,A14,PO_Lines!$Q$2:$Q$2025,1),0)</f>
        <v/>
      </c>
      <c r="N14" s="12">
        <f>IF(J14&gt;=Assumptions!$B$14,"Preferred",IF(J14&gt;=Assumptions!$B$15,"Approved","Improvement plan"))</f>
        <v/>
      </c>
    </row>
    <row r="15">
      <c r="A15" s="12" t="inlineStr">
        <is>
          <t>S11</t>
        </is>
      </c>
      <c r="B15" s="12" t="inlineStr">
        <is>
          <t>Kyushu Semiconductor KK</t>
        </is>
      </c>
      <c r="C15" s="12" t="inlineStr">
        <is>
          <t>Japan</t>
        </is>
      </c>
      <c r="D15" s="10">
        <f>COUNTIF(Items!$D$2:$D$117,A15)</f>
        <v/>
      </c>
      <c r="E15" s="10">
        <f>COUNTIFS(Items!$D$2:$D$117,A15,Items!$I$2:$I$117,TRUE)</f>
        <v/>
      </c>
      <c r="F15" s="10">
        <f>COUNTIFS(PO_Lines!$C$2:$C$2025,A15,PO_Lines!$Q$2:$Q$2025,1)</f>
        <v/>
      </c>
      <c r="G15" s="16">
        <f>SUMIFS(PO_Lines!$O$2:$O$2025,PO_Lines!$C$2:$C$2025,A15,PO_Lines!$D$2:$D$2025,"&gt;="&amp;Assumptions!$B$13)</f>
        <v/>
      </c>
      <c r="H15" s="11">
        <f>IFERROR(SUMIFS(PO_Lines!$S$2:$S$2025,PO_Lines!$C$2:$C$2025,A15)/F15,0)</f>
        <v/>
      </c>
      <c r="I15" s="11">
        <f>IFERROR(SUMIFS(PO_Lines!$T$2:$T$2025,PO_Lines!$C$2:$C$2025,A15)/F15,0)</f>
        <v/>
      </c>
      <c r="J15" s="11">
        <f>IFERROR(SUMIFS(PO_Lines!$U$2:$U$2025,PO_Lines!$C$2:$C$2025,A15)/F15,0)</f>
        <v/>
      </c>
      <c r="K15" s="30">
        <f>IFERROR(AVERAGEIFS(PO_Lines!$V$2:$V$2025,PO_Lines!$C$2:$C$2025,A15,PO_Lines!$V$2:$V$2025,"&gt;0"),0)</f>
        <v/>
      </c>
      <c r="L15" s="32">
        <f>IFERROR(SUMIFS(PO_Lines!$I$2:$I$2025,PO_Lines!$C$2:$C$2025,A15)/SUMIFS(PO_Lines!$H$2:$H$2025,PO_Lines!$C$2:$C$2025,A15),0)</f>
        <v/>
      </c>
      <c r="M15" s="10">
        <f>IFERROR(AVERAGEIFS(PO_Lines!$R$2:$R$2025,PO_Lines!$C$2:$C$2025,A15,PO_Lines!$Q$2:$Q$2025,1),0)</f>
        <v/>
      </c>
      <c r="N15" s="12">
        <f>IF(J15&gt;=Assumptions!$B$14,"Preferred",IF(J15&gt;=Assumptions!$B$15,"Approved","Improvement plan"))</f>
        <v/>
      </c>
    </row>
    <row r="16">
      <c r="A16" s="12" t="inlineStr">
        <is>
          <t>S12</t>
        </is>
      </c>
      <c r="B16" s="12" t="inlineStr">
        <is>
          <t>Dublin Sterile Packaging</t>
        </is>
      </c>
      <c r="C16" s="12" t="inlineStr">
        <is>
          <t>Ireland</t>
        </is>
      </c>
      <c r="D16" s="10">
        <f>COUNTIF(Items!$D$2:$D$117,A16)</f>
        <v/>
      </c>
      <c r="E16" s="10">
        <f>COUNTIFS(Items!$D$2:$D$117,A16,Items!$I$2:$I$117,TRUE)</f>
        <v/>
      </c>
      <c r="F16" s="10">
        <f>COUNTIFS(PO_Lines!$C$2:$C$2025,A16,PO_Lines!$Q$2:$Q$2025,1)</f>
        <v/>
      </c>
      <c r="G16" s="16">
        <f>SUMIFS(PO_Lines!$O$2:$O$2025,PO_Lines!$C$2:$C$2025,A16,PO_Lines!$D$2:$D$2025,"&gt;="&amp;Assumptions!$B$13)</f>
        <v/>
      </c>
      <c r="H16" s="11">
        <f>IFERROR(SUMIFS(PO_Lines!$S$2:$S$2025,PO_Lines!$C$2:$C$2025,A16)/F16,0)</f>
        <v/>
      </c>
      <c r="I16" s="11">
        <f>IFERROR(SUMIFS(PO_Lines!$T$2:$T$2025,PO_Lines!$C$2:$C$2025,A16)/F16,0)</f>
        <v/>
      </c>
      <c r="J16" s="11">
        <f>IFERROR(SUMIFS(PO_Lines!$U$2:$U$2025,PO_Lines!$C$2:$C$2025,A16)/F16,0)</f>
        <v/>
      </c>
      <c r="K16" s="30">
        <f>IFERROR(AVERAGEIFS(PO_Lines!$V$2:$V$2025,PO_Lines!$C$2:$C$2025,A16,PO_Lines!$V$2:$V$2025,"&gt;0"),0)</f>
        <v/>
      </c>
      <c r="L16" s="32">
        <f>IFERROR(SUMIFS(PO_Lines!$I$2:$I$2025,PO_Lines!$C$2:$C$2025,A16)/SUMIFS(PO_Lines!$H$2:$H$2025,PO_Lines!$C$2:$C$2025,A16),0)</f>
        <v/>
      </c>
      <c r="M16" s="10">
        <f>IFERROR(AVERAGEIFS(PO_Lines!$R$2:$R$2025,PO_Lines!$C$2:$C$2025,A16,PO_Lines!$Q$2:$Q$2025,1),0)</f>
        <v/>
      </c>
      <c r="N16" s="12">
        <f>IF(J16&gt;=Assumptions!$B$14,"Preferred",IF(J16&gt;=Assumptions!$B$15,"Approved","Improvement plan"))</f>
        <v/>
      </c>
    </row>
    <row r="17">
      <c r="A17" s="7" t="inlineStr">
        <is>
          <t>Total / weighted</t>
        </is>
      </c>
      <c r="D17" s="22">
        <f>SUM(D5:D16)</f>
        <v/>
      </c>
      <c r="E17" s="22">
        <f>SUM(E5:E16)</f>
        <v/>
      </c>
      <c r="F17" s="22">
        <f>SUM(F5:F16)</f>
        <v/>
      </c>
      <c r="G17" s="33">
        <f>SUM(G5:G16)</f>
        <v/>
      </c>
      <c r="H17" s="34">
        <f>SUMPRODUCT(H5:H16,$F$5:$F$16)/$F$17</f>
        <v/>
      </c>
      <c r="I17" s="34">
        <f>SUMPRODUCT(I5:I16,$F$5:$F$16)/$F$17</f>
        <v/>
      </c>
      <c r="J17" s="34">
        <f>SUMPRODUCT(J5:J16,$F$5:$F$16)/$F$17</f>
        <v/>
      </c>
    </row>
    <row r="19">
      <c r="A19" s="2" t="inlineStr">
        <is>
          <t>OTIF = share of received POs delivered on or before the promised date AND in full. Rating thresholds are on the Assumptions sheet.</t>
        </is>
      </c>
    </row>
  </sheetData>
  <conditionalFormatting sqref="J5:J16">
    <cfRule type="colorScale" priority="1">
      <colorScale>
        <cfvo type="num" val="0.65"/>
        <cfvo type="num" val="0.85"/>
        <cfvo type="num" val="1"/>
        <color rgb="00F8D7D7"/>
        <color rgb="00FCE9C5"/>
        <color rgb="00D9F2D9"/>
      </colorScale>
    </cfRule>
  </conditionalFormatting>
  <conditionalFormatting sqref="N5:N16">
    <cfRule type="cellIs" priority="2" operator="equal" dxfId="0">
      <formula>"Improvement plan"</formula>
    </cfRule>
    <cfRule type="cellIs" priority="3" operator="equal" dxfId="1">
      <formula>"Approved"</formula>
    </cfRule>
    <cfRule type="cellIs" priority="4" operator="equal" dxfId="3">
      <formula>"Preferred"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A78D6"/>
    <outlinePr summaryBelow="1" summaryRight="1"/>
    <pageSetUpPr/>
  </sheetPr>
  <dimension ref="A1:N5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Purchasing Budget vs Actual: FY Oct-2025 to Sep-2026</t>
        </is>
      </c>
    </row>
    <row r="2">
      <c r="A2" s="2" t="inlineStr">
        <is>
          <t>Budget = planned purchases at standard cost. Actual = PO value at actual price (formulas on PO_Lines).</t>
        </is>
      </c>
    </row>
    <row r="4">
      <c r="A4" s="35" t="inlineStr">
        <is>
          <t>Budget (€)</t>
        </is>
      </c>
    </row>
    <row r="5">
      <c r="A5" s="8" t="inlineStr">
        <is>
          <t>Category</t>
        </is>
      </c>
      <c r="B5" s="8" t="inlineStr">
        <is>
          <t>2025-10</t>
        </is>
      </c>
      <c r="C5" s="8" t="inlineStr">
        <is>
          <t>2025-11</t>
        </is>
      </c>
      <c r="D5" s="8" t="inlineStr">
        <is>
          <t>2025-12</t>
        </is>
      </c>
      <c r="E5" s="8" t="inlineStr">
        <is>
          <t>2026-01</t>
        </is>
      </c>
      <c r="F5" s="8" t="inlineStr">
        <is>
          <t>2026-02</t>
        </is>
      </c>
      <c r="G5" s="8" t="inlineStr">
        <is>
          <t>2026-03</t>
        </is>
      </c>
      <c r="H5" s="8" t="inlineStr">
        <is>
          <t>2026-04</t>
        </is>
      </c>
      <c r="I5" s="8" t="inlineStr">
        <is>
          <t>2026-05</t>
        </is>
      </c>
      <c r="J5" s="8" t="inlineStr">
        <is>
          <t>2026-06</t>
        </is>
      </c>
      <c r="K5" s="8" t="inlineStr">
        <is>
          <t>2026-07</t>
        </is>
      </c>
      <c r="L5" s="8" t="inlineStr">
        <is>
          <t>2026-08</t>
        </is>
      </c>
      <c r="M5" s="8" t="inlineStr">
        <is>
          <t>2026-09</t>
        </is>
      </c>
      <c r="N5" s="8" t="inlineStr">
        <is>
          <t>FY total</t>
        </is>
      </c>
    </row>
    <row r="6">
      <c r="A6" s="17" t="inlineStr">
        <is>
          <t>Microcontrollers &amp; ICs</t>
        </is>
      </c>
      <c r="B6" s="36" t="n">
        <v>753100</v>
      </c>
      <c r="C6" s="36" t="n">
        <v>701200</v>
      </c>
      <c r="D6" s="36" t="n">
        <v>701700</v>
      </c>
      <c r="E6" s="36" t="n">
        <v>654900</v>
      </c>
      <c r="F6" s="36" t="n">
        <v>843400</v>
      </c>
      <c r="G6" s="36" t="n">
        <v>907100</v>
      </c>
      <c r="H6" s="36" t="n">
        <v>875900</v>
      </c>
      <c r="I6" s="36" t="n">
        <v>886700</v>
      </c>
      <c r="J6" s="36" t="n">
        <v>1036100</v>
      </c>
      <c r="K6" s="36" t="n">
        <v>1021100</v>
      </c>
      <c r="L6" s="36" t="n">
        <v>721700</v>
      </c>
      <c r="M6" s="36" t="n">
        <v>987800</v>
      </c>
      <c r="N6" s="33">
        <f>SUM(B6:M6)</f>
        <v/>
      </c>
    </row>
    <row r="7">
      <c r="A7" s="17" t="inlineStr">
        <is>
          <t>Sensors</t>
        </is>
      </c>
      <c r="B7" s="36" t="n">
        <v>791200</v>
      </c>
      <c r="C7" s="36" t="n">
        <v>736600</v>
      </c>
      <c r="D7" s="36" t="n">
        <v>737200</v>
      </c>
      <c r="E7" s="36" t="n">
        <v>687900</v>
      </c>
      <c r="F7" s="36" t="n">
        <v>886000</v>
      </c>
      <c r="G7" s="36" t="n">
        <v>952900</v>
      </c>
      <c r="H7" s="36" t="n">
        <v>920200</v>
      </c>
      <c r="I7" s="36" t="n">
        <v>931500</v>
      </c>
      <c r="J7" s="36" t="n">
        <v>1088400</v>
      </c>
      <c r="K7" s="36" t="n">
        <v>1072700</v>
      </c>
      <c r="L7" s="36" t="n">
        <v>758100</v>
      </c>
      <c r="M7" s="36" t="n">
        <v>1037700</v>
      </c>
      <c r="N7" s="33">
        <f>SUM(B7:M7)</f>
        <v/>
      </c>
    </row>
    <row r="8">
      <c r="A8" s="17" t="inlineStr">
        <is>
          <t>Printed circuit boards</t>
        </is>
      </c>
      <c r="B8" s="36" t="n">
        <v>275600</v>
      </c>
      <c r="C8" s="36" t="n">
        <v>256600</v>
      </c>
      <c r="D8" s="36" t="n">
        <v>256800</v>
      </c>
      <c r="E8" s="36" t="n">
        <v>239600</v>
      </c>
      <c r="F8" s="36" t="n">
        <v>308600</v>
      </c>
      <c r="G8" s="36" t="n">
        <v>331900</v>
      </c>
      <c r="H8" s="36" t="n">
        <v>320500</v>
      </c>
      <c r="I8" s="36" t="n">
        <v>324500</v>
      </c>
      <c r="J8" s="36" t="n">
        <v>379100</v>
      </c>
      <c r="K8" s="36" t="n">
        <v>373600</v>
      </c>
      <c r="L8" s="36" t="n">
        <v>264100</v>
      </c>
      <c r="M8" s="36" t="n">
        <v>361400</v>
      </c>
      <c r="N8" s="33">
        <f>SUM(B8:M8)</f>
        <v/>
      </c>
    </row>
    <row r="9">
      <c r="A9" s="17" t="inlineStr">
        <is>
          <t>Batteries</t>
        </is>
      </c>
      <c r="B9" s="36" t="n">
        <v>222600</v>
      </c>
      <c r="C9" s="36" t="n">
        <v>207200</v>
      </c>
      <c r="D9" s="36" t="n">
        <v>207400</v>
      </c>
      <c r="E9" s="36" t="n">
        <v>193500</v>
      </c>
      <c r="F9" s="36" t="n">
        <v>249200</v>
      </c>
      <c r="G9" s="36" t="n">
        <v>268100</v>
      </c>
      <c r="H9" s="36" t="n">
        <v>258900</v>
      </c>
      <c r="I9" s="36" t="n">
        <v>262100</v>
      </c>
      <c r="J9" s="36" t="n">
        <v>306200</v>
      </c>
      <c r="K9" s="36" t="n">
        <v>301800</v>
      </c>
      <c r="L9" s="36" t="n">
        <v>213300</v>
      </c>
      <c r="M9" s="36" t="n">
        <v>291900</v>
      </c>
      <c r="N9" s="33">
        <f>SUM(B9:M9)</f>
        <v/>
      </c>
    </row>
    <row r="10">
      <c r="A10" s="17" t="inlineStr">
        <is>
          <t>Passive components</t>
        </is>
      </c>
      <c r="B10" s="36" t="n">
        <v>129200</v>
      </c>
      <c r="C10" s="36" t="n">
        <v>120300</v>
      </c>
      <c r="D10" s="36" t="n">
        <v>120400</v>
      </c>
      <c r="E10" s="36" t="n">
        <v>112400</v>
      </c>
      <c r="F10" s="36" t="n">
        <v>144700</v>
      </c>
      <c r="G10" s="36" t="n">
        <v>155700</v>
      </c>
      <c r="H10" s="36" t="n">
        <v>150300</v>
      </c>
      <c r="I10" s="36" t="n">
        <v>152200</v>
      </c>
      <c r="J10" s="36" t="n">
        <v>177800</v>
      </c>
      <c r="K10" s="36" t="n">
        <v>175200</v>
      </c>
      <c r="L10" s="36" t="n">
        <v>123800</v>
      </c>
      <c r="M10" s="36" t="n">
        <v>169500</v>
      </c>
      <c r="N10" s="33">
        <f>SUM(B10:M10)</f>
        <v/>
      </c>
    </row>
    <row r="11">
      <c r="A11" s="17" t="inlineStr">
        <is>
          <t>Connectors &amp; cables</t>
        </is>
      </c>
      <c r="B11" s="36" t="n">
        <v>135900</v>
      </c>
      <c r="C11" s="36" t="n">
        <v>126500</v>
      </c>
      <c r="D11" s="36" t="n">
        <v>126600</v>
      </c>
      <c r="E11" s="36" t="n">
        <v>118200</v>
      </c>
      <c r="F11" s="36" t="n">
        <v>152200</v>
      </c>
      <c r="G11" s="36" t="n">
        <v>163700</v>
      </c>
      <c r="H11" s="36" t="n">
        <v>158100</v>
      </c>
      <c r="I11" s="36" t="n">
        <v>160000</v>
      </c>
      <c r="J11" s="36" t="n">
        <v>187000</v>
      </c>
      <c r="K11" s="36" t="n">
        <v>184300</v>
      </c>
      <c r="L11" s="36" t="n">
        <v>130200</v>
      </c>
      <c r="M11" s="36" t="n">
        <v>178300</v>
      </c>
      <c r="N11" s="33">
        <f>SUM(B11:M11)</f>
        <v/>
      </c>
    </row>
    <row r="12">
      <c r="A12" s="17" t="inlineStr">
        <is>
          <t>Displays</t>
        </is>
      </c>
      <c r="B12" s="36" t="n">
        <v>116400</v>
      </c>
      <c r="C12" s="36" t="n">
        <v>108400</v>
      </c>
      <c r="D12" s="36" t="n">
        <v>108500</v>
      </c>
      <c r="E12" s="36" t="n">
        <v>101200</v>
      </c>
      <c r="F12" s="36" t="n">
        <v>130400</v>
      </c>
      <c r="G12" s="36" t="n">
        <v>140200</v>
      </c>
      <c r="H12" s="36" t="n">
        <v>135400</v>
      </c>
      <c r="I12" s="36" t="n">
        <v>137100</v>
      </c>
      <c r="J12" s="36" t="n">
        <v>160200</v>
      </c>
      <c r="K12" s="36" t="n">
        <v>157900</v>
      </c>
      <c r="L12" s="36" t="n">
        <v>111600</v>
      </c>
      <c r="M12" s="36" t="n">
        <v>152700</v>
      </c>
      <c r="N12" s="33">
        <f>SUM(B12:M12)</f>
        <v/>
      </c>
    </row>
    <row r="13">
      <c r="A13" s="17" t="inlineStr">
        <is>
          <t>Enclosures &amp; plastics</t>
        </is>
      </c>
      <c r="B13" s="36" t="n">
        <v>84100</v>
      </c>
      <c r="C13" s="36" t="n">
        <v>78300</v>
      </c>
      <c r="D13" s="36" t="n">
        <v>78300</v>
      </c>
      <c r="E13" s="36" t="n">
        <v>73100</v>
      </c>
      <c r="F13" s="36" t="n">
        <v>94100</v>
      </c>
      <c r="G13" s="36" t="n">
        <v>101200</v>
      </c>
      <c r="H13" s="36" t="n">
        <v>97800</v>
      </c>
      <c r="I13" s="36" t="n">
        <v>99000</v>
      </c>
      <c r="J13" s="36" t="n">
        <v>115700</v>
      </c>
      <c r="K13" s="36" t="n">
        <v>114000</v>
      </c>
      <c r="L13" s="36" t="n">
        <v>80600</v>
      </c>
      <c r="M13" s="36" t="n">
        <v>110300</v>
      </c>
      <c r="N13" s="33">
        <f>SUM(B13:M13)</f>
        <v/>
      </c>
    </row>
    <row r="14">
      <c r="A14" s="17" t="inlineStr">
        <is>
          <t>Sterile packaging</t>
        </is>
      </c>
      <c r="B14" s="36" t="n">
        <v>17400</v>
      </c>
      <c r="C14" s="36" t="n">
        <v>16200</v>
      </c>
      <c r="D14" s="36" t="n">
        <v>16200</v>
      </c>
      <c r="E14" s="36" t="n">
        <v>15100</v>
      </c>
      <c r="F14" s="36" t="n">
        <v>19500</v>
      </c>
      <c r="G14" s="36" t="n">
        <v>21000</v>
      </c>
      <c r="H14" s="36" t="n">
        <v>20200</v>
      </c>
      <c r="I14" s="36" t="n">
        <v>20500</v>
      </c>
      <c r="J14" s="36" t="n">
        <v>23900</v>
      </c>
      <c r="K14" s="36" t="n">
        <v>23600</v>
      </c>
      <c r="L14" s="36" t="n">
        <v>16700</v>
      </c>
      <c r="M14" s="36" t="n">
        <v>22800</v>
      </c>
      <c r="N14" s="33">
        <f>SUM(B14:M14)</f>
        <v/>
      </c>
    </row>
    <row r="15">
      <c r="A15" s="7" t="inlineStr">
        <is>
          <t>Total</t>
        </is>
      </c>
      <c r="B15" s="33">
        <f>SUM(B6:B14)</f>
        <v/>
      </c>
      <c r="C15" s="33">
        <f>SUM(C6:C14)</f>
        <v/>
      </c>
      <c r="D15" s="33">
        <f>SUM(D6:D14)</f>
        <v/>
      </c>
      <c r="E15" s="33">
        <f>SUM(E6:E14)</f>
        <v/>
      </c>
      <c r="F15" s="33">
        <f>SUM(F6:F14)</f>
        <v/>
      </c>
      <c r="G15" s="33">
        <f>SUM(G6:G14)</f>
        <v/>
      </c>
      <c r="H15" s="33">
        <f>SUM(H6:H14)</f>
        <v/>
      </c>
      <c r="I15" s="33">
        <f>SUM(I6:I14)</f>
        <v/>
      </c>
      <c r="J15" s="33">
        <f>SUM(J6:J14)</f>
        <v/>
      </c>
      <c r="K15" s="33">
        <f>SUM(K6:K14)</f>
        <v/>
      </c>
      <c r="L15" s="33">
        <f>SUM(L6:L14)</f>
        <v/>
      </c>
      <c r="M15" s="33">
        <f>SUM(M6:M14)</f>
        <v/>
      </c>
      <c r="N15" s="33">
        <f>SUM(N6:N14)</f>
        <v/>
      </c>
    </row>
    <row r="18">
      <c r="A18" s="35" t="inlineStr">
        <is>
          <t>Actual (€)</t>
        </is>
      </c>
    </row>
    <row r="19">
      <c r="A19" s="8" t="inlineStr">
        <is>
          <t>Category</t>
        </is>
      </c>
      <c r="B19" s="8" t="inlineStr">
        <is>
          <t>2025-10</t>
        </is>
      </c>
      <c r="C19" s="8" t="inlineStr">
        <is>
          <t>2025-11</t>
        </is>
      </c>
      <c r="D19" s="8" t="inlineStr">
        <is>
          <t>2025-12</t>
        </is>
      </c>
      <c r="E19" s="8" t="inlineStr">
        <is>
          <t>2026-01</t>
        </is>
      </c>
      <c r="F19" s="8" t="inlineStr">
        <is>
          <t>2026-02</t>
        </is>
      </c>
      <c r="G19" s="8" t="inlineStr">
        <is>
          <t>2026-03</t>
        </is>
      </c>
      <c r="H19" s="8" t="inlineStr">
        <is>
          <t>2026-04</t>
        </is>
      </c>
      <c r="I19" s="8" t="inlineStr">
        <is>
          <t>2026-05</t>
        </is>
      </c>
      <c r="J19" s="8" t="inlineStr">
        <is>
          <t>2026-06</t>
        </is>
      </c>
      <c r="K19" s="8" t="inlineStr">
        <is>
          <t>2026-07</t>
        </is>
      </c>
      <c r="L19" s="8" t="inlineStr">
        <is>
          <t>2026-08</t>
        </is>
      </c>
      <c r="M19" s="8" t="inlineStr">
        <is>
          <t>2026-09</t>
        </is>
      </c>
      <c r="N19" s="8" t="inlineStr">
        <is>
          <t>FY total</t>
        </is>
      </c>
    </row>
    <row r="20">
      <c r="A20" s="17" t="inlineStr">
        <is>
          <t>Microcontrollers &amp; ICs</t>
        </is>
      </c>
      <c r="B20" s="16">
        <f>SUMIFS(PO_Lines!$O$2:$O$2025,PO_Lines!$L$2:$L$2025,$A20,PO_Lines!$N$2:$N$2025,B$19)</f>
        <v/>
      </c>
      <c r="C20" s="16">
        <f>SUMIFS(PO_Lines!$O$2:$O$2025,PO_Lines!$L$2:$L$2025,$A20,PO_Lines!$N$2:$N$2025,C$19)</f>
        <v/>
      </c>
      <c r="D20" s="16">
        <f>SUMIFS(PO_Lines!$O$2:$O$2025,PO_Lines!$L$2:$L$2025,$A20,PO_Lines!$N$2:$N$2025,D$19)</f>
        <v/>
      </c>
      <c r="E20" s="16">
        <f>SUMIFS(PO_Lines!$O$2:$O$2025,PO_Lines!$L$2:$L$2025,$A20,PO_Lines!$N$2:$N$2025,E$19)</f>
        <v/>
      </c>
      <c r="F20" s="16">
        <f>SUMIFS(PO_Lines!$O$2:$O$2025,PO_Lines!$L$2:$L$2025,$A20,PO_Lines!$N$2:$N$2025,F$19)</f>
        <v/>
      </c>
      <c r="G20" s="16">
        <f>SUMIFS(PO_Lines!$O$2:$O$2025,PO_Lines!$L$2:$L$2025,$A20,PO_Lines!$N$2:$N$2025,G$19)</f>
        <v/>
      </c>
      <c r="H20" s="16">
        <f>SUMIFS(PO_Lines!$O$2:$O$2025,PO_Lines!$L$2:$L$2025,$A20,PO_Lines!$N$2:$N$2025,H$19)</f>
        <v/>
      </c>
      <c r="I20" s="16">
        <f>SUMIFS(PO_Lines!$O$2:$O$2025,PO_Lines!$L$2:$L$2025,$A20,PO_Lines!$N$2:$N$2025,I$19)</f>
        <v/>
      </c>
      <c r="J20" s="16">
        <f>SUMIFS(PO_Lines!$O$2:$O$2025,PO_Lines!$L$2:$L$2025,$A20,PO_Lines!$N$2:$N$2025,J$19)</f>
        <v/>
      </c>
      <c r="K20" s="16">
        <f>SUMIFS(PO_Lines!$O$2:$O$2025,PO_Lines!$L$2:$L$2025,$A20,PO_Lines!$N$2:$N$2025,K$19)</f>
        <v/>
      </c>
      <c r="L20" s="16">
        <f>SUMIFS(PO_Lines!$O$2:$O$2025,PO_Lines!$L$2:$L$2025,$A20,PO_Lines!$N$2:$N$2025,L$19)</f>
        <v/>
      </c>
      <c r="M20" s="16">
        <f>SUMIFS(PO_Lines!$O$2:$O$2025,PO_Lines!$L$2:$L$2025,$A20,PO_Lines!$N$2:$N$2025,M$19)</f>
        <v/>
      </c>
      <c r="N20" s="33">
        <f>SUM(B20:M20)</f>
        <v/>
      </c>
    </row>
    <row r="21">
      <c r="A21" s="17" t="inlineStr">
        <is>
          <t>Sensors</t>
        </is>
      </c>
      <c r="B21" s="16">
        <f>SUMIFS(PO_Lines!$O$2:$O$2025,PO_Lines!$L$2:$L$2025,$A21,PO_Lines!$N$2:$N$2025,B$19)</f>
        <v/>
      </c>
      <c r="C21" s="16">
        <f>SUMIFS(PO_Lines!$O$2:$O$2025,PO_Lines!$L$2:$L$2025,$A21,PO_Lines!$N$2:$N$2025,C$19)</f>
        <v/>
      </c>
      <c r="D21" s="16">
        <f>SUMIFS(PO_Lines!$O$2:$O$2025,PO_Lines!$L$2:$L$2025,$A21,PO_Lines!$N$2:$N$2025,D$19)</f>
        <v/>
      </c>
      <c r="E21" s="16">
        <f>SUMIFS(PO_Lines!$O$2:$O$2025,PO_Lines!$L$2:$L$2025,$A21,PO_Lines!$N$2:$N$2025,E$19)</f>
        <v/>
      </c>
      <c r="F21" s="16">
        <f>SUMIFS(PO_Lines!$O$2:$O$2025,PO_Lines!$L$2:$L$2025,$A21,PO_Lines!$N$2:$N$2025,F$19)</f>
        <v/>
      </c>
      <c r="G21" s="16">
        <f>SUMIFS(PO_Lines!$O$2:$O$2025,PO_Lines!$L$2:$L$2025,$A21,PO_Lines!$N$2:$N$2025,G$19)</f>
        <v/>
      </c>
      <c r="H21" s="16">
        <f>SUMIFS(PO_Lines!$O$2:$O$2025,PO_Lines!$L$2:$L$2025,$A21,PO_Lines!$N$2:$N$2025,H$19)</f>
        <v/>
      </c>
      <c r="I21" s="16">
        <f>SUMIFS(PO_Lines!$O$2:$O$2025,PO_Lines!$L$2:$L$2025,$A21,PO_Lines!$N$2:$N$2025,I$19)</f>
        <v/>
      </c>
      <c r="J21" s="16">
        <f>SUMIFS(PO_Lines!$O$2:$O$2025,PO_Lines!$L$2:$L$2025,$A21,PO_Lines!$N$2:$N$2025,J$19)</f>
        <v/>
      </c>
      <c r="K21" s="16">
        <f>SUMIFS(PO_Lines!$O$2:$O$2025,PO_Lines!$L$2:$L$2025,$A21,PO_Lines!$N$2:$N$2025,K$19)</f>
        <v/>
      </c>
      <c r="L21" s="16">
        <f>SUMIFS(PO_Lines!$O$2:$O$2025,PO_Lines!$L$2:$L$2025,$A21,PO_Lines!$N$2:$N$2025,L$19)</f>
        <v/>
      </c>
      <c r="M21" s="16">
        <f>SUMIFS(PO_Lines!$O$2:$O$2025,PO_Lines!$L$2:$L$2025,$A21,PO_Lines!$N$2:$N$2025,M$19)</f>
        <v/>
      </c>
      <c r="N21" s="33">
        <f>SUM(B21:M21)</f>
        <v/>
      </c>
    </row>
    <row r="22">
      <c r="A22" s="17" t="inlineStr">
        <is>
          <t>Printed circuit boards</t>
        </is>
      </c>
      <c r="B22" s="16">
        <f>SUMIFS(PO_Lines!$O$2:$O$2025,PO_Lines!$L$2:$L$2025,$A22,PO_Lines!$N$2:$N$2025,B$19)</f>
        <v/>
      </c>
      <c r="C22" s="16">
        <f>SUMIFS(PO_Lines!$O$2:$O$2025,PO_Lines!$L$2:$L$2025,$A22,PO_Lines!$N$2:$N$2025,C$19)</f>
        <v/>
      </c>
      <c r="D22" s="16">
        <f>SUMIFS(PO_Lines!$O$2:$O$2025,PO_Lines!$L$2:$L$2025,$A22,PO_Lines!$N$2:$N$2025,D$19)</f>
        <v/>
      </c>
      <c r="E22" s="16">
        <f>SUMIFS(PO_Lines!$O$2:$O$2025,PO_Lines!$L$2:$L$2025,$A22,PO_Lines!$N$2:$N$2025,E$19)</f>
        <v/>
      </c>
      <c r="F22" s="16">
        <f>SUMIFS(PO_Lines!$O$2:$O$2025,PO_Lines!$L$2:$L$2025,$A22,PO_Lines!$N$2:$N$2025,F$19)</f>
        <v/>
      </c>
      <c r="G22" s="16">
        <f>SUMIFS(PO_Lines!$O$2:$O$2025,PO_Lines!$L$2:$L$2025,$A22,PO_Lines!$N$2:$N$2025,G$19)</f>
        <v/>
      </c>
      <c r="H22" s="16">
        <f>SUMIFS(PO_Lines!$O$2:$O$2025,PO_Lines!$L$2:$L$2025,$A22,PO_Lines!$N$2:$N$2025,H$19)</f>
        <v/>
      </c>
      <c r="I22" s="16">
        <f>SUMIFS(PO_Lines!$O$2:$O$2025,PO_Lines!$L$2:$L$2025,$A22,PO_Lines!$N$2:$N$2025,I$19)</f>
        <v/>
      </c>
      <c r="J22" s="16">
        <f>SUMIFS(PO_Lines!$O$2:$O$2025,PO_Lines!$L$2:$L$2025,$A22,PO_Lines!$N$2:$N$2025,J$19)</f>
        <v/>
      </c>
      <c r="K22" s="16">
        <f>SUMIFS(PO_Lines!$O$2:$O$2025,PO_Lines!$L$2:$L$2025,$A22,PO_Lines!$N$2:$N$2025,K$19)</f>
        <v/>
      </c>
      <c r="L22" s="16">
        <f>SUMIFS(PO_Lines!$O$2:$O$2025,PO_Lines!$L$2:$L$2025,$A22,PO_Lines!$N$2:$N$2025,L$19)</f>
        <v/>
      </c>
      <c r="M22" s="16">
        <f>SUMIFS(PO_Lines!$O$2:$O$2025,PO_Lines!$L$2:$L$2025,$A22,PO_Lines!$N$2:$N$2025,M$19)</f>
        <v/>
      </c>
      <c r="N22" s="33">
        <f>SUM(B22:M22)</f>
        <v/>
      </c>
    </row>
    <row r="23">
      <c r="A23" s="17" t="inlineStr">
        <is>
          <t>Batteries</t>
        </is>
      </c>
      <c r="B23" s="16">
        <f>SUMIFS(PO_Lines!$O$2:$O$2025,PO_Lines!$L$2:$L$2025,$A23,PO_Lines!$N$2:$N$2025,B$19)</f>
        <v/>
      </c>
      <c r="C23" s="16">
        <f>SUMIFS(PO_Lines!$O$2:$O$2025,PO_Lines!$L$2:$L$2025,$A23,PO_Lines!$N$2:$N$2025,C$19)</f>
        <v/>
      </c>
      <c r="D23" s="16">
        <f>SUMIFS(PO_Lines!$O$2:$O$2025,PO_Lines!$L$2:$L$2025,$A23,PO_Lines!$N$2:$N$2025,D$19)</f>
        <v/>
      </c>
      <c r="E23" s="16">
        <f>SUMIFS(PO_Lines!$O$2:$O$2025,PO_Lines!$L$2:$L$2025,$A23,PO_Lines!$N$2:$N$2025,E$19)</f>
        <v/>
      </c>
      <c r="F23" s="16">
        <f>SUMIFS(PO_Lines!$O$2:$O$2025,PO_Lines!$L$2:$L$2025,$A23,PO_Lines!$N$2:$N$2025,F$19)</f>
        <v/>
      </c>
      <c r="G23" s="16">
        <f>SUMIFS(PO_Lines!$O$2:$O$2025,PO_Lines!$L$2:$L$2025,$A23,PO_Lines!$N$2:$N$2025,G$19)</f>
        <v/>
      </c>
      <c r="H23" s="16">
        <f>SUMIFS(PO_Lines!$O$2:$O$2025,PO_Lines!$L$2:$L$2025,$A23,PO_Lines!$N$2:$N$2025,H$19)</f>
        <v/>
      </c>
      <c r="I23" s="16">
        <f>SUMIFS(PO_Lines!$O$2:$O$2025,PO_Lines!$L$2:$L$2025,$A23,PO_Lines!$N$2:$N$2025,I$19)</f>
        <v/>
      </c>
      <c r="J23" s="16">
        <f>SUMIFS(PO_Lines!$O$2:$O$2025,PO_Lines!$L$2:$L$2025,$A23,PO_Lines!$N$2:$N$2025,J$19)</f>
        <v/>
      </c>
      <c r="K23" s="16">
        <f>SUMIFS(PO_Lines!$O$2:$O$2025,PO_Lines!$L$2:$L$2025,$A23,PO_Lines!$N$2:$N$2025,K$19)</f>
        <v/>
      </c>
      <c r="L23" s="16">
        <f>SUMIFS(PO_Lines!$O$2:$O$2025,PO_Lines!$L$2:$L$2025,$A23,PO_Lines!$N$2:$N$2025,L$19)</f>
        <v/>
      </c>
      <c r="M23" s="16">
        <f>SUMIFS(PO_Lines!$O$2:$O$2025,PO_Lines!$L$2:$L$2025,$A23,PO_Lines!$N$2:$N$2025,M$19)</f>
        <v/>
      </c>
      <c r="N23" s="33">
        <f>SUM(B23:M23)</f>
        <v/>
      </c>
    </row>
    <row r="24">
      <c r="A24" s="17" t="inlineStr">
        <is>
          <t>Passive components</t>
        </is>
      </c>
      <c r="B24" s="16">
        <f>SUMIFS(PO_Lines!$O$2:$O$2025,PO_Lines!$L$2:$L$2025,$A24,PO_Lines!$N$2:$N$2025,B$19)</f>
        <v/>
      </c>
      <c r="C24" s="16">
        <f>SUMIFS(PO_Lines!$O$2:$O$2025,PO_Lines!$L$2:$L$2025,$A24,PO_Lines!$N$2:$N$2025,C$19)</f>
        <v/>
      </c>
      <c r="D24" s="16">
        <f>SUMIFS(PO_Lines!$O$2:$O$2025,PO_Lines!$L$2:$L$2025,$A24,PO_Lines!$N$2:$N$2025,D$19)</f>
        <v/>
      </c>
      <c r="E24" s="16">
        <f>SUMIFS(PO_Lines!$O$2:$O$2025,PO_Lines!$L$2:$L$2025,$A24,PO_Lines!$N$2:$N$2025,E$19)</f>
        <v/>
      </c>
      <c r="F24" s="16">
        <f>SUMIFS(PO_Lines!$O$2:$O$2025,PO_Lines!$L$2:$L$2025,$A24,PO_Lines!$N$2:$N$2025,F$19)</f>
        <v/>
      </c>
      <c r="G24" s="16">
        <f>SUMIFS(PO_Lines!$O$2:$O$2025,PO_Lines!$L$2:$L$2025,$A24,PO_Lines!$N$2:$N$2025,G$19)</f>
        <v/>
      </c>
      <c r="H24" s="16">
        <f>SUMIFS(PO_Lines!$O$2:$O$2025,PO_Lines!$L$2:$L$2025,$A24,PO_Lines!$N$2:$N$2025,H$19)</f>
        <v/>
      </c>
      <c r="I24" s="16">
        <f>SUMIFS(PO_Lines!$O$2:$O$2025,PO_Lines!$L$2:$L$2025,$A24,PO_Lines!$N$2:$N$2025,I$19)</f>
        <v/>
      </c>
      <c r="J24" s="16">
        <f>SUMIFS(PO_Lines!$O$2:$O$2025,PO_Lines!$L$2:$L$2025,$A24,PO_Lines!$N$2:$N$2025,J$19)</f>
        <v/>
      </c>
      <c r="K24" s="16">
        <f>SUMIFS(PO_Lines!$O$2:$O$2025,PO_Lines!$L$2:$L$2025,$A24,PO_Lines!$N$2:$N$2025,K$19)</f>
        <v/>
      </c>
      <c r="L24" s="16">
        <f>SUMIFS(PO_Lines!$O$2:$O$2025,PO_Lines!$L$2:$L$2025,$A24,PO_Lines!$N$2:$N$2025,L$19)</f>
        <v/>
      </c>
      <c r="M24" s="16">
        <f>SUMIFS(PO_Lines!$O$2:$O$2025,PO_Lines!$L$2:$L$2025,$A24,PO_Lines!$N$2:$N$2025,M$19)</f>
        <v/>
      </c>
      <c r="N24" s="33">
        <f>SUM(B24:M24)</f>
        <v/>
      </c>
    </row>
    <row r="25">
      <c r="A25" s="17" t="inlineStr">
        <is>
          <t>Connectors &amp; cables</t>
        </is>
      </c>
      <c r="B25" s="16">
        <f>SUMIFS(PO_Lines!$O$2:$O$2025,PO_Lines!$L$2:$L$2025,$A25,PO_Lines!$N$2:$N$2025,B$19)</f>
        <v/>
      </c>
      <c r="C25" s="16">
        <f>SUMIFS(PO_Lines!$O$2:$O$2025,PO_Lines!$L$2:$L$2025,$A25,PO_Lines!$N$2:$N$2025,C$19)</f>
        <v/>
      </c>
      <c r="D25" s="16">
        <f>SUMIFS(PO_Lines!$O$2:$O$2025,PO_Lines!$L$2:$L$2025,$A25,PO_Lines!$N$2:$N$2025,D$19)</f>
        <v/>
      </c>
      <c r="E25" s="16">
        <f>SUMIFS(PO_Lines!$O$2:$O$2025,PO_Lines!$L$2:$L$2025,$A25,PO_Lines!$N$2:$N$2025,E$19)</f>
        <v/>
      </c>
      <c r="F25" s="16">
        <f>SUMIFS(PO_Lines!$O$2:$O$2025,PO_Lines!$L$2:$L$2025,$A25,PO_Lines!$N$2:$N$2025,F$19)</f>
        <v/>
      </c>
      <c r="G25" s="16">
        <f>SUMIFS(PO_Lines!$O$2:$O$2025,PO_Lines!$L$2:$L$2025,$A25,PO_Lines!$N$2:$N$2025,G$19)</f>
        <v/>
      </c>
      <c r="H25" s="16">
        <f>SUMIFS(PO_Lines!$O$2:$O$2025,PO_Lines!$L$2:$L$2025,$A25,PO_Lines!$N$2:$N$2025,H$19)</f>
        <v/>
      </c>
      <c r="I25" s="16">
        <f>SUMIFS(PO_Lines!$O$2:$O$2025,PO_Lines!$L$2:$L$2025,$A25,PO_Lines!$N$2:$N$2025,I$19)</f>
        <v/>
      </c>
      <c r="J25" s="16">
        <f>SUMIFS(PO_Lines!$O$2:$O$2025,PO_Lines!$L$2:$L$2025,$A25,PO_Lines!$N$2:$N$2025,J$19)</f>
        <v/>
      </c>
      <c r="K25" s="16">
        <f>SUMIFS(PO_Lines!$O$2:$O$2025,PO_Lines!$L$2:$L$2025,$A25,PO_Lines!$N$2:$N$2025,K$19)</f>
        <v/>
      </c>
      <c r="L25" s="16">
        <f>SUMIFS(PO_Lines!$O$2:$O$2025,PO_Lines!$L$2:$L$2025,$A25,PO_Lines!$N$2:$N$2025,L$19)</f>
        <v/>
      </c>
      <c r="M25" s="16">
        <f>SUMIFS(PO_Lines!$O$2:$O$2025,PO_Lines!$L$2:$L$2025,$A25,PO_Lines!$N$2:$N$2025,M$19)</f>
        <v/>
      </c>
      <c r="N25" s="33">
        <f>SUM(B25:M25)</f>
        <v/>
      </c>
    </row>
    <row r="26">
      <c r="A26" s="17" t="inlineStr">
        <is>
          <t>Displays</t>
        </is>
      </c>
      <c r="B26" s="16">
        <f>SUMIFS(PO_Lines!$O$2:$O$2025,PO_Lines!$L$2:$L$2025,$A26,PO_Lines!$N$2:$N$2025,B$19)</f>
        <v/>
      </c>
      <c r="C26" s="16">
        <f>SUMIFS(PO_Lines!$O$2:$O$2025,PO_Lines!$L$2:$L$2025,$A26,PO_Lines!$N$2:$N$2025,C$19)</f>
        <v/>
      </c>
      <c r="D26" s="16">
        <f>SUMIFS(PO_Lines!$O$2:$O$2025,PO_Lines!$L$2:$L$2025,$A26,PO_Lines!$N$2:$N$2025,D$19)</f>
        <v/>
      </c>
      <c r="E26" s="16">
        <f>SUMIFS(PO_Lines!$O$2:$O$2025,PO_Lines!$L$2:$L$2025,$A26,PO_Lines!$N$2:$N$2025,E$19)</f>
        <v/>
      </c>
      <c r="F26" s="16">
        <f>SUMIFS(PO_Lines!$O$2:$O$2025,PO_Lines!$L$2:$L$2025,$A26,PO_Lines!$N$2:$N$2025,F$19)</f>
        <v/>
      </c>
      <c r="G26" s="16">
        <f>SUMIFS(PO_Lines!$O$2:$O$2025,PO_Lines!$L$2:$L$2025,$A26,PO_Lines!$N$2:$N$2025,G$19)</f>
        <v/>
      </c>
      <c r="H26" s="16">
        <f>SUMIFS(PO_Lines!$O$2:$O$2025,PO_Lines!$L$2:$L$2025,$A26,PO_Lines!$N$2:$N$2025,H$19)</f>
        <v/>
      </c>
      <c r="I26" s="16">
        <f>SUMIFS(PO_Lines!$O$2:$O$2025,PO_Lines!$L$2:$L$2025,$A26,PO_Lines!$N$2:$N$2025,I$19)</f>
        <v/>
      </c>
      <c r="J26" s="16">
        <f>SUMIFS(PO_Lines!$O$2:$O$2025,PO_Lines!$L$2:$L$2025,$A26,PO_Lines!$N$2:$N$2025,J$19)</f>
        <v/>
      </c>
      <c r="K26" s="16">
        <f>SUMIFS(PO_Lines!$O$2:$O$2025,PO_Lines!$L$2:$L$2025,$A26,PO_Lines!$N$2:$N$2025,K$19)</f>
        <v/>
      </c>
      <c r="L26" s="16">
        <f>SUMIFS(PO_Lines!$O$2:$O$2025,PO_Lines!$L$2:$L$2025,$A26,PO_Lines!$N$2:$N$2025,L$19)</f>
        <v/>
      </c>
      <c r="M26" s="16">
        <f>SUMIFS(PO_Lines!$O$2:$O$2025,PO_Lines!$L$2:$L$2025,$A26,PO_Lines!$N$2:$N$2025,M$19)</f>
        <v/>
      </c>
      <c r="N26" s="33">
        <f>SUM(B26:M26)</f>
        <v/>
      </c>
    </row>
    <row r="27">
      <c r="A27" s="17" t="inlineStr">
        <is>
          <t>Enclosures &amp; plastics</t>
        </is>
      </c>
      <c r="B27" s="16">
        <f>SUMIFS(PO_Lines!$O$2:$O$2025,PO_Lines!$L$2:$L$2025,$A27,PO_Lines!$N$2:$N$2025,B$19)</f>
        <v/>
      </c>
      <c r="C27" s="16">
        <f>SUMIFS(PO_Lines!$O$2:$O$2025,PO_Lines!$L$2:$L$2025,$A27,PO_Lines!$N$2:$N$2025,C$19)</f>
        <v/>
      </c>
      <c r="D27" s="16">
        <f>SUMIFS(PO_Lines!$O$2:$O$2025,PO_Lines!$L$2:$L$2025,$A27,PO_Lines!$N$2:$N$2025,D$19)</f>
        <v/>
      </c>
      <c r="E27" s="16">
        <f>SUMIFS(PO_Lines!$O$2:$O$2025,PO_Lines!$L$2:$L$2025,$A27,PO_Lines!$N$2:$N$2025,E$19)</f>
        <v/>
      </c>
      <c r="F27" s="16">
        <f>SUMIFS(PO_Lines!$O$2:$O$2025,PO_Lines!$L$2:$L$2025,$A27,PO_Lines!$N$2:$N$2025,F$19)</f>
        <v/>
      </c>
      <c r="G27" s="16">
        <f>SUMIFS(PO_Lines!$O$2:$O$2025,PO_Lines!$L$2:$L$2025,$A27,PO_Lines!$N$2:$N$2025,G$19)</f>
        <v/>
      </c>
      <c r="H27" s="16">
        <f>SUMIFS(PO_Lines!$O$2:$O$2025,PO_Lines!$L$2:$L$2025,$A27,PO_Lines!$N$2:$N$2025,H$19)</f>
        <v/>
      </c>
      <c r="I27" s="16">
        <f>SUMIFS(PO_Lines!$O$2:$O$2025,PO_Lines!$L$2:$L$2025,$A27,PO_Lines!$N$2:$N$2025,I$19)</f>
        <v/>
      </c>
      <c r="J27" s="16">
        <f>SUMIFS(PO_Lines!$O$2:$O$2025,PO_Lines!$L$2:$L$2025,$A27,PO_Lines!$N$2:$N$2025,J$19)</f>
        <v/>
      </c>
      <c r="K27" s="16">
        <f>SUMIFS(PO_Lines!$O$2:$O$2025,PO_Lines!$L$2:$L$2025,$A27,PO_Lines!$N$2:$N$2025,K$19)</f>
        <v/>
      </c>
      <c r="L27" s="16">
        <f>SUMIFS(PO_Lines!$O$2:$O$2025,PO_Lines!$L$2:$L$2025,$A27,PO_Lines!$N$2:$N$2025,L$19)</f>
        <v/>
      </c>
      <c r="M27" s="16">
        <f>SUMIFS(PO_Lines!$O$2:$O$2025,PO_Lines!$L$2:$L$2025,$A27,PO_Lines!$N$2:$N$2025,M$19)</f>
        <v/>
      </c>
      <c r="N27" s="33">
        <f>SUM(B27:M27)</f>
        <v/>
      </c>
    </row>
    <row r="28">
      <c r="A28" s="17" t="inlineStr">
        <is>
          <t>Sterile packaging</t>
        </is>
      </c>
      <c r="B28" s="16">
        <f>SUMIFS(PO_Lines!$O$2:$O$2025,PO_Lines!$L$2:$L$2025,$A28,PO_Lines!$N$2:$N$2025,B$19)</f>
        <v/>
      </c>
      <c r="C28" s="16">
        <f>SUMIFS(PO_Lines!$O$2:$O$2025,PO_Lines!$L$2:$L$2025,$A28,PO_Lines!$N$2:$N$2025,C$19)</f>
        <v/>
      </c>
      <c r="D28" s="16">
        <f>SUMIFS(PO_Lines!$O$2:$O$2025,PO_Lines!$L$2:$L$2025,$A28,PO_Lines!$N$2:$N$2025,D$19)</f>
        <v/>
      </c>
      <c r="E28" s="16">
        <f>SUMIFS(PO_Lines!$O$2:$O$2025,PO_Lines!$L$2:$L$2025,$A28,PO_Lines!$N$2:$N$2025,E$19)</f>
        <v/>
      </c>
      <c r="F28" s="16">
        <f>SUMIFS(PO_Lines!$O$2:$O$2025,PO_Lines!$L$2:$L$2025,$A28,PO_Lines!$N$2:$N$2025,F$19)</f>
        <v/>
      </c>
      <c r="G28" s="16">
        <f>SUMIFS(PO_Lines!$O$2:$O$2025,PO_Lines!$L$2:$L$2025,$A28,PO_Lines!$N$2:$N$2025,G$19)</f>
        <v/>
      </c>
      <c r="H28" s="16">
        <f>SUMIFS(PO_Lines!$O$2:$O$2025,PO_Lines!$L$2:$L$2025,$A28,PO_Lines!$N$2:$N$2025,H$19)</f>
        <v/>
      </c>
      <c r="I28" s="16">
        <f>SUMIFS(PO_Lines!$O$2:$O$2025,PO_Lines!$L$2:$L$2025,$A28,PO_Lines!$N$2:$N$2025,I$19)</f>
        <v/>
      </c>
      <c r="J28" s="16">
        <f>SUMIFS(PO_Lines!$O$2:$O$2025,PO_Lines!$L$2:$L$2025,$A28,PO_Lines!$N$2:$N$2025,J$19)</f>
        <v/>
      </c>
      <c r="K28" s="16">
        <f>SUMIFS(PO_Lines!$O$2:$O$2025,PO_Lines!$L$2:$L$2025,$A28,PO_Lines!$N$2:$N$2025,K$19)</f>
        <v/>
      </c>
      <c r="L28" s="16">
        <f>SUMIFS(PO_Lines!$O$2:$O$2025,PO_Lines!$L$2:$L$2025,$A28,PO_Lines!$N$2:$N$2025,L$19)</f>
        <v/>
      </c>
      <c r="M28" s="16">
        <f>SUMIFS(PO_Lines!$O$2:$O$2025,PO_Lines!$L$2:$L$2025,$A28,PO_Lines!$N$2:$N$2025,M$19)</f>
        <v/>
      </c>
      <c r="N28" s="33">
        <f>SUM(B28:M28)</f>
        <v/>
      </c>
    </row>
    <row r="29">
      <c r="A29" s="7" t="inlineStr">
        <is>
          <t>Total</t>
        </is>
      </c>
      <c r="B29" s="33">
        <f>SUM(B20:B28)</f>
        <v/>
      </c>
      <c r="C29" s="33">
        <f>SUM(C20:C28)</f>
        <v/>
      </c>
      <c r="D29" s="33">
        <f>SUM(D20:D28)</f>
        <v/>
      </c>
      <c r="E29" s="33">
        <f>SUM(E20:E28)</f>
        <v/>
      </c>
      <c r="F29" s="33">
        <f>SUM(F20:F28)</f>
        <v/>
      </c>
      <c r="G29" s="33">
        <f>SUM(G20:G28)</f>
        <v/>
      </c>
      <c r="H29" s="33">
        <f>SUM(H20:H28)</f>
        <v/>
      </c>
      <c r="I29" s="33">
        <f>SUM(I20:I28)</f>
        <v/>
      </c>
      <c r="J29" s="33">
        <f>SUM(J20:J28)</f>
        <v/>
      </c>
      <c r="K29" s="33">
        <f>SUM(K20:K28)</f>
        <v/>
      </c>
      <c r="L29" s="33">
        <f>SUM(L20:L28)</f>
        <v/>
      </c>
      <c r="M29" s="33">
        <f>SUM(M20:M28)</f>
        <v/>
      </c>
      <c r="N29" s="33">
        <f>SUM(N20:N28)</f>
        <v/>
      </c>
    </row>
    <row r="32">
      <c r="A32" s="35" t="inlineStr">
        <is>
          <t>Variance: actual minus budget (€)</t>
        </is>
      </c>
    </row>
    <row r="33">
      <c r="A33" s="8" t="inlineStr">
        <is>
          <t>Category</t>
        </is>
      </c>
      <c r="B33" s="8" t="inlineStr">
        <is>
          <t>2025-10</t>
        </is>
      </c>
      <c r="C33" s="8" t="inlineStr">
        <is>
          <t>2025-11</t>
        </is>
      </c>
      <c r="D33" s="8" t="inlineStr">
        <is>
          <t>2025-12</t>
        </is>
      </c>
      <c r="E33" s="8" t="inlineStr">
        <is>
          <t>2026-01</t>
        </is>
      </c>
      <c r="F33" s="8" t="inlineStr">
        <is>
          <t>2026-02</t>
        </is>
      </c>
      <c r="G33" s="8" t="inlineStr">
        <is>
          <t>2026-03</t>
        </is>
      </c>
      <c r="H33" s="8" t="inlineStr">
        <is>
          <t>2026-04</t>
        </is>
      </c>
      <c r="I33" s="8" t="inlineStr">
        <is>
          <t>2026-05</t>
        </is>
      </c>
      <c r="J33" s="8" t="inlineStr">
        <is>
          <t>2026-06</t>
        </is>
      </c>
      <c r="K33" s="8" t="inlineStr">
        <is>
          <t>2026-07</t>
        </is>
      </c>
      <c r="L33" s="8" t="inlineStr">
        <is>
          <t>2026-08</t>
        </is>
      </c>
      <c r="M33" s="8" t="inlineStr">
        <is>
          <t>2026-09</t>
        </is>
      </c>
      <c r="N33" s="8" t="inlineStr">
        <is>
          <t>FY total</t>
        </is>
      </c>
    </row>
    <row r="34">
      <c r="A34" s="17" t="inlineStr">
        <is>
          <t>Microcontrollers &amp; ICs</t>
        </is>
      </c>
      <c r="B34" s="16">
        <f>B20-B6</f>
        <v/>
      </c>
      <c r="C34" s="16">
        <f>C20-C6</f>
        <v/>
      </c>
      <c r="D34" s="16">
        <f>D20-D6</f>
        <v/>
      </c>
      <c r="E34" s="16">
        <f>E20-E6</f>
        <v/>
      </c>
      <c r="F34" s="16">
        <f>F20-F6</f>
        <v/>
      </c>
      <c r="G34" s="16">
        <f>G20-G6</f>
        <v/>
      </c>
      <c r="H34" s="16">
        <f>H20-H6</f>
        <v/>
      </c>
      <c r="I34" s="16">
        <f>I20-I6</f>
        <v/>
      </c>
      <c r="J34" s="16">
        <f>J20-J6</f>
        <v/>
      </c>
      <c r="K34" s="16">
        <f>K20-K6</f>
        <v/>
      </c>
      <c r="L34" s="16">
        <f>L20-L6</f>
        <v/>
      </c>
      <c r="M34" s="16">
        <f>M20-M6</f>
        <v/>
      </c>
      <c r="N34" s="33">
        <f>SUM(B34:M34)</f>
        <v/>
      </c>
    </row>
    <row r="35">
      <c r="A35" s="17" t="inlineStr">
        <is>
          <t>Sensors</t>
        </is>
      </c>
      <c r="B35" s="16">
        <f>B21-B7</f>
        <v/>
      </c>
      <c r="C35" s="16">
        <f>C21-C7</f>
        <v/>
      </c>
      <c r="D35" s="16">
        <f>D21-D7</f>
        <v/>
      </c>
      <c r="E35" s="16">
        <f>E21-E7</f>
        <v/>
      </c>
      <c r="F35" s="16">
        <f>F21-F7</f>
        <v/>
      </c>
      <c r="G35" s="16">
        <f>G21-G7</f>
        <v/>
      </c>
      <c r="H35" s="16">
        <f>H21-H7</f>
        <v/>
      </c>
      <c r="I35" s="16">
        <f>I21-I7</f>
        <v/>
      </c>
      <c r="J35" s="16">
        <f>J21-J7</f>
        <v/>
      </c>
      <c r="K35" s="16">
        <f>K21-K7</f>
        <v/>
      </c>
      <c r="L35" s="16">
        <f>L21-L7</f>
        <v/>
      </c>
      <c r="M35" s="16">
        <f>M21-M7</f>
        <v/>
      </c>
      <c r="N35" s="33">
        <f>SUM(B35:M35)</f>
        <v/>
      </c>
    </row>
    <row r="36">
      <c r="A36" s="17" t="inlineStr">
        <is>
          <t>Printed circuit boards</t>
        </is>
      </c>
      <c r="B36" s="16">
        <f>B22-B8</f>
        <v/>
      </c>
      <c r="C36" s="16">
        <f>C22-C8</f>
        <v/>
      </c>
      <c r="D36" s="16">
        <f>D22-D8</f>
        <v/>
      </c>
      <c r="E36" s="16">
        <f>E22-E8</f>
        <v/>
      </c>
      <c r="F36" s="16">
        <f>F22-F8</f>
        <v/>
      </c>
      <c r="G36" s="16">
        <f>G22-G8</f>
        <v/>
      </c>
      <c r="H36" s="16">
        <f>H22-H8</f>
        <v/>
      </c>
      <c r="I36" s="16">
        <f>I22-I8</f>
        <v/>
      </c>
      <c r="J36" s="16">
        <f>J22-J8</f>
        <v/>
      </c>
      <c r="K36" s="16">
        <f>K22-K8</f>
        <v/>
      </c>
      <c r="L36" s="16">
        <f>L22-L8</f>
        <v/>
      </c>
      <c r="M36" s="16">
        <f>M22-M8</f>
        <v/>
      </c>
      <c r="N36" s="33">
        <f>SUM(B36:M36)</f>
        <v/>
      </c>
    </row>
    <row r="37">
      <c r="A37" s="17" t="inlineStr">
        <is>
          <t>Batteries</t>
        </is>
      </c>
      <c r="B37" s="16">
        <f>B23-B9</f>
        <v/>
      </c>
      <c r="C37" s="16">
        <f>C23-C9</f>
        <v/>
      </c>
      <c r="D37" s="16">
        <f>D23-D9</f>
        <v/>
      </c>
      <c r="E37" s="16">
        <f>E23-E9</f>
        <v/>
      </c>
      <c r="F37" s="16">
        <f>F23-F9</f>
        <v/>
      </c>
      <c r="G37" s="16">
        <f>G23-G9</f>
        <v/>
      </c>
      <c r="H37" s="16">
        <f>H23-H9</f>
        <v/>
      </c>
      <c r="I37" s="16">
        <f>I23-I9</f>
        <v/>
      </c>
      <c r="J37" s="16">
        <f>J23-J9</f>
        <v/>
      </c>
      <c r="K37" s="16">
        <f>K23-K9</f>
        <v/>
      </c>
      <c r="L37" s="16">
        <f>L23-L9</f>
        <v/>
      </c>
      <c r="M37" s="16">
        <f>M23-M9</f>
        <v/>
      </c>
      <c r="N37" s="33">
        <f>SUM(B37:M37)</f>
        <v/>
      </c>
    </row>
    <row r="38">
      <c r="A38" s="17" t="inlineStr">
        <is>
          <t>Passive components</t>
        </is>
      </c>
      <c r="B38" s="16">
        <f>B24-B10</f>
        <v/>
      </c>
      <c r="C38" s="16">
        <f>C24-C10</f>
        <v/>
      </c>
      <c r="D38" s="16">
        <f>D24-D10</f>
        <v/>
      </c>
      <c r="E38" s="16">
        <f>E24-E10</f>
        <v/>
      </c>
      <c r="F38" s="16">
        <f>F24-F10</f>
        <v/>
      </c>
      <c r="G38" s="16">
        <f>G24-G10</f>
        <v/>
      </c>
      <c r="H38" s="16">
        <f>H24-H10</f>
        <v/>
      </c>
      <c r="I38" s="16">
        <f>I24-I10</f>
        <v/>
      </c>
      <c r="J38" s="16">
        <f>J24-J10</f>
        <v/>
      </c>
      <c r="K38" s="16">
        <f>K24-K10</f>
        <v/>
      </c>
      <c r="L38" s="16">
        <f>L24-L10</f>
        <v/>
      </c>
      <c r="M38" s="16">
        <f>M24-M10</f>
        <v/>
      </c>
      <c r="N38" s="33">
        <f>SUM(B38:M38)</f>
        <v/>
      </c>
    </row>
    <row r="39">
      <c r="A39" s="17" t="inlineStr">
        <is>
          <t>Connectors &amp; cables</t>
        </is>
      </c>
      <c r="B39" s="16">
        <f>B25-B11</f>
        <v/>
      </c>
      <c r="C39" s="16">
        <f>C25-C11</f>
        <v/>
      </c>
      <c r="D39" s="16">
        <f>D25-D11</f>
        <v/>
      </c>
      <c r="E39" s="16">
        <f>E25-E11</f>
        <v/>
      </c>
      <c r="F39" s="16">
        <f>F25-F11</f>
        <v/>
      </c>
      <c r="G39" s="16">
        <f>G25-G11</f>
        <v/>
      </c>
      <c r="H39" s="16">
        <f>H25-H11</f>
        <v/>
      </c>
      <c r="I39" s="16">
        <f>I25-I11</f>
        <v/>
      </c>
      <c r="J39" s="16">
        <f>J25-J11</f>
        <v/>
      </c>
      <c r="K39" s="16">
        <f>K25-K11</f>
        <v/>
      </c>
      <c r="L39" s="16">
        <f>L25-L11</f>
        <v/>
      </c>
      <c r="M39" s="16">
        <f>M25-M11</f>
        <v/>
      </c>
      <c r="N39" s="33">
        <f>SUM(B39:M39)</f>
        <v/>
      </c>
    </row>
    <row r="40">
      <c r="A40" s="17" t="inlineStr">
        <is>
          <t>Displays</t>
        </is>
      </c>
      <c r="B40" s="16">
        <f>B26-B12</f>
        <v/>
      </c>
      <c r="C40" s="16">
        <f>C26-C12</f>
        <v/>
      </c>
      <c r="D40" s="16">
        <f>D26-D12</f>
        <v/>
      </c>
      <c r="E40" s="16">
        <f>E26-E12</f>
        <v/>
      </c>
      <c r="F40" s="16">
        <f>F26-F12</f>
        <v/>
      </c>
      <c r="G40" s="16">
        <f>G26-G12</f>
        <v/>
      </c>
      <c r="H40" s="16">
        <f>H26-H12</f>
        <v/>
      </c>
      <c r="I40" s="16">
        <f>I26-I12</f>
        <v/>
      </c>
      <c r="J40" s="16">
        <f>J26-J12</f>
        <v/>
      </c>
      <c r="K40" s="16">
        <f>K26-K12</f>
        <v/>
      </c>
      <c r="L40" s="16">
        <f>L26-L12</f>
        <v/>
      </c>
      <c r="M40" s="16">
        <f>M26-M12</f>
        <v/>
      </c>
      <c r="N40" s="33">
        <f>SUM(B40:M40)</f>
        <v/>
      </c>
    </row>
    <row r="41">
      <c r="A41" s="17" t="inlineStr">
        <is>
          <t>Enclosures &amp; plastics</t>
        </is>
      </c>
      <c r="B41" s="16">
        <f>B27-B13</f>
        <v/>
      </c>
      <c r="C41" s="16">
        <f>C27-C13</f>
        <v/>
      </c>
      <c r="D41" s="16">
        <f>D27-D13</f>
        <v/>
      </c>
      <c r="E41" s="16">
        <f>E27-E13</f>
        <v/>
      </c>
      <c r="F41" s="16">
        <f>F27-F13</f>
        <v/>
      </c>
      <c r="G41" s="16">
        <f>G27-G13</f>
        <v/>
      </c>
      <c r="H41" s="16">
        <f>H27-H13</f>
        <v/>
      </c>
      <c r="I41" s="16">
        <f>I27-I13</f>
        <v/>
      </c>
      <c r="J41" s="16">
        <f>J27-J13</f>
        <v/>
      </c>
      <c r="K41" s="16">
        <f>K27-K13</f>
        <v/>
      </c>
      <c r="L41" s="16">
        <f>L27-L13</f>
        <v/>
      </c>
      <c r="M41" s="16">
        <f>M27-M13</f>
        <v/>
      </c>
      <c r="N41" s="33">
        <f>SUM(B41:M41)</f>
        <v/>
      </c>
    </row>
    <row r="42">
      <c r="A42" s="17" t="inlineStr">
        <is>
          <t>Sterile packaging</t>
        </is>
      </c>
      <c r="B42" s="16">
        <f>B28-B14</f>
        <v/>
      </c>
      <c r="C42" s="16">
        <f>C28-C14</f>
        <v/>
      </c>
      <c r="D42" s="16">
        <f>D28-D14</f>
        <v/>
      </c>
      <c r="E42" s="16">
        <f>E28-E14</f>
        <v/>
      </c>
      <c r="F42" s="16">
        <f>F28-F14</f>
        <v/>
      </c>
      <c r="G42" s="16">
        <f>G28-G14</f>
        <v/>
      </c>
      <c r="H42" s="16">
        <f>H28-H14</f>
        <v/>
      </c>
      <c r="I42" s="16">
        <f>I28-I14</f>
        <v/>
      </c>
      <c r="J42" s="16">
        <f>J28-J14</f>
        <v/>
      </c>
      <c r="K42" s="16">
        <f>K28-K14</f>
        <v/>
      </c>
      <c r="L42" s="16">
        <f>L28-L14</f>
        <v/>
      </c>
      <c r="M42" s="16">
        <f>M28-M14</f>
        <v/>
      </c>
      <c r="N42" s="33">
        <f>SUM(B42:M42)</f>
        <v/>
      </c>
    </row>
    <row r="43">
      <c r="A43" s="7" t="inlineStr">
        <is>
          <t>Total</t>
        </is>
      </c>
      <c r="B43" s="33">
        <f>SUM(B34:B42)</f>
        <v/>
      </c>
      <c r="C43" s="33">
        <f>SUM(C34:C42)</f>
        <v/>
      </c>
      <c r="D43" s="33">
        <f>SUM(D34:D42)</f>
        <v/>
      </c>
      <c r="E43" s="33">
        <f>SUM(E34:E42)</f>
        <v/>
      </c>
      <c r="F43" s="33">
        <f>SUM(F34:F42)</f>
        <v/>
      </c>
      <c r="G43" s="33">
        <f>SUM(G34:G42)</f>
        <v/>
      </c>
      <c r="H43" s="33">
        <f>SUM(H34:H42)</f>
        <v/>
      </c>
      <c r="I43" s="33">
        <f>SUM(I34:I42)</f>
        <v/>
      </c>
      <c r="J43" s="33">
        <f>SUM(J34:J42)</f>
        <v/>
      </c>
      <c r="K43" s="33">
        <f>SUM(K34:K42)</f>
        <v/>
      </c>
      <c r="L43" s="33">
        <f>SUM(L34:L42)</f>
        <v/>
      </c>
      <c r="M43" s="33">
        <f>SUM(M34:M42)</f>
        <v/>
      </c>
      <c r="N43" s="33">
        <f>SUM(N34:N42)</f>
        <v/>
      </c>
    </row>
    <row r="46">
      <c r="A46" s="35" t="inlineStr">
        <is>
          <t>FY variance analysis: price vs volume/timing</t>
        </is>
      </c>
    </row>
    <row r="47">
      <c r="A47" s="8" t="inlineStr">
        <is>
          <t>Category</t>
        </is>
      </c>
      <c r="B47" s="8" t="inlineStr">
        <is>
          <t>FY budget (€)</t>
        </is>
      </c>
      <c r="C47" s="8" t="inlineStr">
        <is>
          <t>FY actual (€)</t>
        </is>
      </c>
      <c r="D47" s="8" t="inlineStr">
        <is>
          <t>Variance (€)</t>
        </is>
      </c>
      <c r="E47" s="8" t="inlineStr">
        <is>
          <t>Variance %</t>
        </is>
      </c>
      <c r="F47" s="8" t="inlineStr">
        <is>
          <t>Price variance (€)</t>
        </is>
      </c>
      <c r="G47" s="8" t="inlineStr">
        <is>
          <t>Volume / timing (€)</t>
        </is>
      </c>
      <c r="H47" s="8" t="inlineStr">
        <is>
          <t>Main driver</t>
        </is>
      </c>
    </row>
    <row r="48">
      <c r="A48" s="12" t="inlineStr">
        <is>
          <t>Microcontrollers &amp; ICs</t>
        </is>
      </c>
      <c r="B48" s="16">
        <f>N6</f>
        <v/>
      </c>
      <c r="C48" s="16">
        <f>N20</f>
        <v/>
      </c>
      <c r="D48" s="16">
        <f>C48-B48</f>
        <v/>
      </c>
      <c r="E48" s="11">
        <f>IFERROR(D48/B48,0)</f>
        <v/>
      </c>
      <c r="F48" s="16">
        <f>SUMIFS(PO_Lines!$P$2:$P$2025,PO_Lines!$L$2:$L$2025,A48,PO_Lines!$D$2:$D$2025,"&gt;="&amp;Assumptions!$B$13)</f>
        <v/>
      </c>
      <c r="G48" s="16">
        <f>D48-F48</f>
        <v/>
      </c>
      <c r="H48" s="12">
        <f>IF(ABS(D48)&lt;0.02*B48,"On budget",IF(ABS(F48)&gt;ABS(G48),"Price","Volume / timing"))</f>
        <v/>
      </c>
    </row>
    <row r="49">
      <c r="A49" s="12" t="inlineStr">
        <is>
          <t>Sensors</t>
        </is>
      </c>
      <c r="B49" s="16">
        <f>N7</f>
        <v/>
      </c>
      <c r="C49" s="16">
        <f>N21</f>
        <v/>
      </c>
      <c r="D49" s="16">
        <f>C49-B49</f>
        <v/>
      </c>
      <c r="E49" s="11">
        <f>IFERROR(D49/B49,0)</f>
        <v/>
      </c>
      <c r="F49" s="16">
        <f>SUMIFS(PO_Lines!$P$2:$P$2025,PO_Lines!$L$2:$L$2025,A49,PO_Lines!$D$2:$D$2025,"&gt;="&amp;Assumptions!$B$13)</f>
        <v/>
      </c>
      <c r="G49" s="16">
        <f>D49-F49</f>
        <v/>
      </c>
      <c r="H49" s="12">
        <f>IF(ABS(D49)&lt;0.02*B49,"On budget",IF(ABS(F49)&gt;ABS(G49),"Price","Volume / timing"))</f>
        <v/>
      </c>
    </row>
    <row r="50">
      <c r="A50" s="12" t="inlineStr">
        <is>
          <t>Printed circuit boards</t>
        </is>
      </c>
      <c r="B50" s="16">
        <f>N8</f>
        <v/>
      </c>
      <c r="C50" s="16">
        <f>N22</f>
        <v/>
      </c>
      <c r="D50" s="16">
        <f>C50-B50</f>
        <v/>
      </c>
      <c r="E50" s="11">
        <f>IFERROR(D50/B50,0)</f>
        <v/>
      </c>
      <c r="F50" s="16">
        <f>SUMIFS(PO_Lines!$P$2:$P$2025,PO_Lines!$L$2:$L$2025,A50,PO_Lines!$D$2:$D$2025,"&gt;="&amp;Assumptions!$B$13)</f>
        <v/>
      </c>
      <c r="G50" s="16">
        <f>D50-F50</f>
        <v/>
      </c>
      <c r="H50" s="12">
        <f>IF(ABS(D50)&lt;0.02*B50,"On budget",IF(ABS(F50)&gt;ABS(G50),"Price","Volume / timing"))</f>
        <v/>
      </c>
    </row>
    <row r="51">
      <c r="A51" s="12" t="inlineStr">
        <is>
          <t>Batteries</t>
        </is>
      </c>
      <c r="B51" s="16">
        <f>N9</f>
        <v/>
      </c>
      <c r="C51" s="16">
        <f>N23</f>
        <v/>
      </c>
      <c r="D51" s="16">
        <f>C51-B51</f>
        <v/>
      </c>
      <c r="E51" s="11">
        <f>IFERROR(D51/B51,0)</f>
        <v/>
      </c>
      <c r="F51" s="16">
        <f>SUMIFS(PO_Lines!$P$2:$P$2025,PO_Lines!$L$2:$L$2025,A51,PO_Lines!$D$2:$D$2025,"&gt;="&amp;Assumptions!$B$13)</f>
        <v/>
      </c>
      <c r="G51" s="16">
        <f>D51-F51</f>
        <v/>
      </c>
      <c r="H51" s="12">
        <f>IF(ABS(D51)&lt;0.02*B51,"On budget",IF(ABS(F51)&gt;ABS(G51),"Price","Volume / timing"))</f>
        <v/>
      </c>
    </row>
    <row r="52">
      <c r="A52" s="12" t="inlineStr">
        <is>
          <t>Passive components</t>
        </is>
      </c>
      <c r="B52" s="16">
        <f>N10</f>
        <v/>
      </c>
      <c r="C52" s="16">
        <f>N24</f>
        <v/>
      </c>
      <c r="D52" s="16">
        <f>C52-B52</f>
        <v/>
      </c>
      <c r="E52" s="11">
        <f>IFERROR(D52/B52,0)</f>
        <v/>
      </c>
      <c r="F52" s="16">
        <f>SUMIFS(PO_Lines!$P$2:$P$2025,PO_Lines!$L$2:$L$2025,A52,PO_Lines!$D$2:$D$2025,"&gt;="&amp;Assumptions!$B$13)</f>
        <v/>
      </c>
      <c r="G52" s="16">
        <f>D52-F52</f>
        <v/>
      </c>
      <c r="H52" s="12">
        <f>IF(ABS(D52)&lt;0.02*B52,"On budget",IF(ABS(F52)&gt;ABS(G52),"Price","Volume / timing"))</f>
        <v/>
      </c>
    </row>
    <row r="53">
      <c r="A53" s="12" t="inlineStr">
        <is>
          <t>Connectors &amp; cables</t>
        </is>
      </c>
      <c r="B53" s="16">
        <f>N11</f>
        <v/>
      </c>
      <c r="C53" s="16">
        <f>N25</f>
        <v/>
      </c>
      <c r="D53" s="16">
        <f>C53-B53</f>
        <v/>
      </c>
      <c r="E53" s="11">
        <f>IFERROR(D53/B53,0)</f>
        <v/>
      </c>
      <c r="F53" s="16">
        <f>SUMIFS(PO_Lines!$P$2:$P$2025,PO_Lines!$L$2:$L$2025,A53,PO_Lines!$D$2:$D$2025,"&gt;="&amp;Assumptions!$B$13)</f>
        <v/>
      </c>
      <c r="G53" s="16">
        <f>D53-F53</f>
        <v/>
      </c>
      <c r="H53" s="12">
        <f>IF(ABS(D53)&lt;0.02*B53,"On budget",IF(ABS(F53)&gt;ABS(G53),"Price","Volume / timing"))</f>
        <v/>
      </c>
    </row>
    <row r="54">
      <c r="A54" s="12" t="inlineStr">
        <is>
          <t>Displays</t>
        </is>
      </c>
      <c r="B54" s="16">
        <f>N12</f>
        <v/>
      </c>
      <c r="C54" s="16">
        <f>N26</f>
        <v/>
      </c>
      <c r="D54" s="16">
        <f>C54-B54</f>
        <v/>
      </c>
      <c r="E54" s="11">
        <f>IFERROR(D54/B54,0)</f>
        <v/>
      </c>
      <c r="F54" s="16">
        <f>SUMIFS(PO_Lines!$P$2:$P$2025,PO_Lines!$L$2:$L$2025,A54,PO_Lines!$D$2:$D$2025,"&gt;="&amp;Assumptions!$B$13)</f>
        <v/>
      </c>
      <c r="G54" s="16">
        <f>D54-F54</f>
        <v/>
      </c>
      <c r="H54" s="12">
        <f>IF(ABS(D54)&lt;0.02*B54,"On budget",IF(ABS(F54)&gt;ABS(G54),"Price","Volume / timing"))</f>
        <v/>
      </c>
    </row>
    <row r="55">
      <c r="A55" s="12" t="inlineStr">
        <is>
          <t>Enclosures &amp; plastics</t>
        </is>
      </c>
      <c r="B55" s="16">
        <f>N13</f>
        <v/>
      </c>
      <c r="C55" s="16">
        <f>N27</f>
        <v/>
      </c>
      <c r="D55" s="16">
        <f>C55-B55</f>
        <v/>
      </c>
      <c r="E55" s="11">
        <f>IFERROR(D55/B55,0)</f>
        <v/>
      </c>
      <c r="F55" s="16">
        <f>SUMIFS(PO_Lines!$P$2:$P$2025,PO_Lines!$L$2:$L$2025,A55,PO_Lines!$D$2:$D$2025,"&gt;="&amp;Assumptions!$B$13)</f>
        <v/>
      </c>
      <c r="G55" s="16">
        <f>D55-F55</f>
        <v/>
      </c>
      <c r="H55" s="12">
        <f>IF(ABS(D55)&lt;0.02*B55,"On budget",IF(ABS(F55)&gt;ABS(G55),"Price","Volume / timing"))</f>
        <v/>
      </c>
    </row>
    <row r="56">
      <c r="A56" s="12" t="inlineStr">
        <is>
          <t>Sterile packaging</t>
        </is>
      </c>
      <c r="B56" s="16">
        <f>N14</f>
        <v/>
      </c>
      <c r="C56" s="16">
        <f>N28</f>
        <v/>
      </c>
      <c r="D56" s="16">
        <f>C56-B56</f>
        <v/>
      </c>
      <c r="E56" s="11">
        <f>IFERROR(D56/B56,0)</f>
        <v/>
      </c>
      <c r="F56" s="16">
        <f>SUMIFS(PO_Lines!$P$2:$P$2025,PO_Lines!$L$2:$L$2025,A56,PO_Lines!$D$2:$D$2025,"&gt;="&amp;Assumptions!$B$13)</f>
        <v/>
      </c>
      <c r="G56" s="16">
        <f>D56-F56</f>
        <v/>
      </c>
      <c r="H56" s="12">
        <f>IF(ABS(D56)&lt;0.02*B56,"On budget",IF(ABS(F56)&gt;ABS(G56),"Price","Volume / timing"))</f>
        <v/>
      </c>
    </row>
    <row r="57">
      <c r="A57" s="18" t="inlineStr">
        <is>
          <t>Total</t>
        </is>
      </c>
      <c r="B57" s="33">
        <f>N15</f>
        <v/>
      </c>
      <c r="C57" s="33">
        <f>N29</f>
        <v/>
      </c>
      <c r="D57" s="33">
        <f>C57-B57</f>
        <v/>
      </c>
      <c r="E57" s="34">
        <f>IFERROR(D57/B57,0)</f>
        <v/>
      </c>
      <c r="F57" s="33">
        <f>SUM(F48:F56)</f>
        <v/>
      </c>
      <c r="G57" s="33">
        <f>D57-F57</f>
        <v/>
      </c>
      <c r="H57" s="18">
        <f>IF(ABS(D57)&lt;0.02*B57,"On budget",IF(ABS(F57)&gt;ABS(G57),"Price","Volume / timing"))</f>
        <v/>
      </c>
    </row>
  </sheetData>
  <conditionalFormatting sqref="B34:N43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D48:G57">
    <cfRule type="cellIs" priority="3" operator="greaterThan" dxfId="5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70" customWidth="1" min="3" max="3"/>
    <col width="12" customWidth="1" min="5" max="5"/>
    <col width="20" customWidth="1" min="6" max="6"/>
    <col width="10" customWidth="1" min="7" max="7"/>
  </cols>
  <sheetData>
    <row r="1">
      <c r="A1" s="1" t="inlineStr">
        <is>
          <t>Assumptions</t>
        </is>
      </c>
    </row>
    <row r="2">
      <c r="A2" s="2" t="inlineStr">
        <is>
          <t>Yellow cells are inputs. Every analysis formula references these cells.</t>
        </is>
      </c>
    </row>
    <row r="3">
      <c r="A3" s="8" t="inlineStr">
        <is>
          <t>Assumption</t>
        </is>
      </c>
      <c r="B3" s="8" t="inlineStr">
        <is>
          <t>Value</t>
        </is>
      </c>
      <c r="C3" s="8" t="inlineStr">
        <is>
          <t>Notes</t>
        </is>
      </c>
      <c r="E3" s="9" t="inlineStr">
        <is>
          <t>ABC class</t>
        </is>
      </c>
      <c r="F3" s="9" t="inlineStr">
        <is>
          <t>Target service level</t>
        </is>
      </c>
      <c r="G3" s="9" t="inlineStr">
        <is>
          <t>z-score</t>
        </is>
      </c>
    </row>
    <row r="4">
      <c r="A4" s="17" t="inlineStr">
        <is>
          <t>Snapshot date</t>
        </is>
      </c>
      <c r="B4" s="37" t="n">
        <v>46295</v>
      </c>
      <c r="C4" s="2" t="inlineStr">
        <is>
          <t>Date of the stock count.</t>
        </is>
      </c>
      <c r="E4" s="7" t="inlineStr">
        <is>
          <t>A</t>
        </is>
      </c>
      <c r="F4" s="38" t="n">
        <v>0.98</v>
      </c>
      <c r="G4" s="29">
        <f>NORMSINV(F4)</f>
        <v/>
      </c>
    </row>
    <row r="5">
      <c r="A5" s="17" t="inlineStr">
        <is>
          <t>Ordering cost per PO (€)</t>
        </is>
      </c>
      <c r="B5" s="39" t="n">
        <v>85</v>
      </c>
      <c r="C5" s="2" t="inlineStr">
        <is>
          <t>Buyer time, receiving, inspection and invoice processing per order.</t>
        </is>
      </c>
      <c r="E5" s="7" t="inlineStr">
        <is>
          <t>B</t>
        </is>
      </c>
      <c r="F5" s="38" t="n">
        <v>0.95</v>
      </c>
      <c r="G5" s="29">
        <f>NORMSINV(F5)</f>
        <v/>
      </c>
    </row>
    <row r="6">
      <c r="A6" s="17" t="inlineStr">
        <is>
          <t>Annual holding cost rate</t>
        </is>
      </c>
      <c r="B6" s="38" t="n">
        <v>0.22</v>
      </c>
      <c r="C6" s="2" t="inlineStr">
        <is>
          <t>Cost of capital + storage + insurance + obsolescence, % of unit cost per year.</t>
        </is>
      </c>
      <c r="E6" s="7" t="inlineStr">
        <is>
          <t>C</t>
        </is>
      </c>
      <c r="F6" s="38" t="n">
        <v>0.9</v>
      </c>
      <c r="G6" s="29">
        <f>NORMSINV(F6)</f>
        <v/>
      </c>
    </row>
    <row r="7">
      <c r="A7" s="17" t="inlineStr">
        <is>
          <t>ABC: A-class up to cumulative spend</t>
        </is>
      </c>
      <c r="B7" s="38" t="n">
        <v>0.8</v>
      </c>
      <c r="C7" s="2" t="inlineStr">
        <is>
          <t>Items making up the first 80% of spend are A.</t>
        </is>
      </c>
    </row>
    <row r="8">
      <c r="A8" s="17" t="inlineStr">
        <is>
          <t>ABC: B-class up to cumulative spend</t>
        </is>
      </c>
      <c r="B8" s="38" t="n">
        <v>0.95</v>
      </c>
      <c r="C8" s="2" t="inlineStr">
        <is>
          <t>Next 15% are B, remainder C.</t>
        </is>
      </c>
      <c r="E8" s="2" t="inlineStr">
        <is>
          <t>Higher service for A items: they are critical to production and expensive to run out of.</t>
        </is>
      </c>
    </row>
    <row r="9">
      <c r="A9" s="17" t="inlineStr">
        <is>
          <t>XYZ: X-class max coefficient of variation</t>
        </is>
      </c>
      <c r="B9" s="40" t="n">
        <v>0.25</v>
      </c>
      <c r="C9" s="2" t="inlineStr">
        <is>
          <t>Stable demand.</t>
        </is>
      </c>
    </row>
    <row r="10">
      <c r="A10" s="17" t="inlineStr">
        <is>
          <t>XYZ: Y-class max coefficient of variation</t>
        </is>
      </c>
      <c r="B10" s="40" t="n">
        <v>0.5</v>
      </c>
      <c r="C10" s="2" t="inlineStr">
        <is>
          <t>Variable demand; above this is Z (erratic).</t>
        </is>
      </c>
    </row>
    <row r="11">
      <c r="A11" s="17" t="inlineStr">
        <is>
          <t>Days per month</t>
        </is>
      </c>
      <c r="B11" s="41" t="n">
        <v>30.4</v>
      </c>
      <c r="C11" s="2" t="inlineStr">
        <is>
          <t>Converts lead time in days to months of demand.</t>
        </is>
      </c>
    </row>
    <row r="12">
      <c r="A12" s="17" t="inlineStr">
        <is>
          <t>Expiry warning window (months)</t>
        </is>
      </c>
      <c r="B12" s="42" t="n">
        <v>6</v>
      </c>
      <c r="C12" s="2" t="inlineStr">
        <is>
          <t>Flag lots expiring within this window.</t>
        </is>
      </c>
    </row>
    <row r="13">
      <c r="A13" s="17" t="inlineStr">
        <is>
          <t>Budget year start</t>
        </is>
      </c>
      <c r="B13" s="37" t="n">
        <v>45931</v>
      </c>
      <c r="C13" s="2" t="inlineStr">
        <is>
          <t>FY runs Oct to Sep.</t>
        </is>
      </c>
    </row>
    <row r="14">
      <c r="A14" s="17" t="inlineStr">
        <is>
          <t>Supplier OTIF: Preferred at or above</t>
        </is>
      </c>
      <c r="B14" s="38" t="n">
        <v>0.95</v>
      </c>
      <c r="C14" s="2" t="inlineStr">
        <is>
          <t>Rating thresholds for the scorecard.</t>
        </is>
      </c>
    </row>
    <row r="15">
      <c r="A15" s="17" t="inlineStr">
        <is>
          <t>Supplier OTIF: Approved at or above</t>
        </is>
      </c>
      <c r="B15" s="38" t="n">
        <v>0.85</v>
      </c>
      <c r="C15" s="2" t="inlineStr">
        <is>
          <t>Below this = improvement plan.</t>
        </is>
      </c>
    </row>
    <row r="16">
      <c r="A16" s="17" t="inlineStr">
        <is>
          <t>Minimum order cover (months)</t>
        </is>
      </c>
      <c r="B16" s="41" t="n">
        <v>1</v>
      </c>
      <c r="C16" s="2" t="inlineStr">
        <is>
          <t>Suppliers ship monthly at most, so order quantity is never below 1 month of demand.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3C2B7"/>
    <outlinePr summaryBelow="1" summaryRight="1"/>
    <pageSetUpPr/>
  </sheetPr>
  <dimension ref="A1:I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2" customWidth="1" min="3" max="3"/>
    <col width="10" customWidth="1" min="4" max="4"/>
    <col width="12" customWidth="1" min="5" max="5"/>
    <col width="12" customWidth="1" min="6" max="6"/>
    <col width="9" customWidth="1" min="7" max="7"/>
    <col width="10" customWidth="1" min="8" max="8"/>
    <col width="10" customWidth="1" min="9" max="9"/>
  </cols>
  <sheetData>
    <row r="1">
      <c r="A1" s="8" t="inlineStr">
        <is>
          <t>sku</t>
        </is>
      </c>
      <c r="B1" s="8" t="inlineStr">
        <is>
          <t>description</t>
        </is>
      </c>
      <c r="C1" s="8" t="inlineStr">
        <is>
          <t>category</t>
        </is>
      </c>
      <c r="D1" s="8" t="inlineStr">
        <is>
          <t>supplier_id</t>
        </is>
      </c>
      <c r="E1" s="8" t="inlineStr">
        <is>
          <t>unit_cost_eur</t>
        </is>
      </c>
      <c r="F1" s="8" t="inlineStr">
        <is>
          <t>quoted_lead_time_days</t>
        </is>
      </c>
      <c r="G1" s="8" t="inlineStr">
        <is>
          <t>moq</t>
        </is>
      </c>
      <c r="H1" s="8" t="inlineStr">
        <is>
          <t>shelf_life_months</t>
        </is>
      </c>
      <c r="I1" s="8" t="inlineStr">
        <is>
          <t>single_source</t>
        </is>
      </c>
    </row>
    <row r="2">
      <c r="A2" s="43" t="inlineStr">
        <is>
          <t>CMD-0001</t>
        </is>
      </c>
      <c r="B2" s="43" t="inlineStr">
        <is>
          <t>ARM Cortex-M4 MCU</t>
        </is>
      </c>
      <c r="C2" s="43" t="inlineStr">
        <is>
          <t>Microcontrollers &amp; ICs</t>
        </is>
      </c>
      <c r="D2" s="43" t="inlineStr">
        <is>
          <t>S07</t>
        </is>
      </c>
      <c r="E2" s="44" t="n">
        <v>14.26</v>
      </c>
      <c r="F2" s="45" t="n">
        <v>91</v>
      </c>
      <c r="G2" s="46" t="n">
        <v>1</v>
      </c>
      <c r="H2" s="43" t="n">
        <v>0</v>
      </c>
      <c r="I2" s="43" t="b">
        <v>0</v>
      </c>
    </row>
    <row r="3">
      <c r="A3" s="43" t="inlineStr">
        <is>
          <t>CMD-0002</t>
        </is>
      </c>
      <c r="B3" s="43" t="inlineStr">
        <is>
          <t>ARM Cortex-M0+ MCU</t>
        </is>
      </c>
      <c r="C3" s="43" t="inlineStr">
        <is>
          <t>Microcontrollers &amp; ICs</t>
        </is>
      </c>
      <c r="D3" s="43" t="inlineStr">
        <is>
          <t>S11</t>
        </is>
      </c>
      <c r="E3" s="44" t="n">
        <v>6.85</v>
      </c>
      <c r="F3" s="45" t="n">
        <v>119</v>
      </c>
      <c r="G3" s="46" t="n">
        <v>25</v>
      </c>
      <c r="H3" s="43" t="n">
        <v>0</v>
      </c>
      <c r="I3" s="43" t="b">
        <v>0</v>
      </c>
    </row>
    <row r="4">
      <c r="A4" s="43" t="inlineStr">
        <is>
          <t>CMD-0003</t>
        </is>
      </c>
      <c r="B4" s="43" t="inlineStr">
        <is>
          <t>Bluetooth LE SoC</t>
        </is>
      </c>
      <c r="C4" s="43" t="inlineStr">
        <is>
          <t>Microcontrollers &amp; ICs</t>
        </is>
      </c>
      <c r="D4" s="43" t="inlineStr">
        <is>
          <t>S11</t>
        </is>
      </c>
      <c r="E4" s="44" t="n">
        <v>21.49</v>
      </c>
      <c r="F4" s="45" t="n">
        <v>119</v>
      </c>
      <c r="G4" s="46" t="n">
        <v>10</v>
      </c>
      <c r="H4" s="43" t="n">
        <v>0</v>
      </c>
      <c r="I4" s="43" t="b">
        <v>0</v>
      </c>
    </row>
    <row r="5">
      <c r="A5" s="43" t="inlineStr">
        <is>
          <t>CMD-0004</t>
        </is>
      </c>
      <c r="B5" s="43" t="inlineStr">
        <is>
          <t>ECG analog front end</t>
        </is>
      </c>
      <c r="C5" s="43" t="inlineStr">
        <is>
          <t>Microcontrollers &amp; ICs</t>
        </is>
      </c>
      <c r="D5" s="43" t="inlineStr">
        <is>
          <t>S07</t>
        </is>
      </c>
      <c r="E5" s="44" t="n">
        <v>4.05</v>
      </c>
      <c r="F5" s="45" t="n">
        <v>91</v>
      </c>
      <c r="G5" s="46" t="n">
        <v>100</v>
      </c>
      <c r="H5" s="43" t="n">
        <v>0</v>
      </c>
      <c r="I5" s="43" t="b">
        <v>0</v>
      </c>
    </row>
    <row r="6">
      <c r="A6" s="43" t="inlineStr">
        <is>
          <t>CMD-0005</t>
        </is>
      </c>
      <c r="B6" s="43" t="inlineStr">
        <is>
          <t>Power management IC</t>
        </is>
      </c>
      <c r="C6" s="43" t="inlineStr">
        <is>
          <t>Microcontrollers &amp; ICs</t>
        </is>
      </c>
      <c r="D6" s="43" t="inlineStr">
        <is>
          <t>S07</t>
        </is>
      </c>
      <c r="E6" s="44" t="n">
        <v>5.63</v>
      </c>
      <c r="F6" s="45" t="n">
        <v>91</v>
      </c>
      <c r="G6" s="46" t="n">
        <v>50</v>
      </c>
      <c r="H6" s="43" t="n">
        <v>0</v>
      </c>
      <c r="I6" s="43" t="b">
        <v>0</v>
      </c>
    </row>
    <row r="7">
      <c r="A7" s="43" t="inlineStr">
        <is>
          <t>CMD-0006</t>
        </is>
      </c>
      <c r="B7" s="43" t="inlineStr">
        <is>
          <t>Motor driver IC</t>
        </is>
      </c>
      <c r="C7" s="43" t="inlineStr">
        <is>
          <t>Microcontrollers &amp; ICs</t>
        </is>
      </c>
      <c r="D7" s="43" t="inlineStr">
        <is>
          <t>S03</t>
        </is>
      </c>
      <c r="E7" s="44" t="n">
        <v>30.55</v>
      </c>
      <c r="F7" s="45" t="n">
        <v>133</v>
      </c>
      <c r="G7" s="46" t="n">
        <v>100</v>
      </c>
      <c r="H7" s="43" t="n">
        <v>0</v>
      </c>
      <c r="I7" s="43" t="b">
        <v>0</v>
      </c>
    </row>
    <row r="8">
      <c r="A8" s="43" t="inlineStr">
        <is>
          <t>CMD-0007</t>
        </is>
      </c>
      <c r="B8" s="43" t="inlineStr">
        <is>
          <t>16-bit ADC</t>
        </is>
      </c>
      <c r="C8" s="43" t="inlineStr">
        <is>
          <t>Microcontrollers &amp; ICs</t>
        </is>
      </c>
      <c r="D8" s="43" t="inlineStr">
        <is>
          <t>S03</t>
        </is>
      </c>
      <c r="E8" s="44" t="n">
        <v>19.39</v>
      </c>
      <c r="F8" s="45" t="n">
        <v>133</v>
      </c>
      <c r="G8" s="46" t="n">
        <v>50</v>
      </c>
      <c r="H8" s="43" t="n">
        <v>0</v>
      </c>
      <c r="I8" s="43" t="b">
        <v>0</v>
      </c>
    </row>
    <row r="9">
      <c r="A9" s="43" t="inlineStr">
        <is>
          <t>CMD-0008</t>
        </is>
      </c>
      <c r="B9" s="43" t="inlineStr">
        <is>
          <t>Op-amp quad</t>
        </is>
      </c>
      <c r="C9" s="43" t="inlineStr">
        <is>
          <t>Microcontrollers &amp; ICs</t>
        </is>
      </c>
      <c r="D9" s="43" t="inlineStr">
        <is>
          <t>S03</t>
        </is>
      </c>
      <c r="E9" s="44" t="n">
        <v>23.66</v>
      </c>
      <c r="F9" s="45" t="n">
        <v>133</v>
      </c>
      <c r="G9" s="46" t="n">
        <v>25</v>
      </c>
      <c r="H9" s="43" t="n">
        <v>0</v>
      </c>
      <c r="I9" s="43" t="b">
        <v>0</v>
      </c>
    </row>
    <row r="10">
      <c r="A10" s="43" t="inlineStr">
        <is>
          <t>CMD-0009</t>
        </is>
      </c>
      <c r="B10" s="43" t="inlineStr">
        <is>
          <t>Flash memory 64Mb</t>
        </is>
      </c>
      <c r="C10" s="43" t="inlineStr">
        <is>
          <t>Microcontrollers &amp; ICs</t>
        </is>
      </c>
      <c r="D10" s="43" t="inlineStr">
        <is>
          <t>S11</t>
        </is>
      </c>
      <c r="E10" s="44" t="n">
        <v>6.29</v>
      </c>
      <c r="F10" s="45" t="n">
        <v>119</v>
      </c>
      <c r="G10" s="46" t="n">
        <v>25</v>
      </c>
      <c r="H10" s="43" t="n">
        <v>0</v>
      </c>
      <c r="I10" s="43" t="b">
        <v>0</v>
      </c>
    </row>
    <row r="11">
      <c r="A11" s="43" t="inlineStr">
        <is>
          <t>CMD-0010</t>
        </is>
      </c>
      <c r="B11" s="43" t="inlineStr">
        <is>
          <t>Isolated gate driver</t>
        </is>
      </c>
      <c r="C11" s="43" t="inlineStr">
        <is>
          <t>Microcontrollers &amp; ICs</t>
        </is>
      </c>
      <c r="D11" s="43" t="inlineStr">
        <is>
          <t>S03</t>
        </is>
      </c>
      <c r="E11" s="44" t="n">
        <v>4.63</v>
      </c>
      <c r="F11" s="45" t="n">
        <v>133</v>
      </c>
      <c r="G11" s="46" t="n">
        <v>10</v>
      </c>
      <c r="H11" s="43" t="n">
        <v>0</v>
      </c>
      <c r="I11" s="43" t="b">
        <v>0</v>
      </c>
    </row>
    <row r="12">
      <c r="A12" s="43" t="inlineStr">
        <is>
          <t>CMD-0011</t>
        </is>
      </c>
      <c r="B12" s="43" t="inlineStr">
        <is>
          <t>LDO regulator 3.3V</t>
        </is>
      </c>
      <c r="C12" s="43" t="inlineStr">
        <is>
          <t>Microcontrollers &amp; ICs</t>
        </is>
      </c>
      <c r="D12" s="43" t="inlineStr">
        <is>
          <t>S07</t>
        </is>
      </c>
      <c r="E12" s="44" t="n">
        <v>8.08</v>
      </c>
      <c r="F12" s="45" t="n">
        <v>91</v>
      </c>
      <c r="G12" s="46" t="n">
        <v>25</v>
      </c>
      <c r="H12" s="43" t="n">
        <v>0</v>
      </c>
      <c r="I12" s="43" t="b">
        <v>0</v>
      </c>
    </row>
    <row r="13">
      <c r="A13" s="43" t="inlineStr">
        <is>
          <t>CMD-0012</t>
        </is>
      </c>
      <c r="B13" s="43" t="inlineStr">
        <is>
          <t>Buck converter IC</t>
        </is>
      </c>
      <c r="C13" s="43" t="inlineStr">
        <is>
          <t>Microcontrollers &amp; ICs</t>
        </is>
      </c>
      <c r="D13" s="43" t="inlineStr">
        <is>
          <t>S03</t>
        </is>
      </c>
      <c r="E13" s="44" t="n">
        <v>2.59</v>
      </c>
      <c r="F13" s="45" t="n">
        <v>133</v>
      </c>
      <c r="G13" s="46" t="n">
        <v>50</v>
      </c>
      <c r="H13" s="43" t="n">
        <v>0</v>
      </c>
      <c r="I13" s="43" t="b">
        <v>0</v>
      </c>
    </row>
    <row r="14">
      <c r="A14" s="43" t="inlineStr">
        <is>
          <t>CMD-0013</t>
        </is>
      </c>
      <c r="B14" s="43" t="inlineStr">
        <is>
          <t>Real-time clock IC</t>
        </is>
      </c>
      <c r="C14" s="43" t="inlineStr">
        <is>
          <t>Microcontrollers &amp; ICs</t>
        </is>
      </c>
      <c r="D14" s="43" t="inlineStr">
        <is>
          <t>S11</t>
        </is>
      </c>
      <c r="E14" s="44" t="n">
        <v>6.75</v>
      </c>
      <c r="F14" s="45" t="n">
        <v>119</v>
      </c>
      <c r="G14" s="46" t="n">
        <v>25</v>
      </c>
      <c r="H14" s="43" t="n">
        <v>0</v>
      </c>
      <c r="I14" s="43" t="b">
        <v>0</v>
      </c>
    </row>
    <row r="15">
      <c r="A15" s="43" t="inlineStr">
        <is>
          <t>CMD-0014</t>
        </is>
      </c>
      <c r="B15" s="43" t="inlineStr">
        <is>
          <t>Wi-Fi module</t>
        </is>
      </c>
      <c r="C15" s="43" t="inlineStr">
        <is>
          <t>Microcontrollers &amp; ICs</t>
        </is>
      </c>
      <c r="D15" s="43" t="inlineStr">
        <is>
          <t>S03</t>
        </is>
      </c>
      <c r="E15" s="44" t="n">
        <v>12.62</v>
      </c>
      <c r="F15" s="45" t="n">
        <v>133</v>
      </c>
      <c r="G15" s="46" t="n">
        <v>1</v>
      </c>
      <c r="H15" s="43" t="n">
        <v>0</v>
      </c>
      <c r="I15" s="43" t="b">
        <v>0</v>
      </c>
    </row>
    <row r="16">
      <c r="A16" s="43" t="inlineStr">
        <is>
          <t>CMD-0015</t>
        </is>
      </c>
      <c r="B16" s="43" t="inlineStr">
        <is>
          <t>Secure element IC</t>
        </is>
      </c>
      <c r="C16" s="43" t="inlineStr">
        <is>
          <t>Microcontrollers &amp; ICs</t>
        </is>
      </c>
      <c r="D16" s="43" t="inlineStr">
        <is>
          <t>S03</t>
        </is>
      </c>
      <c r="E16" s="44" t="n">
        <v>5.66</v>
      </c>
      <c r="F16" s="45" t="n">
        <v>133</v>
      </c>
      <c r="G16" s="46" t="n">
        <v>25</v>
      </c>
      <c r="H16" s="43" t="n">
        <v>0</v>
      </c>
      <c r="I16" s="43" t="b">
        <v>0</v>
      </c>
    </row>
    <row r="17">
      <c r="A17" s="43" t="inlineStr">
        <is>
          <t>CMD-0016</t>
        </is>
      </c>
      <c r="B17" s="43" t="inlineStr">
        <is>
          <t>USB-C PD controller</t>
        </is>
      </c>
      <c r="C17" s="43" t="inlineStr">
        <is>
          <t>Microcontrollers &amp; ICs</t>
        </is>
      </c>
      <c r="D17" s="43" t="inlineStr">
        <is>
          <t>S07</t>
        </is>
      </c>
      <c r="E17" s="44" t="n">
        <v>27.02</v>
      </c>
      <c r="F17" s="45" t="n">
        <v>91</v>
      </c>
      <c r="G17" s="46" t="n">
        <v>10</v>
      </c>
      <c r="H17" s="43" t="n">
        <v>0</v>
      </c>
      <c r="I17" s="43" t="b">
        <v>0</v>
      </c>
    </row>
    <row r="18">
      <c r="A18" s="43" t="inlineStr">
        <is>
          <t>CMD-0017</t>
        </is>
      </c>
      <c r="B18" s="43" t="inlineStr">
        <is>
          <t>SpO2 optical sensor</t>
        </is>
      </c>
      <c r="C18" s="43" t="inlineStr">
        <is>
          <t>Sensors</t>
        </is>
      </c>
      <c r="D18" s="43" t="inlineStr">
        <is>
          <t>S11</t>
        </is>
      </c>
      <c r="E18" s="44" t="n">
        <v>12.69</v>
      </c>
      <c r="F18" s="45" t="n">
        <v>77</v>
      </c>
      <c r="G18" s="46" t="n">
        <v>50</v>
      </c>
      <c r="H18" s="43" t="n">
        <v>0</v>
      </c>
      <c r="I18" s="43" t="b">
        <v>0</v>
      </c>
    </row>
    <row r="19">
      <c r="A19" s="43" t="inlineStr">
        <is>
          <t>CMD-0018</t>
        </is>
      </c>
      <c r="B19" s="43" t="inlineStr">
        <is>
          <t>Temperature sensor</t>
        </is>
      </c>
      <c r="C19" s="43" t="inlineStr">
        <is>
          <t>Sensors</t>
        </is>
      </c>
      <c r="D19" s="43" t="inlineStr">
        <is>
          <t>S02</t>
        </is>
      </c>
      <c r="E19" s="44" t="n">
        <v>37.92</v>
      </c>
      <c r="F19" s="45" t="n">
        <v>56</v>
      </c>
      <c r="G19" s="46" t="n">
        <v>10</v>
      </c>
      <c r="H19" s="43" t="n">
        <v>0</v>
      </c>
      <c r="I19" s="43" t="b">
        <v>0</v>
      </c>
    </row>
    <row r="20">
      <c r="A20" s="43" t="inlineStr">
        <is>
          <t>CMD-0019</t>
        </is>
      </c>
      <c r="B20" s="43" t="inlineStr">
        <is>
          <t>Pressure transducer</t>
        </is>
      </c>
      <c r="C20" s="43" t="inlineStr">
        <is>
          <t>Sensors</t>
        </is>
      </c>
      <c r="D20" s="43" t="inlineStr">
        <is>
          <t>S11</t>
        </is>
      </c>
      <c r="E20" s="44" t="n">
        <v>7.25</v>
      </c>
      <c r="F20" s="45" t="n">
        <v>77</v>
      </c>
      <c r="G20" s="46" t="n">
        <v>25</v>
      </c>
      <c r="H20" s="43" t="n">
        <v>0</v>
      </c>
      <c r="I20" s="43" t="b">
        <v>0</v>
      </c>
    </row>
    <row r="21">
      <c r="A21" s="43" t="inlineStr">
        <is>
          <t>CMD-0020</t>
        </is>
      </c>
      <c r="B21" s="43" t="inlineStr">
        <is>
          <t>Air-in-line ultrasonic sensor</t>
        </is>
      </c>
      <c r="C21" s="43" t="inlineStr">
        <is>
          <t>Sensors</t>
        </is>
      </c>
      <c r="D21" s="43" t="inlineStr">
        <is>
          <t>S04</t>
        </is>
      </c>
      <c r="E21" s="44" t="n">
        <v>5.03</v>
      </c>
      <c r="F21" s="45" t="n">
        <v>70</v>
      </c>
      <c r="G21" s="46" t="n">
        <v>100</v>
      </c>
      <c r="H21" s="43" t="n">
        <v>0</v>
      </c>
      <c r="I21" s="43" t="b">
        <v>0</v>
      </c>
    </row>
    <row r="22">
      <c r="A22" s="43" t="inlineStr">
        <is>
          <t>CMD-0021</t>
        </is>
      </c>
      <c r="B22" s="43" t="inlineStr">
        <is>
          <t>Occlusion force sensor</t>
        </is>
      </c>
      <c r="C22" s="43" t="inlineStr">
        <is>
          <t>Sensors</t>
        </is>
      </c>
      <c r="D22" s="43" t="inlineStr">
        <is>
          <t>S04</t>
        </is>
      </c>
      <c r="E22" s="44" t="n">
        <v>4.94</v>
      </c>
      <c r="F22" s="45" t="n">
        <v>70</v>
      </c>
      <c r="G22" s="46" t="n">
        <v>50</v>
      </c>
      <c r="H22" s="43" t="n">
        <v>0</v>
      </c>
      <c r="I22" s="43" t="b">
        <v>0</v>
      </c>
    </row>
    <row r="23">
      <c r="A23" s="43" t="inlineStr">
        <is>
          <t>CMD-0022</t>
        </is>
      </c>
      <c r="B23" s="43" t="inlineStr">
        <is>
          <t>3-axis accelerometer</t>
        </is>
      </c>
      <c r="C23" s="43" t="inlineStr">
        <is>
          <t>Sensors</t>
        </is>
      </c>
      <c r="D23" s="43" t="inlineStr">
        <is>
          <t>S02</t>
        </is>
      </c>
      <c r="E23" s="44" t="n">
        <v>17.18</v>
      </c>
      <c r="F23" s="45" t="n">
        <v>56</v>
      </c>
      <c r="G23" s="46" t="n">
        <v>10</v>
      </c>
      <c r="H23" s="43" t="n">
        <v>0</v>
      </c>
      <c r="I23" s="43" t="b">
        <v>0</v>
      </c>
    </row>
    <row r="24">
      <c r="A24" s="43" t="inlineStr">
        <is>
          <t>CMD-0023</t>
        </is>
      </c>
      <c r="B24" s="43" t="inlineStr">
        <is>
          <t>Flow sensor</t>
        </is>
      </c>
      <c r="C24" s="43" t="inlineStr">
        <is>
          <t>Sensors</t>
        </is>
      </c>
      <c r="D24" s="43" t="inlineStr">
        <is>
          <t>S04</t>
        </is>
      </c>
      <c r="E24" s="44" t="n">
        <v>8.800000000000001</v>
      </c>
      <c r="F24" s="45" t="n">
        <v>70</v>
      </c>
      <c r="G24" s="46" t="n">
        <v>10</v>
      </c>
      <c r="H24" s="43" t="n">
        <v>0</v>
      </c>
      <c r="I24" s="43" t="b">
        <v>0</v>
      </c>
    </row>
    <row r="25">
      <c r="A25" s="43" t="inlineStr">
        <is>
          <t>CMD-0024</t>
        </is>
      </c>
      <c r="B25" s="43" t="inlineStr">
        <is>
          <t>Hall effect sensor</t>
        </is>
      </c>
      <c r="C25" s="43" t="inlineStr">
        <is>
          <t>Sensors</t>
        </is>
      </c>
      <c r="D25" s="43" t="inlineStr">
        <is>
          <t>S04</t>
        </is>
      </c>
      <c r="E25" s="44" t="n">
        <v>3.31</v>
      </c>
      <c r="F25" s="45" t="n">
        <v>70</v>
      </c>
      <c r="G25" s="46" t="n">
        <v>25</v>
      </c>
      <c r="H25" s="43" t="n">
        <v>0</v>
      </c>
      <c r="I25" s="43" t="b">
        <v>0</v>
      </c>
    </row>
    <row r="26">
      <c r="A26" s="43" t="inlineStr">
        <is>
          <t>CMD-0025</t>
        </is>
      </c>
      <c r="B26" s="43" t="inlineStr">
        <is>
          <t>NIBP pressure sensor</t>
        </is>
      </c>
      <c r="C26" s="43" t="inlineStr">
        <is>
          <t>Sensors</t>
        </is>
      </c>
      <c r="D26" s="43" t="inlineStr">
        <is>
          <t>S02</t>
        </is>
      </c>
      <c r="E26" s="44" t="n">
        <v>10.52</v>
      </c>
      <c r="F26" s="45" t="n">
        <v>56</v>
      </c>
      <c r="G26" s="46" t="n">
        <v>50</v>
      </c>
      <c r="H26" s="43" t="n">
        <v>0</v>
      </c>
      <c r="I26" s="43" t="b">
        <v>0</v>
      </c>
    </row>
    <row r="27">
      <c r="A27" s="43" t="inlineStr">
        <is>
          <t>CMD-0026</t>
        </is>
      </c>
      <c r="B27" s="43" t="inlineStr">
        <is>
          <t>Ambient light sensor</t>
        </is>
      </c>
      <c r="C27" s="43" t="inlineStr">
        <is>
          <t>Sensors</t>
        </is>
      </c>
      <c r="D27" s="43" t="inlineStr">
        <is>
          <t>S04</t>
        </is>
      </c>
      <c r="E27" s="44" t="n">
        <v>5.96</v>
      </c>
      <c r="F27" s="45" t="n">
        <v>70</v>
      </c>
      <c r="G27" s="46" t="n">
        <v>50</v>
      </c>
      <c r="H27" s="43" t="n">
        <v>0</v>
      </c>
      <c r="I27" s="43" t="b">
        <v>0</v>
      </c>
    </row>
    <row r="28">
      <c r="A28" s="43" t="inlineStr">
        <is>
          <t>CMD-0027</t>
        </is>
      </c>
      <c r="B28" s="43" t="inlineStr">
        <is>
          <t>Bioimpedance sensor</t>
        </is>
      </c>
      <c r="C28" s="43" t="inlineStr">
        <is>
          <t>Sensors</t>
        </is>
      </c>
      <c r="D28" s="43" t="inlineStr">
        <is>
          <t>S04</t>
        </is>
      </c>
      <c r="E28" s="44" t="n">
        <v>8.85</v>
      </c>
      <c r="F28" s="45" t="n">
        <v>70</v>
      </c>
      <c r="G28" s="46" t="n">
        <v>25</v>
      </c>
      <c r="H28" s="43" t="n">
        <v>0</v>
      </c>
      <c r="I28" s="43" t="b">
        <v>0</v>
      </c>
    </row>
    <row r="29">
      <c r="A29" s="43" t="inlineStr">
        <is>
          <t>CMD-0028</t>
        </is>
      </c>
      <c r="B29" s="43" t="inlineStr">
        <is>
          <t>Humidity sensor</t>
        </is>
      </c>
      <c r="C29" s="43" t="inlineStr">
        <is>
          <t>Sensors</t>
        </is>
      </c>
      <c r="D29" s="43" t="inlineStr">
        <is>
          <t>S11</t>
        </is>
      </c>
      <c r="E29" s="44" t="n">
        <v>15.84</v>
      </c>
      <c r="F29" s="45" t="n">
        <v>77</v>
      </c>
      <c r="G29" s="46" t="n">
        <v>25</v>
      </c>
      <c r="H29" s="43" t="n">
        <v>0</v>
      </c>
      <c r="I29" s="43" t="b">
        <v>0</v>
      </c>
    </row>
    <row r="30">
      <c r="A30" s="43" t="inlineStr">
        <is>
          <t>CMD-0029</t>
        </is>
      </c>
      <c r="B30" s="43" t="inlineStr">
        <is>
          <t>Drop detector</t>
        </is>
      </c>
      <c r="C30" s="43" t="inlineStr">
        <is>
          <t>Sensors</t>
        </is>
      </c>
      <c r="D30" s="43" t="inlineStr">
        <is>
          <t>S11</t>
        </is>
      </c>
      <c r="E30" s="44" t="n">
        <v>6.87</v>
      </c>
      <c r="F30" s="45" t="n">
        <v>77</v>
      </c>
      <c r="G30" s="46" t="n">
        <v>25</v>
      </c>
      <c r="H30" s="43" t="n">
        <v>0</v>
      </c>
      <c r="I30" s="43" t="b">
        <v>0</v>
      </c>
    </row>
    <row r="31">
      <c r="A31" s="43" t="inlineStr">
        <is>
          <t>CMD-0030</t>
        </is>
      </c>
      <c r="B31" s="43" t="inlineStr">
        <is>
          <t>Gyroscope MEMS</t>
        </is>
      </c>
      <c r="C31" s="43" t="inlineStr">
        <is>
          <t>Sensors</t>
        </is>
      </c>
      <c r="D31" s="43" t="inlineStr">
        <is>
          <t>S11</t>
        </is>
      </c>
      <c r="E31" s="44" t="n">
        <v>23.19</v>
      </c>
      <c r="F31" s="45" t="n">
        <v>77</v>
      </c>
      <c r="G31" s="46" t="n">
        <v>1</v>
      </c>
      <c r="H31" s="43" t="n">
        <v>0</v>
      </c>
      <c r="I31" s="43" t="b">
        <v>0</v>
      </c>
    </row>
    <row r="32">
      <c r="A32" s="43" t="inlineStr">
        <is>
          <t>CMD-0031</t>
        </is>
      </c>
      <c r="B32" s="43" t="inlineStr">
        <is>
          <t>PM-200 main board</t>
        </is>
      </c>
      <c r="C32" s="43" t="inlineStr">
        <is>
          <t>Printed circuit boards</t>
        </is>
      </c>
      <c r="D32" s="43" t="inlineStr">
        <is>
          <t>S01</t>
        </is>
      </c>
      <c r="E32" s="44" t="n">
        <v>9.69</v>
      </c>
      <c r="F32" s="45" t="n">
        <v>28</v>
      </c>
      <c r="G32" s="46" t="n">
        <v>25</v>
      </c>
      <c r="H32" s="43" t="n">
        <v>0</v>
      </c>
      <c r="I32" s="43" t="b">
        <v>0</v>
      </c>
    </row>
    <row r="33">
      <c r="A33" s="43" t="inlineStr">
        <is>
          <t>CMD-0032</t>
        </is>
      </c>
      <c r="B33" s="43" t="inlineStr">
        <is>
          <t>PM-200 power board</t>
        </is>
      </c>
      <c r="C33" s="43" t="inlineStr">
        <is>
          <t>Printed circuit boards</t>
        </is>
      </c>
      <c r="D33" s="43" t="inlineStr">
        <is>
          <t>S01</t>
        </is>
      </c>
      <c r="E33" s="44" t="n">
        <v>5.15</v>
      </c>
      <c r="F33" s="45" t="n">
        <v>28</v>
      </c>
      <c r="G33" s="46" t="n">
        <v>25</v>
      </c>
      <c r="H33" s="43" t="n">
        <v>0</v>
      </c>
      <c r="I33" s="43" t="b">
        <v>0</v>
      </c>
    </row>
    <row r="34">
      <c r="A34" s="43" t="inlineStr">
        <is>
          <t>CMD-0033</t>
        </is>
      </c>
      <c r="B34" s="43" t="inlineStr">
        <is>
          <t>ECG-W1 flex PCB</t>
        </is>
      </c>
      <c r="C34" s="43" t="inlineStr">
        <is>
          <t>Printed circuit boards</t>
        </is>
      </c>
      <c r="D34" s="43" t="inlineStr">
        <is>
          <t>S07</t>
        </is>
      </c>
      <c r="E34" s="44" t="n">
        <v>58.36</v>
      </c>
      <c r="F34" s="45" t="n">
        <v>42</v>
      </c>
      <c r="G34" s="46" t="n">
        <v>100</v>
      </c>
      <c r="H34" s="43" t="n">
        <v>0</v>
      </c>
      <c r="I34" s="43" t="b">
        <v>0</v>
      </c>
    </row>
    <row r="35">
      <c r="A35" s="43" t="inlineStr">
        <is>
          <t>CMD-0034</t>
        </is>
      </c>
      <c r="B35" s="43" t="inlineStr">
        <is>
          <t>IP-50 control board</t>
        </is>
      </c>
      <c r="C35" s="43" t="inlineStr">
        <is>
          <t>Printed circuit boards</t>
        </is>
      </c>
      <c r="D35" s="43" t="inlineStr">
        <is>
          <t>S04</t>
        </is>
      </c>
      <c r="E35" s="44" t="n">
        <v>10.55</v>
      </c>
      <c r="F35" s="45" t="n">
        <v>42</v>
      </c>
      <c r="G35" s="46" t="n">
        <v>1</v>
      </c>
      <c r="H35" s="43" t="n">
        <v>0</v>
      </c>
      <c r="I35" s="43" t="b">
        <v>0</v>
      </c>
    </row>
    <row r="36">
      <c r="A36" s="43" t="inlineStr">
        <is>
          <t>CMD-0035</t>
        </is>
      </c>
      <c r="B36" s="43" t="inlineStr">
        <is>
          <t>IP-50 motor board</t>
        </is>
      </c>
      <c r="C36" s="43" t="inlineStr">
        <is>
          <t>Printed circuit boards</t>
        </is>
      </c>
      <c r="D36" s="43" t="inlineStr">
        <is>
          <t>S01</t>
        </is>
      </c>
      <c r="E36" s="44" t="n">
        <v>9.369999999999999</v>
      </c>
      <c r="F36" s="45" t="n">
        <v>28</v>
      </c>
      <c r="G36" s="46" t="n">
        <v>50</v>
      </c>
      <c r="H36" s="43" t="n">
        <v>0</v>
      </c>
      <c r="I36" s="43" t="b">
        <v>0</v>
      </c>
    </row>
    <row r="37">
      <c r="A37" s="43" t="inlineStr">
        <is>
          <t>CMD-0036</t>
        </is>
      </c>
      <c r="B37" s="43" t="inlineStr">
        <is>
          <t>Display interface board</t>
        </is>
      </c>
      <c r="C37" s="43" t="inlineStr">
        <is>
          <t>Printed circuit boards</t>
        </is>
      </c>
      <c r="D37" s="43" t="inlineStr">
        <is>
          <t>S04</t>
        </is>
      </c>
      <c r="E37" s="44" t="n">
        <v>12.36</v>
      </c>
      <c r="F37" s="45" t="n">
        <v>42</v>
      </c>
      <c r="G37" s="46" t="n">
        <v>25</v>
      </c>
      <c r="H37" s="43" t="n">
        <v>0</v>
      </c>
      <c r="I37" s="43" t="b">
        <v>0</v>
      </c>
    </row>
    <row r="38">
      <c r="A38" s="43" t="inlineStr">
        <is>
          <t>CMD-0037</t>
        </is>
      </c>
      <c r="B38" s="43" t="inlineStr">
        <is>
          <t>Sensor daughter board</t>
        </is>
      </c>
      <c r="C38" s="43" t="inlineStr">
        <is>
          <t>Printed circuit boards</t>
        </is>
      </c>
      <c r="D38" s="43" t="inlineStr">
        <is>
          <t>S07</t>
        </is>
      </c>
      <c r="E38" s="44" t="n">
        <v>53.62</v>
      </c>
      <c r="F38" s="45" t="n">
        <v>42</v>
      </c>
      <c r="G38" s="46" t="n">
        <v>50</v>
      </c>
      <c r="H38" s="43" t="n">
        <v>0</v>
      </c>
      <c r="I38" s="43" t="b">
        <v>0</v>
      </c>
    </row>
    <row r="39">
      <c r="A39" s="43" t="inlineStr">
        <is>
          <t>CMD-0038</t>
        </is>
      </c>
      <c r="B39" s="43" t="inlineStr">
        <is>
          <t>Charging dock PCB</t>
        </is>
      </c>
      <c r="C39" s="43" t="inlineStr">
        <is>
          <t>Printed circuit boards</t>
        </is>
      </c>
      <c r="D39" s="43" t="inlineStr">
        <is>
          <t>S01</t>
        </is>
      </c>
      <c r="E39" s="44" t="n">
        <v>21.49</v>
      </c>
      <c r="F39" s="45" t="n">
        <v>28</v>
      </c>
      <c r="G39" s="46" t="n">
        <v>100</v>
      </c>
      <c r="H39" s="43" t="n">
        <v>0</v>
      </c>
      <c r="I39" s="43" t="b">
        <v>0</v>
      </c>
    </row>
    <row r="40">
      <c r="A40" s="43" t="inlineStr">
        <is>
          <t>CMD-0039</t>
        </is>
      </c>
      <c r="B40" s="43" t="inlineStr">
        <is>
          <t>Comms module PCB</t>
        </is>
      </c>
      <c r="C40" s="43" t="inlineStr">
        <is>
          <t>Printed circuit boards</t>
        </is>
      </c>
      <c r="D40" s="43" t="inlineStr">
        <is>
          <t>S07</t>
        </is>
      </c>
      <c r="E40" s="44" t="n">
        <v>51.99</v>
      </c>
      <c r="F40" s="45" t="n">
        <v>42</v>
      </c>
      <c r="G40" s="46" t="n">
        <v>1</v>
      </c>
      <c r="H40" s="43" t="n">
        <v>0</v>
      </c>
      <c r="I40" s="43" t="b">
        <v>0</v>
      </c>
    </row>
    <row r="41">
      <c r="A41" s="43" t="inlineStr">
        <is>
          <t>CMD-0040</t>
        </is>
      </c>
      <c r="B41" s="43" t="inlineStr">
        <is>
          <t>LED indicator PCB</t>
        </is>
      </c>
      <c r="C41" s="43" t="inlineStr">
        <is>
          <t>Printed circuit boards</t>
        </is>
      </c>
      <c r="D41" s="43" t="inlineStr">
        <is>
          <t>S07</t>
        </is>
      </c>
      <c r="E41" s="44" t="n">
        <v>8.960000000000001</v>
      </c>
      <c r="F41" s="45" t="n">
        <v>42</v>
      </c>
      <c r="G41" s="46" t="n">
        <v>1</v>
      </c>
      <c r="H41" s="43" t="n">
        <v>0</v>
      </c>
      <c r="I41" s="43" t="b">
        <v>0</v>
      </c>
    </row>
    <row r="42">
      <c r="A42" s="43" t="inlineStr">
        <is>
          <t>CMD-0041</t>
        </is>
      </c>
      <c r="B42" s="43" t="inlineStr">
        <is>
          <t>Li-ion 3.7V 2000mAh pack</t>
        </is>
      </c>
      <c r="C42" s="43" t="inlineStr">
        <is>
          <t>Batteries</t>
        </is>
      </c>
      <c r="D42" s="43" t="inlineStr">
        <is>
          <t>S05</t>
        </is>
      </c>
      <c r="E42" s="44" t="n">
        <v>5.63</v>
      </c>
      <c r="F42" s="45" t="n">
        <v>105</v>
      </c>
      <c r="G42" s="46" t="n">
        <v>1</v>
      </c>
      <c r="H42" s="43" t="n">
        <v>24</v>
      </c>
      <c r="I42" s="43" t="b">
        <v>1</v>
      </c>
    </row>
    <row r="43">
      <c r="A43" s="43" t="inlineStr">
        <is>
          <t>CMD-0042</t>
        </is>
      </c>
      <c r="B43" s="43" t="inlineStr">
        <is>
          <t>Li-ion 3.7V 5000mAh pack</t>
        </is>
      </c>
      <c r="C43" s="43" t="inlineStr">
        <is>
          <t>Batteries</t>
        </is>
      </c>
      <c r="D43" s="43" t="inlineStr">
        <is>
          <t>S05</t>
        </is>
      </c>
      <c r="E43" s="44" t="n">
        <v>8.91</v>
      </c>
      <c r="F43" s="45" t="n">
        <v>105</v>
      </c>
      <c r="G43" s="46" t="n">
        <v>50</v>
      </c>
      <c r="H43" s="43" t="n">
        <v>24</v>
      </c>
      <c r="I43" s="43" t="b">
        <v>1</v>
      </c>
    </row>
    <row r="44">
      <c r="A44" s="43" t="inlineStr">
        <is>
          <t>CMD-0043</t>
        </is>
      </c>
      <c r="B44" s="43" t="inlineStr">
        <is>
          <t>Coin cell CR2032</t>
        </is>
      </c>
      <c r="C44" s="43" t="inlineStr">
        <is>
          <t>Batteries</t>
        </is>
      </c>
      <c r="D44" s="43" t="inlineStr">
        <is>
          <t>S05</t>
        </is>
      </c>
      <c r="E44" s="44" t="n">
        <v>3.69</v>
      </c>
      <c r="F44" s="45" t="n">
        <v>105</v>
      </c>
      <c r="G44" s="46" t="n">
        <v>10</v>
      </c>
      <c r="H44" s="43" t="n">
        <v>24</v>
      </c>
      <c r="I44" s="43" t="b">
        <v>1</v>
      </c>
    </row>
    <row r="45">
      <c r="A45" s="43" t="inlineStr">
        <is>
          <t>CMD-0044</t>
        </is>
      </c>
      <c r="B45" s="43" t="inlineStr">
        <is>
          <t>LiPo 3.7V 180mAh pouch</t>
        </is>
      </c>
      <c r="C45" s="43" t="inlineStr">
        <is>
          <t>Batteries</t>
        </is>
      </c>
      <c r="D45" s="43" t="inlineStr">
        <is>
          <t>S05</t>
        </is>
      </c>
      <c r="E45" s="44" t="n">
        <v>11.57</v>
      </c>
      <c r="F45" s="45" t="n">
        <v>105</v>
      </c>
      <c r="G45" s="46" t="n">
        <v>1</v>
      </c>
      <c r="H45" s="43" t="n">
        <v>24</v>
      </c>
      <c r="I45" s="43" t="b">
        <v>1</v>
      </c>
    </row>
    <row r="46">
      <c r="A46" s="43" t="inlineStr">
        <is>
          <t>CMD-0045</t>
        </is>
      </c>
      <c r="B46" s="43" t="inlineStr">
        <is>
          <t>Backup NiMH 4.8V pack</t>
        </is>
      </c>
      <c r="C46" s="43" t="inlineStr">
        <is>
          <t>Batteries</t>
        </is>
      </c>
      <c r="D46" s="43" t="inlineStr">
        <is>
          <t>S05</t>
        </is>
      </c>
      <c r="E46" s="44" t="n">
        <v>8.99</v>
      </c>
      <c r="F46" s="45" t="n">
        <v>105</v>
      </c>
      <c r="G46" s="46" t="n">
        <v>25</v>
      </c>
      <c r="H46" s="43" t="n">
        <v>24</v>
      </c>
      <c r="I46" s="43" t="b">
        <v>1</v>
      </c>
    </row>
    <row r="47">
      <c r="A47" s="43" t="inlineStr">
        <is>
          <t>CMD-0046</t>
        </is>
      </c>
      <c r="B47" s="43" t="inlineStr">
        <is>
          <t>Li-ion 7.4V 3400mAh pack</t>
        </is>
      </c>
      <c r="C47" s="43" t="inlineStr">
        <is>
          <t>Batteries</t>
        </is>
      </c>
      <c r="D47" s="43" t="inlineStr">
        <is>
          <t>S05</t>
        </is>
      </c>
      <c r="E47" s="44" t="n">
        <v>10.57</v>
      </c>
      <c r="F47" s="45" t="n">
        <v>105</v>
      </c>
      <c r="G47" s="46" t="n">
        <v>50</v>
      </c>
      <c r="H47" s="43" t="n">
        <v>24</v>
      </c>
      <c r="I47" s="43" t="b">
        <v>1</v>
      </c>
    </row>
    <row r="48">
      <c r="A48" s="43" t="inlineStr">
        <is>
          <t>CMD-0047</t>
        </is>
      </c>
      <c r="B48" s="43" t="inlineStr">
        <is>
          <t>Resistor 0402 10k</t>
        </is>
      </c>
      <c r="C48" s="43" t="inlineStr">
        <is>
          <t>Passive components</t>
        </is>
      </c>
      <c r="D48" s="43" t="inlineStr">
        <is>
          <t>S04</t>
        </is>
      </c>
      <c r="E48" s="44" t="n">
        <v>0.296</v>
      </c>
      <c r="F48" s="45" t="n">
        <v>35</v>
      </c>
      <c r="G48" s="46" t="n">
        <v>5000</v>
      </c>
      <c r="H48" s="43" t="n">
        <v>0</v>
      </c>
      <c r="I48" s="43" t="b">
        <v>0</v>
      </c>
    </row>
    <row r="49">
      <c r="A49" s="43" t="inlineStr">
        <is>
          <t>CMD-0048</t>
        </is>
      </c>
      <c r="B49" s="43" t="inlineStr">
        <is>
          <t>Resistor 0402 100R</t>
        </is>
      </c>
      <c r="C49" s="43" t="inlineStr">
        <is>
          <t>Passive components</t>
        </is>
      </c>
      <c r="D49" s="43" t="inlineStr">
        <is>
          <t>S10</t>
        </is>
      </c>
      <c r="E49" s="44" t="n">
        <v>0.3231</v>
      </c>
      <c r="F49" s="45" t="n">
        <v>28</v>
      </c>
      <c r="G49" s="46" t="n">
        <v>50</v>
      </c>
      <c r="H49" s="43" t="n">
        <v>0</v>
      </c>
      <c r="I49" s="43" t="b">
        <v>0</v>
      </c>
    </row>
    <row r="50">
      <c r="A50" s="43" t="inlineStr">
        <is>
          <t>CMD-0049</t>
        </is>
      </c>
      <c r="B50" s="43" t="inlineStr">
        <is>
          <t>Resistor 0603 4k7</t>
        </is>
      </c>
      <c r="C50" s="43" t="inlineStr">
        <is>
          <t>Passive components</t>
        </is>
      </c>
      <c r="D50" s="43" t="inlineStr">
        <is>
          <t>S10</t>
        </is>
      </c>
      <c r="E50" s="44" t="n">
        <v>0.1056</v>
      </c>
      <c r="F50" s="45" t="n">
        <v>28</v>
      </c>
      <c r="G50" s="46" t="n">
        <v>1000</v>
      </c>
      <c r="H50" s="43" t="n">
        <v>0</v>
      </c>
      <c r="I50" s="43" t="b">
        <v>0</v>
      </c>
    </row>
    <row r="51">
      <c r="A51" s="43" t="inlineStr">
        <is>
          <t>CMD-0050</t>
        </is>
      </c>
      <c r="B51" s="43" t="inlineStr">
        <is>
          <t>Resistor 0603 1M</t>
        </is>
      </c>
      <c r="C51" s="43" t="inlineStr">
        <is>
          <t>Passive components</t>
        </is>
      </c>
      <c r="D51" s="43" t="inlineStr">
        <is>
          <t>S10</t>
        </is>
      </c>
      <c r="E51" s="44" t="n">
        <v>0.075</v>
      </c>
      <c r="F51" s="45" t="n">
        <v>28</v>
      </c>
      <c r="G51" s="46" t="n">
        <v>250</v>
      </c>
      <c r="H51" s="43" t="n">
        <v>0</v>
      </c>
      <c r="I51" s="43" t="b">
        <v>0</v>
      </c>
    </row>
    <row r="52">
      <c r="A52" s="43" t="inlineStr">
        <is>
          <t>CMD-0051</t>
        </is>
      </c>
      <c r="B52" s="43" t="inlineStr">
        <is>
          <t>Capacitor 0402 100nF</t>
        </is>
      </c>
      <c r="C52" s="43" t="inlineStr">
        <is>
          <t>Passive components</t>
        </is>
      </c>
      <c r="D52" s="43" t="inlineStr">
        <is>
          <t>S01</t>
        </is>
      </c>
      <c r="E52" s="44" t="n">
        <v>0.0236</v>
      </c>
      <c r="F52" s="45" t="n">
        <v>21</v>
      </c>
      <c r="G52" s="46" t="n">
        <v>5000</v>
      </c>
      <c r="H52" s="43" t="n">
        <v>0</v>
      </c>
      <c r="I52" s="43" t="b">
        <v>0</v>
      </c>
    </row>
    <row r="53">
      <c r="A53" s="43" t="inlineStr">
        <is>
          <t>CMD-0052</t>
        </is>
      </c>
      <c r="B53" s="43" t="inlineStr">
        <is>
          <t>Capacitor 0402 10pF</t>
        </is>
      </c>
      <c r="C53" s="43" t="inlineStr">
        <is>
          <t>Passive components</t>
        </is>
      </c>
      <c r="D53" s="43" t="inlineStr">
        <is>
          <t>S01</t>
        </is>
      </c>
      <c r="E53" s="44" t="n">
        <v>0.2016</v>
      </c>
      <c r="F53" s="45" t="n">
        <v>21</v>
      </c>
      <c r="G53" s="46" t="n">
        <v>250</v>
      </c>
      <c r="H53" s="43" t="n">
        <v>0</v>
      </c>
      <c r="I53" s="43" t="b">
        <v>0</v>
      </c>
    </row>
    <row r="54">
      <c r="A54" s="43" t="inlineStr">
        <is>
          <t>CMD-0053</t>
        </is>
      </c>
      <c r="B54" s="43" t="inlineStr">
        <is>
          <t>Capacitor 0603 1uF</t>
        </is>
      </c>
      <c r="C54" s="43" t="inlineStr">
        <is>
          <t>Passive components</t>
        </is>
      </c>
      <c r="D54" s="43" t="inlineStr">
        <is>
          <t>S04</t>
        </is>
      </c>
      <c r="E54" s="44" t="n">
        <v>0.0968</v>
      </c>
      <c r="F54" s="45" t="n">
        <v>35</v>
      </c>
      <c r="G54" s="46" t="n">
        <v>1</v>
      </c>
      <c r="H54" s="43" t="n">
        <v>0</v>
      </c>
      <c r="I54" s="43" t="b">
        <v>0</v>
      </c>
    </row>
    <row r="55">
      <c r="A55" s="43" t="inlineStr">
        <is>
          <t>CMD-0054</t>
        </is>
      </c>
      <c r="B55" s="43" t="inlineStr">
        <is>
          <t>Capacitor 0805 10uF</t>
        </is>
      </c>
      <c r="C55" s="43" t="inlineStr">
        <is>
          <t>Passive components</t>
        </is>
      </c>
      <c r="D55" s="43" t="inlineStr">
        <is>
          <t>S10</t>
        </is>
      </c>
      <c r="E55" s="44" t="n">
        <v>0.1687</v>
      </c>
      <c r="F55" s="45" t="n">
        <v>28</v>
      </c>
      <c r="G55" s="46" t="n">
        <v>100</v>
      </c>
      <c r="H55" s="43" t="n">
        <v>0</v>
      </c>
      <c r="I55" s="43" t="b">
        <v>0</v>
      </c>
    </row>
    <row r="56">
      <c r="A56" s="43" t="inlineStr">
        <is>
          <t>CMD-0055</t>
        </is>
      </c>
      <c r="B56" s="43" t="inlineStr">
        <is>
          <t>Capacitor 1206 47uF</t>
        </is>
      </c>
      <c r="C56" s="43" t="inlineStr">
        <is>
          <t>Passive components</t>
        </is>
      </c>
      <c r="D56" s="43" t="inlineStr">
        <is>
          <t>S04</t>
        </is>
      </c>
      <c r="E56" s="44" t="n">
        <v>0.09379999999999999</v>
      </c>
      <c r="F56" s="45" t="n">
        <v>35</v>
      </c>
      <c r="G56" s="46" t="n">
        <v>1</v>
      </c>
      <c r="H56" s="43" t="n">
        <v>0</v>
      </c>
      <c r="I56" s="43" t="b">
        <v>0</v>
      </c>
    </row>
    <row r="57">
      <c r="A57" s="43" t="inlineStr">
        <is>
          <t>CMD-0056</t>
        </is>
      </c>
      <c r="B57" s="43" t="inlineStr">
        <is>
          <t>Inductor 0805 2.2uH</t>
        </is>
      </c>
      <c r="C57" s="43" t="inlineStr">
        <is>
          <t>Passive components</t>
        </is>
      </c>
      <c r="D57" s="43" t="inlineStr">
        <is>
          <t>S04</t>
        </is>
      </c>
      <c r="E57" s="44" t="n">
        <v>0.1015</v>
      </c>
      <c r="F57" s="45" t="n">
        <v>35</v>
      </c>
      <c r="G57" s="46" t="n">
        <v>5000</v>
      </c>
      <c r="H57" s="43" t="n">
        <v>0</v>
      </c>
      <c r="I57" s="43" t="b">
        <v>0</v>
      </c>
    </row>
    <row r="58">
      <c r="A58" s="43" t="inlineStr">
        <is>
          <t>CMD-0057</t>
        </is>
      </c>
      <c r="B58" s="43" t="inlineStr">
        <is>
          <t>Inductor 1210 10uH</t>
        </is>
      </c>
      <c r="C58" s="43" t="inlineStr">
        <is>
          <t>Passive components</t>
        </is>
      </c>
      <c r="D58" s="43" t="inlineStr">
        <is>
          <t>S01</t>
        </is>
      </c>
      <c r="E58" s="44" t="n">
        <v>0.1124</v>
      </c>
      <c r="F58" s="45" t="n">
        <v>21</v>
      </c>
      <c r="G58" s="46" t="n">
        <v>50</v>
      </c>
      <c r="H58" s="43" t="n">
        <v>0</v>
      </c>
      <c r="I58" s="43" t="b">
        <v>0</v>
      </c>
    </row>
    <row r="59">
      <c r="A59" s="43" t="inlineStr">
        <is>
          <t>CMD-0058</t>
        </is>
      </c>
      <c r="B59" s="43" t="inlineStr">
        <is>
          <t>Ferrite bead 0603 600R</t>
        </is>
      </c>
      <c r="C59" s="43" t="inlineStr">
        <is>
          <t>Passive components</t>
        </is>
      </c>
      <c r="D59" s="43" t="inlineStr">
        <is>
          <t>S04</t>
        </is>
      </c>
      <c r="E59" s="44" t="n">
        <v>0.1178</v>
      </c>
      <c r="F59" s="45" t="n">
        <v>35</v>
      </c>
      <c r="G59" s="46" t="n">
        <v>100</v>
      </c>
      <c r="H59" s="43" t="n">
        <v>0</v>
      </c>
      <c r="I59" s="43" t="b">
        <v>0</v>
      </c>
    </row>
    <row r="60">
      <c r="A60" s="43" t="inlineStr">
        <is>
          <t>CMD-0059</t>
        </is>
      </c>
      <c r="B60" s="43" t="inlineStr">
        <is>
          <t>TVS diode SMBJ5.0</t>
        </is>
      </c>
      <c r="C60" s="43" t="inlineStr">
        <is>
          <t>Passive components</t>
        </is>
      </c>
      <c r="D60" s="43" t="inlineStr">
        <is>
          <t>S01</t>
        </is>
      </c>
      <c r="E60" s="44" t="n">
        <v>0.0281</v>
      </c>
      <c r="F60" s="45" t="n">
        <v>21</v>
      </c>
      <c r="G60" s="46" t="n">
        <v>1</v>
      </c>
      <c r="H60" s="43" t="n">
        <v>0</v>
      </c>
      <c r="I60" s="43" t="b">
        <v>0</v>
      </c>
    </row>
    <row r="61">
      <c r="A61" s="43" t="inlineStr">
        <is>
          <t>CMD-0060</t>
        </is>
      </c>
      <c r="B61" s="43" t="inlineStr">
        <is>
          <t>Schottky diode SS34</t>
        </is>
      </c>
      <c r="C61" s="43" t="inlineStr">
        <is>
          <t>Passive components</t>
        </is>
      </c>
      <c r="D61" s="43" t="inlineStr">
        <is>
          <t>S04</t>
        </is>
      </c>
      <c r="E61" s="44" t="n">
        <v>0.0136</v>
      </c>
      <c r="F61" s="45" t="n">
        <v>35</v>
      </c>
      <c r="G61" s="46" t="n">
        <v>1</v>
      </c>
      <c r="H61" s="43" t="n">
        <v>0</v>
      </c>
      <c r="I61" s="43" t="b">
        <v>0</v>
      </c>
    </row>
    <row r="62">
      <c r="A62" s="43" t="inlineStr">
        <is>
          <t>CMD-0061</t>
        </is>
      </c>
      <c r="B62" s="43" t="inlineStr">
        <is>
          <t>Zener diode 3.3V</t>
        </is>
      </c>
      <c r="C62" s="43" t="inlineStr">
        <is>
          <t>Passive components</t>
        </is>
      </c>
      <c r="D62" s="43" t="inlineStr">
        <is>
          <t>S01</t>
        </is>
      </c>
      <c r="E62" s="44" t="n">
        <v>0.0235</v>
      </c>
      <c r="F62" s="45" t="n">
        <v>21</v>
      </c>
      <c r="G62" s="46" t="n">
        <v>250</v>
      </c>
      <c r="H62" s="43" t="n">
        <v>0</v>
      </c>
      <c r="I62" s="43" t="b">
        <v>0</v>
      </c>
    </row>
    <row r="63">
      <c r="A63" s="43" t="inlineStr">
        <is>
          <t>CMD-0062</t>
        </is>
      </c>
      <c r="B63" s="43" t="inlineStr">
        <is>
          <t>LED 0603 green</t>
        </is>
      </c>
      <c r="C63" s="43" t="inlineStr">
        <is>
          <t>Passive components</t>
        </is>
      </c>
      <c r="D63" s="43" t="inlineStr">
        <is>
          <t>S01</t>
        </is>
      </c>
      <c r="E63" s="44" t="n">
        <v>0.1139</v>
      </c>
      <c r="F63" s="45" t="n">
        <v>21</v>
      </c>
      <c r="G63" s="46" t="n">
        <v>250</v>
      </c>
      <c r="H63" s="43" t="n">
        <v>0</v>
      </c>
      <c r="I63" s="43" t="b">
        <v>0</v>
      </c>
    </row>
    <row r="64">
      <c r="A64" s="43" t="inlineStr">
        <is>
          <t>CMD-0063</t>
        </is>
      </c>
      <c r="B64" s="43" t="inlineStr">
        <is>
          <t>LED 0603 red</t>
        </is>
      </c>
      <c r="C64" s="43" t="inlineStr">
        <is>
          <t>Passive components</t>
        </is>
      </c>
      <c r="D64" s="43" t="inlineStr">
        <is>
          <t>S01</t>
        </is>
      </c>
      <c r="E64" s="44" t="n">
        <v>0.0371</v>
      </c>
      <c r="F64" s="45" t="n">
        <v>21</v>
      </c>
      <c r="G64" s="46" t="n">
        <v>5000</v>
      </c>
      <c r="H64" s="43" t="n">
        <v>0</v>
      </c>
      <c r="I64" s="43" t="b">
        <v>0</v>
      </c>
    </row>
    <row r="65">
      <c r="A65" s="43" t="inlineStr">
        <is>
          <t>CMD-0064</t>
        </is>
      </c>
      <c r="B65" s="43" t="inlineStr">
        <is>
          <t>Crystal 32.768kHz</t>
        </is>
      </c>
      <c r="C65" s="43" t="inlineStr">
        <is>
          <t>Passive components</t>
        </is>
      </c>
      <c r="D65" s="43" t="inlineStr">
        <is>
          <t>S01</t>
        </is>
      </c>
      <c r="E65" s="44" t="n">
        <v>0.0318</v>
      </c>
      <c r="F65" s="45" t="n">
        <v>21</v>
      </c>
      <c r="G65" s="46" t="n">
        <v>50</v>
      </c>
      <c r="H65" s="43" t="n">
        <v>0</v>
      </c>
      <c r="I65" s="43" t="b">
        <v>0</v>
      </c>
    </row>
    <row r="66">
      <c r="A66" s="43" t="inlineStr">
        <is>
          <t>CMD-0065</t>
        </is>
      </c>
      <c r="B66" s="43" t="inlineStr">
        <is>
          <t>Crystal 16MHz</t>
        </is>
      </c>
      <c r="C66" s="43" t="inlineStr">
        <is>
          <t>Passive components</t>
        </is>
      </c>
      <c r="D66" s="43" t="inlineStr">
        <is>
          <t>S10</t>
        </is>
      </c>
      <c r="E66" s="44" t="n">
        <v>0.1155</v>
      </c>
      <c r="F66" s="45" t="n">
        <v>28</v>
      </c>
      <c r="G66" s="46" t="n">
        <v>1</v>
      </c>
      <c r="H66" s="43" t="n">
        <v>0</v>
      </c>
      <c r="I66" s="43" t="b">
        <v>0</v>
      </c>
    </row>
    <row r="67">
      <c r="A67" s="43" t="inlineStr">
        <is>
          <t>CMD-0066</t>
        </is>
      </c>
      <c r="B67" s="43" t="inlineStr">
        <is>
          <t>MOSFET N-ch 30V</t>
        </is>
      </c>
      <c r="C67" s="43" t="inlineStr">
        <is>
          <t>Passive components</t>
        </is>
      </c>
      <c r="D67" s="43" t="inlineStr">
        <is>
          <t>S10</t>
        </is>
      </c>
      <c r="E67" s="44" t="n">
        <v>0.0573</v>
      </c>
      <c r="F67" s="45" t="n">
        <v>28</v>
      </c>
      <c r="G67" s="46" t="n">
        <v>1000</v>
      </c>
      <c r="H67" s="43" t="n">
        <v>0</v>
      </c>
      <c r="I67" s="43" t="b">
        <v>0</v>
      </c>
    </row>
    <row r="68">
      <c r="A68" s="43" t="inlineStr">
        <is>
          <t>CMD-0067</t>
        </is>
      </c>
      <c r="B68" s="43" t="inlineStr">
        <is>
          <t>MOSFET P-ch 20V</t>
        </is>
      </c>
      <c r="C68" s="43" t="inlineStr">
        <is>
          <t>Passive components</t>
        </is>
      </c>
      <c r="D68" s="43" t="inlineStr">
        <is>
          <t>S04</t>
        </is>
      </c>
      <c r="E68" s="44" t="n">
        <v>0.3432</v>
      </c>
      <c r="F68" s="45" t="n">
        <v>35</v>
      </c>
      <c r="G68" s="46" t="n">
        <v>250</v>
      </c>
      <c r="H68" s="43" t="n">
        <v>0</v>
      </c>
      <c r="I68" s="43" t="b">
        <v>0</v>
      </c>
    </row>
    <row r="69">
      <c r="A69" s="43" t="inlineStr">
        <is>
          <t>CMD-0068</t>
        </is>
      </c>
      <c r="B69" s="43" t="inlineStr">
        <is>
          <t>Fuse 0603 500mA</t>
        </is>
      </c>
      <c r="C69" s="43" t="inlineStr">
        <is>
          <t>Passive components</t>
        </is>
      </c>
      <c r="D69" s="43" t="inlineStr">
        <is>
          <t>S01</t>
        </is>
      </c>
      <c r="E69" s="44" t="n">
        <v>0.1562</v>
      </c>
      <c r="F69" s="45" t="n">
        <v>21</v>
      </c>
      <c r="G69" s="46" t="n">
        <v>1000</v>
      </c>
      <c r="H69" s="43" t="n">
        <v>0</v>
      </c>
      <c r="I69" s="43" t="b">
        <v>0</v>
      </c>
    </row>
    <row r="70">
      <c r="A70" s="43" t="inlineStr">
        <is>
          <t>CMD-0069</t>
        </is>
      </c>
      <c r="B70" s="43" t="inlineStr">
        <is>
          <t>Thermistor NTC 10k</t>
        </is>
      </c>
      <c r="C70" s="43" t="inlineStr">
        <is>
          <t>Passive components</t>
        </is>
      </c>
      <c r="D70" s="43" t="inlineStr">
        <is>
          <t>S04</t>
        </is>
      </c>
      <c r="E70" s="44" t="n">
        <v>0.0222</v>
      </c>
      <c r="F70" s="45" t="n">
        <v>35</v>
      </c>
      <c r="G70" s="46" t="n">
        <v>5000</v>
      </c>
      <c r="H70" s="43" t="n">
        <v>0</v>
      </c>
      <c r="I70" s="43" t="b">
        <v>0</v>
      </c>
    </row>
    <row r="71">
      <c r="A71" s="43" t="inlineStr">
        <is>
          <t>CMD-0070</t>
        </is>
      </c>
      <c r="B71" s="43" t="inlineStr">
        <is>
          <t>Resistor 0402 1k</t>
        </is>
      </c>
      <c r="C71" s="43" t="inlineStr">
        <is>
          <t>Passive components</t>
        </is>
      </c>
      <c r="D71" s="43" t="inlineStr">
        <is>
          <t>S04</t>
        </is>
      </c>
      <c r="E71" s="44" t="n">
        <v>0.141</v>
      </c>
      <c r="F71" s="45" t="n">
        <v>35</v>
      </c>
      <c r="G71" s="46" t="n">
        <v>250</v>
      </c>
      <c r="H71" s="43" t="n">
        <v>0</v>
      </c>
      <c r="I71" s="43" t="b">
        <v>0</v>
      </c>
    </row>
    <row r="72">
      <c r="A72" s="43" t="inlineStr">
        <is>
          <t>CMD-0071</t>
        </is>
      </c>
      <c r="B72" s="43" t="inlineStr">
        <is>
          <t>Capacitor 0402 1nF</t>
        </is>
      </c>
      <c r="C72" s="43" t="inlineStr">
        <is>
          <t>Passive components</t>
        </is>
      </c>
      <c r="D72" s="43" t="inlineStr">
        <is>
          <t>S01</t>
        </is>
      </c>
      <c r="E72" s="44" t="n">
        <v>0.0355</v>
      </c>
      <c r="F72" s="45" t="n">
        <v>21</v>
      </c>
      <c r="G72" s="46" t="n">
        <v>5000</v>
      </c>
      <c r="H72" s="43" t="n">
        <v>0</v>
      </c>
      <c r="I72" s="43" t="b">
        <v>0</v>
      </c>
    </row>
    <row r="73">
      <c r="A73" s="43" t="inlineStr">
        <is>
          <t>CMD-0072</t>
        </is>
      </c>
      <c r="B73" s="43" t="inlineStr">
        <is>
          <t>Resistor 0603 22R</t>
        </is>
      </c>
      <c r="C73" s="43" t="inlineStr">
        <is>
          <t>Passive components</t>
        </is>
      </c>
      <c r="D73" s="43" t="inlineStr">
        <is>
          <t>S01</t>
        </is>
      </c>
      <c r="E73" s="44" t="n">
        <v>0.093</v>
      </c>
      <c r="F73" s="45" t="n">
        <v>21</v>
      </c>
      <c r="G73" s="46" t="n">
        <v>1000</v>
      </c>
      <c r="H73" s="43" t="n">
        <v>0</v>
      </c>
      <c r="I73" s="43" t="b">
        <v>0</v>
      </c>
    </row>
    <row r="74">
      <c r="A74" s="43" t="inlineStr">
        <is>
          <t>CMD-0073</t>
        </is>
      </c>
      <c r="B74" s="43" t="inlineStr">
        <is>
          <t>Capacitor 0603 4.7uF</t>
        </is>
      </c>
      <c r="C74" s="43" t="inlineStr">
        <is>
          <t>Passive components</t>
        </is>
      </c>
      <c r="D74" s="43" t="inlineStr">
        <is>
          <t>S04</t>
        </is>
      </c>
      <c r="E74" s="44" t="n">
        <v>0.0146</v>
      </c>
      <c r="F74" s="45" t="n">
        <v>35</v>
      </c>
      <c r="G74" s="46" t="n">
        <v>100</v>
      </c>
      <c r="H74" s="43" t="n">
        <v>0</v>
      </c>
      <c r="I74" s="43" t="b">
        <v>0</v>
      </c>
    </row>
    <row r="75">
      <c r="A75" s="43" t="inlineStr">
        <is>
          <t>CMD-0074</t>
        </is>
      </c>
      <c r="B75" s="43" t="inlineStr">
        <is>
          <t>Varistor 14V</t>
        </is>
      </c>
      <c r="C75" s="43" t="inlineStr">
        <is>
          <t>Passive components</t>
        </is>
      </c>
      <c r="D75" s="43" t="inlineStr">
        <is>
          <t>S10</t>
        </is>
      </c>
      <c r="E75" s="44" t="n">
        <v>0.3496</v>
      </c>
      <c r="F75" s="45" t="n">
        <v>28</v>
      </c>
      <c r="G75" s="46" t="n">
        <v>100</v>
      </c>
      <c r="H75" s="43" t="n">
        <v>0</v>
      </c>
      <c r="I75" s="43" t="b">
        <v>0</v>
      </c>
    </row>
    <row r="76">
      <c r="A76" s="43" t="inlineStr">
        <is>
          <t>CMD-0075</t>
        </is>
      </c>
      <c r="B76" s="43" t="inlineStr">
        <is>
          <t>BJT NPN SOT-23</t>
        </is>
      </c>
      <c r="C76" s="43" t="inlineStr">
        <is>
          <t>Passive components</t>
        </is>
      </c>
      <c r="D76" s="43" t="inlineStr">
        <is>
          <t>S10</t>
        </is>
      </c>
      <c r="E76" s="44" t="n">
        <v>0.0152</v>
      </c>
      <c r="F76" s="45" t="n">
        <v>28</v>
      </c>
      <c r="G76" s="46" t="n">
        <v>50</v>
      </c>
      <c r="H76" s="43" t="n">
        <v>0</v>
      </c>
      <c r="I76" s="43" t="b">
        <v>0</v>
      </c>
    </row>
    <row r="77">
      <c r="A77" s="43" t="inlineStr">
        <is>
          <t>CMD-0076</t>
        </is>
      </c>
      <c r="B77" s="43" t="inlineStr">
        <is>
          <t>Resistor array 4x10k</t>
        </is>
      </c>
      <c r="C77" s="43" t="inlineStr">
        <is>
          <t>Passive components</t>
        </is>
      </c>
      <c r="D77" s="43" t="inlineStr">
        <is>
          <t>S04</t>
        </is>
      </c>
      <c r="E77" s="44" t="n">
        <v>0.0145</v>
      </c>
      <c r="F77" s="45" t="n">
        <v>35</v>
      </c>
      <c r="G77" s="46" t="n">
        <v>100</v>
      </c>
      <c r="H77" s="43" t="n">
        <v>0</v>
      </c>
      <c r="I77" s="43" t="b">
        <v>0</v>
      </c>
    </row>
    <row r="78">
      <c r="A78" s="43" t="inlineStr">
        <is>
          <t>CMD-0077</t>
        </is>
      </c>
      <c r="B78" s="43" t="inlineStr">
        <is>
          <t>USB-C receptacle</t>
        </is>
      </c>
      <c r="C78" s="43" t="inlineStr">
        <is>
          <t>Connectors &amp; cables</t>
        </is>
      </c>
      <c r="D78" s="43" t="inlineStr">
        <is>
          <t>S01</t>
        </is>
      </c>
      <c r="E78" s="44" t="n">
        <v>8.75</v>
      </c>
      <c r="F78" s="45" t="n">
        <v>14</v>
      </c>
      <c r="G78" s="46" t="n">
        <v>10</v>
      </c>
      <c r="H78" s="43" t="n">
        <v>0</v>
      </c>
      <c r="I78" s="43" t="b">
        <v>0</v>
      </c>
    </row>
    <row r="79">
      <c r="A79" s="43" t="inlineStr">
        <is>
          <t>CMD-0078</t>
        </is>
      </c>
      <c r="B79" s="43" t="inlineStr">
        <is>
          <t>ECG lead wire set</t>
        </is>
      </c>
      <c r="C79" s="43" t="inlineStr">
        <is>
          <t>Connectors &amp; cables</t>
        </is>
      </c>
      <c r="D79" s="43" t="inlineStr">
        <is>
          <t>S06</t>
        </is>
      </c>
      <c r="E79" s="44" t="n">
        <v>2.6</v>
      </c>
      <c r="F79" s="45" t="n">
        <v>21</v>
      </c>
      <c r="G79" s="46" t="n">
        <v>10</v>
      </c>
      <c r="H79" s="43" t="n">
        <v>0</v>
      </c>
      <c r="I79" s="43" t="b">
        <v>0</v>
      </c>
    </row>
    <row r="80">
      <c r="A80" s="43" t="inlineStr">
        <is>
          <t>CMD-0079</t>
        </is>
      </c>
      <c r="B80" s="43" t="inlineStr">
        <is>
          <t>SpO2 extension cable</t>
        </is>
      </c>
      <c r="C80" s="43" t="inlineStr">
        <is>
          <t>Connectors &amp; cables</t>
        </is>
      </c>
      <c r="D80" s="43" t="inlineStr">
        <is>
          <t>S06</t>
        </is>
      </c>
      <c r="E80" s="44" t="n">
        <v>3.53</v>
      </c>
      <c r="F80" s="45" t="n">
        <v>21</v>
      </c>
      <c r="G80" s="46" t="n">
        <v>10</v>
      </c>
      <c r="H80" s="43" t="n">
        <v>0</v>
      </c>
      <c r="I80" s="43" t="b">
        <v>0</v>
      </c>
    </row>
    <row r="81">
      <c r="A81" s="43" t="inlineStr">
        <is>
          <t>CMD-0080</t>
        </is>
      </c>
      <c r="B81" s="43" t="inlineStr">
        <is>
          <t>Board-to-board connector</t>
        </is>
      </c>
      <c r="C81" s="43" t="inlineStr">
        <is>
          <t>Connectors &amp; cables</t>
        </is>
      </c>
      <c r="D81" s="43" t="inlineStr">
        <is>
          <t>S06</t>
        </is>
      </c>
      <c r="E81" s="44" t="n">
        <v>5.53</v>
      </c>
      <c r="F81" s="45" t="n">
        <v>21</v>
      </c>
      <c r="G81" s="46" t="n">
        <v>1</v>
      </c>
      <c r="H81" s="43" t="n">
        <v>0</v>
      </c>
      <c r="I81" s="43" t="b">
        <v>0</v>
      </c>
    </row>
    <row r="82">
      <c r="A82" s="43" t="inlineStr">
        <is>
          <t>CMD-0081</t>
        </is>
      </c>
      <c r="B82" s="43" t="inlineStr">
        <is>
          <t>FPC connector 24-pin</t>
        </is>
      </c>
      <c r="C82" s="43" t="inlineStr">
        <is>
          <t>Connectors &amp; cables</t>
        </is>
      </c>
      <c r="D82" s="43" t="inlineStr">
        <is>
          <t>S06</t>
        </is>
      </c>
      <c r="E82" s="44" t="n">
        <v>0.5907</v>
      </c>
      <c r="F82" s="45" t="n">
        <v>21</v>
      </c>
      <c r="G82" s="46" t="n">
        <v>100</v>
      </c>
      <c r="H82" s="43" t="n">
        <v>0</v>
      </c>
      <c r="I82" s="43" t="b">
        <v>0</v>
      </c>
    </row>
    <row r="83">
      <c r="A83" s="43" t="inlineStr">
        <is>
          <t>CMD-0082</t>
        </is>
      </c>
      <c r="B83" s="43" t="inlineStr">
        <is>
          <t>DC barrel jack</t>
        </is>
      </c>
      <c r="C83" s="43" t="inlineStr">
        <is>
          <t>Connectors &amp; cables</t>
        </is>
      </c>
      <c r="D83" s="43" t="inlineStr">
        <is>
          <t>S01</t>
        </is>
      </c>
      <c r="E83" s="44" t="n">
        <v>2.32</v>
      </c>
      <c r="F83" s="45" t="n">
        <v>14</v>
      </c>
      <c r="G83" s="46" t="n">
        <v>50</v>
      </c>
      <c r="H83" s="43" t="n">
        <v>0</v>
      </c>
      <c r="I83" s="43" t="b">
        <v>0</v>
      </c>
    </row>
    <row r="84">
      <c r="A84" s="43" t="inlineStr">
        <is>
          <t>CMD-0083</t>
        </is>
      </c>
      <c r="B84" s="43" t="inlineStr">
        <is>
          <t>Mains power cord EU</t>
        </is>
      </c>
      <c r="C84" s="43" t="inlineStr">
        <is>
          <t>Connectors &amp; cables</t>
        </is>
      </c>
      <c r="D84" s="43" t="inlineStr">
        <is>
          <t>S06</t>
        </is>
      </c>
      <c r="E84" s="44" t="n">
        <v>0.7288</v>
      </c>
      <c r="F84" s="45" t="n">
        <v>21</v>
      </c>
      <c r="G84" s="46" t="n">
        <v>100</v>
      </c>
      <c r="H84" s="43" t="n">
        <v>0</v>
      </c>
      <c r="I84" s="43" t="b">
        <v>0</v>
      </c>
    </row>
    <row r="85">
      <c r="A85" s="43" t="inlineStr">
        <is>
          <t>CMD-0084</t>
        </is>
      </c>
      <c r="B85" s="43" t="inlineStr">
        <is>
          <t>Mains power cord UK</t>
        </is>
      </c>
      <c r="C85" s="43" t="inlineStr">
        <is>
          <t>Connectors &amp; cables</t>
        </is>
      </c>
      <c r="D85" s="43" t="inlineStr">
        <is>
          <t>S06</t>
        </is>
      </c>
      <c r="E85" s="44" t="n">
        <v>1.15</v>
      </c>
      <c r="F85" s="45" t="n">
        <v>21</v>
      </c>
      <c r="G85" s="46" t="n">
        <v>50</v>
      </c>
      <c r="H85" s="43" t="n">
        <v>0</v>
      </c>
      <c r="I85" s="43" t="b">
        <v>0</v>
      </c>
    </row>
    <row r="86">
      <c r="A86" s="43" t="inlineStr">
        <is>
          <t>CMD-0085</t>
        </is>
      </c>
      <c r="B86" s="43" t="inlineStr">
        <is>
          <t>Wire harness PM-200</t>
        </is>
      </c>
      <c r="C86" s="43" t="inlineStr">
        <is>
          <t>Connectors &amp; cables</t>
        </is>
      </c>
      <c r="D86" s="43" t="inlineStr">
        <is>
          <t>S06</t>
        </is>
      </c>
      <c r="E86" s="44" t="n">
        <v>10.56</v>
      </c>
      <c r="F86" s="45" t="n">
        <v>21</v>
      </c>
      <c r="G86" s="46" t="n">
        <v>1</v>
      </c>
      <c r="H86" s="43" t="n">
        <v>0</v>
      </c>
      <c r="I86" s="43" t="b">
        <v>0</v>
      </c>
    </row>
    <row r="87">
      <c r="A87" s="43" t="inlineStr">
        <is>
          <t>CMD-0086</t>
        </is>
      </c>
      <c r="B87" s="43" t="inlineStr">
        <is>
          <t>Wire harness IP-50</t>
        </is>
      </c>
      <c r="C87" s="43" t="inlineStr">
        <is>
          <t>Connectors &amp; cables</t>
        </is>
      </c>
      <c r="D87" s="43" t="inlineStr">
        <is>
          <t>S01</t>
        </is>
      </c>
      <c r="E87" s="44" t="n">
        <v>0.4679</v>
      </c>
      <c r="F87" s="45" t="n">
        <v>14</v>
      </c>
      <c r="G87" s="46" t="n">
        <v>1</v>
      </c>
      <c r="H87" s="43" t="n">
        <v>0</v>
      </c>
      <c r="I87" s="43" t="b">
        <v>0</v>
      </c>
    </row>
    <row r="88">
      <c r="A88" s="43" t="inlineStr">
        <is>
          <t>CMD-0087</t>
        </is>
      </c>
      <c r="B88" s="43" t="inlineStr">
        <is>
          <t>Snap electrode connector</t>
        </is>
      </c>
      <c r="C88" s="43" t="inlineStr">
        <is>
          <t>Connectors &amp; cables</t>
        </is>
      </c>
      <c r="D88" s="43" t="inlineStr">
        <is>
          <t>S01</t>
        </is>
      </c>
      <c r="E88" s="44" t="n">
        <v>0.6458</v>
      </c>
      <c r="F88" s="45" t="n">
        <v>14</v>
      </c>
      <c r="G88" s="46" t="n">
        <v>100</v>
      </c>
      <c r="H88" s="43" t="n">
        <v>0</v>
      </c>
      <c r="I88" s="43" t="b">
        <v>0</v>
      </c>
    </row>
    <row r="89">
      <c r="A89" s="43" t="inlineStr">
        <is>
          <t>CMD-0088</t>
        </is>
      </c>
      <c r="B89" s="43" t="inlineStr">
        <is>
          <t>Pogo pin connector</t>
        </is>
      </c>
      <c r="C89" s="43" t="inlineStr">
        <is>
          <t>Connectors &amp; cables</t>
        </is>
      </c>
      <c r="D89" s="43" t="inlineStr">
        <is>
          <t>S06</t>
        </is>
      </c>
      <c r="E89" s="44" t="n">
        <v>2.43</v>
      </c>
      <c r="F89" s="45" t="n">
        <v>21</v>
      </c>
      <c r="G89" s="46" t="n">
        <v>10</v>
      </c>
      <c r="H89" s="43" t="n">
        <v>0</v>
      </c>
      <c r="I89" s="43" t="b">
        <v>0</v>
      </c>
    </row>
    <row r="90">
      <c r="A90" s="43" t="inlineStr">
        <is>
          <t>CMD-0089</t>
        </is>
      </c>
      <c r="B90" s="43" t="inlineStr">
        <is>
          <t>RJ45 jack</t>
        </is>
      </c>
      <c r="C90" s="43" t="inlineStr">
        <is>
          <t>Connectors &amp; cables</t>
        </is>
      </c>
      <c r="D90" s="43" t="inlineStr">
        <is>
          <t>S01</t>
        </is>
      </c>
      <c r="E90" s="44" t="n">
        <v>9.49</v>
      </c>
      <c r="F90" s="45" t="n">
        <v>14</v>
      </c>
      <c r="G90" s="46" t="n">
        <v>100</v>
      </c>
      <c r="H90" s="43" t="n">
        <v>0</v>
      </c>
      <c r="I90" s="43" t="b">
        <v>0</v>
      </c>
    </row>
    <row r="91">
      <c r="A91" s="43" t="inlineStr">
        <is>
          <t>CMD-0090</t>
        </is>
      </c>
      <c r="B91" s="43" t="inlineStr">
        <is>
          <t>Battery connector JST</t>
        </is>
      </c>
      <c r="C91" s="43" t="inlineStr">
        <is>
          <t>Connectors &amp; cables</t>
        </is>
      </c>
      <c r="D91" s="43" t="inlineStr">
        <is>
          <t>S01</t>
        </is>
      </c>
      <c r="E91" s="44" t="n">
        <v>6.99</v>
      </c>
      <c r="F91" s="45" t="n">
        <v>14</v>
      </c>
      <c r="G91" s="46" t="n">
        <v>1</v>
      </c>
      <c r="H91" s="43" t="n">
        <v>0</v>
      </c>
      <c r="I91" s="43" t="b">
        <v>0</v>
      </c>
    </row>
    <row r="92">
      <c r="A92" s="43" t="inlineStr">
        <is>
          <t>CMD-0091</t>
        </is>
      </c>
      <c r="B92" s="43" t="inlineStr">
        <is>
          <t>10.1in TFT touch display</t>
        </is>
      </c>
      <c r="C92" s="43" t="inlineStr">
        <is>
          <t>Displays</t>
        </is>
      </c>
      <c r="D92" s="43" t="inlineStr">
        <is>
          <t>S08</t>
        </is>
      </c>
      <c r="E92" s="44" t="n">
        <v>23.8</v>
      </c>
      <c r="F92" s="45" t="n">
        <v>77</v>
      </c>
      <c r="G92" s="46" t="n">
        <v>10</v>
      </c>
      <c r="H92" s="43" t="n">
        <v>0</v>
      </c>
      <c r="I92" s="43" t="b">
        <v>1</v>
      </c>
    </row>
    <row r="93">
      <c r="A93" s="43" t="inlineStr">
        <is>
          <t>CMD-0092</t>
        </is>
      </c>
      <c r="B93" s="43" t="inlineStr">
        <is>
          <t>7in TFT display</t>
        </is>
      </c>
      <c r="C93" s="43" t="inlineStr">
        <is>
          <t>Displays</t>
        </is>
      </c>
      <c r="D93" s="43" t="inlineStr">
        <is>
          <t>S08</t>
        </is>
      </c>
      <c r="E93" s="44" t="n">
        <v>29.47</v>
      </c>
      <c r="F93" s="45" t="n">
        <v>77</v>
      </c>
      <c r="G93" s="46" t="n">
        <v>100</v>
      </c>
      <c r="H93" s="43" t="n">
        <v>0</v>
      </c>
      <c r="I93" s="43" t="b">
        <v>1</v>
      </c>
    </row>
    <row r="94">
      <c r="A94" s="43" t="inlineStr">
        <is>
          <t>CMD-0093</t>
        </is>
      </c>
      <c r="B94" s="43" t="inlineStr">
        <is>
          <t>2.4in OLED display</t>
        </is>
      </c>
      <c r="C94" s="43" t="inlineStr">
        <is>
          <t>Displays</t>
        </is>
      </c>
      <c r="D94" s="43" t="inlineStr">
        <is>
          <t>S08</t>
        </is>
      </c>
      <c r="E94" s="44" t="n">
        <v>59.41</v>
      </c>
      <c r="F94" s="45" t="n">
        <v>77</v>
      </c>
      <c r="G94" s="46" t="n">
        <v>1</v>
      </c>
      <c r="H94" s="43" t="n">
        <v>0</v>
      </c>
      <c r="I94" s="43" t="b">
        <v>1</v>
      </c>
    </row>
    <row r="95">
      <c r="A95" s="43" t="inlineStr">
        <is>
          <t>CMD-0094</t>
        </is>
      </c>
      <c r="B95" s="43" t="inlineStr">
        <is>
          <t>Touch panel controller</t>
        </is>
      </c>
      <c r="C95" s="43" t="inlineStr">
        <is>
          <t>Displays</t>
        </is>
      </c>
      <c r="D95" s="43" t="inlineStr">
        <is>
          <t>S08</t>
        </is>
      </c>
      <c r="E95" s="44" t="n">
        <v>74.09</v>
      </c>
      <c r="F95" s="45" t="n">
        <v>77</v>
      </c>
      <c r="G95" s="46" t="n">
        <v>50</v>
      </c>
      <c r="H95" s="43" t="n">
        <v>0</v>
      </c>
      <c r="I95" s="43" t="b">
        <v>1</v>
      </c>
    </row>
    <row r="96">
      <c r="A96" s="43" t="inlineStr">
        <is>
          <t>CMD-0095</t>
        </is>
      </c>
      <c r="B96" s="43" t="inlineStr">
        <is>
          <t>LED backlight unit</t>
        </is>
      </c>
      <c r="C96" s="43" t="inlineStr">
        <is>
          <t>Displays</t>
        </is>
      </c>
      <c r="D96" s="43" t="inlineStr">
        <is>
          <t>S08</t>
        </is>
      </c>
      <c r="E96" s="44" t="n">
        <v>91.83</v>
      </c>
      <c r="F96" s="45" t="n">
        <v>77</v>
      </c>
      <c r="G96" s="46" t="n">
        <v>50</v>
      </c>
      <c r="H96" s="43" t="n">
        <v>0</v>
      </c>
      <c r="I96" s="43" t="b">
        <v>1</v>
      </c>
    </row>
    <row r="97">
      <c r="A97" s="43" t="inlineStr">
        <is>
          <t>CMD-0096</t>
        </is>
      </c>
      <c r="B97" s="43" t="inlineStr">
        <is>
          <t>PM-200 front housing</t>
        </is>
      </c>
      <c r="C97" s="43" t="inlineStr">
        <is>
          <t>Enclosures &amp; plastics</t>
        </is>
      </c>
      <c r="D97" s="43" t="inlineStr">
        <is>
          <t>S09</t>
        </is>
      </c>
      <c r="E97" s="44" t="n">
        <v>6.42</v>
      </c>
      <c r="F97" s="45" t="n">
        <v>21</v>
      </c>
      <c r="G97" s="46" t="n">
        <v>10</v>
      </c>
      <c r="H97" s="43" t="n">
        <v>0</v>
      </c>
      <c r="I97" s="43" t="b">
        <v>1</v>
      </c>
    </row>
    <row r="98">
      <c r="A98" s="43" t="inlineStr">
        <is>
          <t>CMD-0097</t>
        </is>
      </c>
      <c r="B98" s="43" t="inlineStr">
        <is>
          <t>PM-200 rear housing</t>
        </is>
      </c>
      <c r="C98" s="43" t="inlineStr">
        <is>
          <t>Enclosures &amp; plastics</t>
        </is>
      </c>
      <c r="D98" s="43" t="inlineStr">
        <is>
          <t>S09</t>
        </is>
      </c>
      <c r="E98" s="44" t="n">
        <v>9.27</v>
      </c>
      <c r="F98" s="45" t="n">
        <v>21</v>
      </c>
      <c r="G98" s="46" t="n">
        <v>50</v>
      </c>
      <c r="H98" s="43" t="n">
        <v>0</v>
      </c>
      <c r="I98" s="43" t="b">
        <v>1</v>
      </c>
    </row>
    <row r="99">
      <c r="A99" s="43" t="inlineStr">
        <is>
          <t>CMD-0098</t>
        </is>
      </c>
      <c r="B99" s="43" t="inlineStr">
        <is>
          <t>IP-50 housing</t>
        </is>
      </c>
      <c r="C99" s="43" t="inlineStr">
        <is>
          <t>Enclosures &amp; plastics</t>
        </is>
      </c>
      <c r="D99" s="43" t="inlineStr">
        <is>
          <t>S09</t>
        </is>
      </c>
      <c r="E99" s="44" t="n">
        <v>7.2</v>
      </c>
      <c r="F99" s="45" t="n">
        <v>21</v>
      </c>
      <c r="G99" s="46" t="n">
        <v>1</v>
      </c>
      <c r="H99" s="43" t="n">
        <v>0</v>
      </c>
      <c r="I99" s="43" t="b">
        <v>1</v>
      </c>
    </row>
    <row r="100">
      <c r="A100" s="43" t="inlineStr">
        <is>
          <t>CMD-0099</t>
        </is>
      </c>
      <c r="B100" s="43" t="inlineStr">
        <is>
          <t>IP-50 door assembly</t>
        </is>
      </c>
      <c r="C100" s="43" t="inlineStr">
        <is>
          <t>Enclosures &amp; plastics</t>
        </is>
      </c>
      <c r="D100" s="43" t="inlineStr">
        <is>
          <t>S09</t>
        </is>
      </c>
      <c r="E100" s="44" t="n">
        <v>2.32</v>
      </c>
      <c r="F100" s="45" t="n">
        <v>21</v>
      </c>
      <c r="G100" s="46" t="n">
        <v>25</v>
      </c>
      <c r="H100" s="43" t="n">
        <v>0</v>
      </c>
      <c r="I100" s="43" t="b">
        <v>1</v>
      </c>
    </row>
    <row r="101">
      <c r="A101" s="43" t="inlineStr">
        <is>
          <t>CMD-0100</t>
        </is>
      </c>
      <c r="B101" s="43" t="inlineStr">
        <is>
          <t>ECG-W1 top shell</t>
        </is>
      </c>
      <c r="C101" s="43" t="inlineStr">
        <is>
          <t>Enclosures &amp; plastics</t>
        </is>
      </c>
      <c r="D101" s="43" t="inlineStr">
        <is>
          <t>S09</t>
        </is>
      </c>
      <c r="E101" s="44" t="n">
        <v>4.94</v>
      </c>
      <c r="F101" s="45" t="n">
        <v>21</v>
      </c>
      <c r="G101" s="46" t="n">
        <v>1</v>
      </c>
      <c r="H101" s="43" t="n">
        <v>0</v>
      </c>
      <c r="I101" s="43" t="b">
        <v>1</v>
      </c>
    </row>
    <row r="102">
      <c r="A102" s="43" t="inlineStr">
        <is>
          <t>CMD-0101</t>
        </is>
      </c>
      <c r="B102" s="43" t="inlineStr">
        <is>
          <t>ECG-W1 bottom shell</t>
        </is>
      </c>
      <c r="C102" s="43" t="inlineStr">
        <is>
          <t>Enclosures &amp; plastics</t>
        </is>
      </c>
      <c r="D102" s="43" t="inlineStr">
        <is>
          <t>S09</t>
        </is>
      </c>
      <c r="E102" s="44" t="n">
        <v>3.7</v>
      </c>
      <c r="F102" s="45" t="n">
        <v>21</v>
      </c>
      <c r="G102" s="46" t="n">
        <v>50</v>
      </c>
      <c r="H102" s="43" t="n">
        <v>0</v>
      </c>
      <c r="I102" s="43" t="b">
        <v>1</v>
      </c>
    </row>
    <row r="103">
      <c r="A103" s="43" t="inlineStr">
        <is>
          <t>CMD-0102</t>
        </is>
      </c>
      <c r="B103" s="43" t="inlineStr">
        <is>
          <t>Silicone keypad</t>
        </is>
      </c>
      <c r="C103" s="43" t="inlineStr">
        <is>
          <t>Enclosures &amp; plastics</t>
        </is>
      </c>
      <c r="D103" s="43" t="inlineStr">
        <is>
          <t>S09</t>
        </is>
      </c>
      <c r="E103" s="44" t="n">
        <v>6.71</v>
      </c>
      <c r="F103" s="45" t="n">
        <v>21</v>
      </c>
      <c r="G103" s="46" t="n">
        <v>25</v>
      </c>
      <c r="H103" s="43" t="n">
        <v>0</v>
      </c>
      <c r="I103" s="43" t="b">
        <v>1</v>
      </c>
    </row>
    <row r="104">
      <c r="A104" s="43" t="inlineStr">
        <is>
          <t>CMD-0103</t>
        </is>
      </c>
      <c r="B104" s="43" t="inlineStr">
        <is>
          <t>Light pipe</t>
        </is>
      </c>
      <c r="C104" s="43" t="inlineStr">
        <is>
          <t>Enclosures &amp; plastics</t>
        </is>
      </c>
      <c r="D104" s="43" t="inlineStr">
        <is>
          <t>S09</t>
        </is>
      </c>
      <c r="E104" s="44" t="n">
        <v>4.18</v>
      </c>
      <c r="F104" s="45" t="n">
        <v>21</v>
      </c>
      <c r="G104" s="46" t="n">
        <v>25</v>
      </c>
      <c r="H104" s="43" t="n">
        <v>0</v>
      </c>
      <c r="I104" s="43" t="b">
        <v>1</v>
      </c>
    </row>
    <row r="105">
      <c r="A105" s="43" t="inlineStr">
        <is>
          <t>CMD-0104</t>
        </is>
      </c>
      <c r="B105" s="43" t="inlineStr">
        <is>
          <t>Mounting bracket</t>
        </is>
      </c>
      <c r="C105" s="43" t="inlineStr">
        <is>
          <t>Enclosures &amp; plastics</t>
        </is>
      </c>
      <c r="D105" s="43" t="inlineStr">
        <is>
          <t>S09</t>
        </is>
      </c>
      <c r="E105" s="44" t="n">
        <v>1.44</v>
      </c>
      <c r="F105" s="45" t="n">
        <v>21</v>
      </c>
      <c r="G105" s="46" t="n">
        <v>100</v>
      </c>
      <c r="H105" s="43" t="n">
        <v>0</v>
      </c>
      <c r="I105" s="43" t="b">
        <v>1</v>
      </c>
    </row>
    <row r="106">
      <c r="A106" s="43" t="inlineStr">
        <is>
          <t>CMD-0105</t>
        </is>
      </c>
      <c r="B106" s="43" t="inlineStr">
        <is>
          <t>Gasket seal set</t>
        </is>
      </c>
      <c r="C106" s="43" t="inlineStr">
        <is>
          <t>Enclosures &amp; plastics</t>
        </is>
      </c>
      <c r="D106" s="43" t="inlineStr">
        <is>
          <t>S09</t>
        </is>
      </c>
      <c r="E106" s="44" t="n">
        <v>2.08</v>
      </c>
      <c r="F106" s="45" t="n">
        <v>21</v>
      </c>
      <c r="G106" s="46" t="n">
        <v>100</v>
      </c>
      <c r="H106" s="43" t="n">
        <v>0</v>
      </c>
      <c r="I106" s="43" t="b">
        <v>1</v>
      </c>
    </row>
    <row r="107">
      <c r="A107" s="43" t="inlineStr">
        <is>
          <t>CMD-0106</t>
        </is>
      </c>
      <c r="B107" s="43" t="inlineStr">
        <is>
          <t>Battery door</t>
        </is>
      </c>
      <c r="C107" s="43" t="inlineStr">
        <is>
          <t>Enclosures &amp; plastics</t>
        </is>
      </c>
      <c r="D107" s="43" t="inlineStr">
        <is>
          <t>S09</t>
        </is>
      </c>
      <c r="E107" s="44" t="n">
        <v>10.42</v>
      </c>
      <c r="F107" s="45" t="n">
        <v>21</v>
      </c>
      <c r="G107" s="46" t="n">
        <v>10</v>
      </c>
      <c r="H107" s="43" t="n">
        <v>0</v>
      </c>
      <c r="I107" s="43" t="b">
        <v>1</v>
      </c>
    </row>
    <row r="108">
      <c r="A108" s="43" t="inlineStr">
        <is>
          <t>CMD-0107</t>
        </is>
      </c>
      <c r="B108" s="43" t="inlineStr">
        <is>
          <t>Rubber feet set</t>
        </is>
      </c>
      <c r="C108" s="43" t="inlineStr">
        <is>
          <t>Enclosures &amp; plastics</t>
        </is>
      </c>
      <c r="D108" s="43" t="inlineStr">
        <is>
          <t>S09</t>
        </is>
      </c>
      <c r="E108" s="44" t="n">
        <v>6.95</v>
      </c>
      <c r="F108" s="45" t="n">
        <v>21</v>
      </c>
      <c r="G108" s="46" t="n">
        <v>1</v>
      </c>
      <c r="H108" s="43" t="n">
        <v>0</v>
      </c>
      <c r="I108" s="43" t="b">
        <v>1</v>
      </c>
    </row>
    <row r="109">
      <c r="A109" s="43" t="inlineStr">
        <is>
          <t>CMD-0108</t>
        </is>
      </c>
      <c r="B109" s="43" t="inlineStr">
        <is>
          <t>Tyvek pouch small</t>
        </is>
      </c>
      <c r="C109" s="43" t="inlineStr">
        <is>
          <t>Sterile packaging</t>
        </is>
      </c>
      <c r="D109" s="43" t="inlineStr">
        <is>
          <t>S12</t>
        </is>
      </c>
      <c r="E109" s="44" t="n">
        <v>1.56</v>
      </c>
      <c r="F109" s="45" t="n">
        <v>7</v>
      </c>
      <c r="G109" s="46" t="n">
        <v>10</v>
      </c>
      <c r="H109" s="43" t="n">
        <v>36</v>
      </c>
      <c r="I109" s="43" t="b">
        <v>1</v>
      </c>
    </row>
    <row r="110">
      <c r="A110" s="43" t="inlineStr">
        <is>
          <t>CMD-0109</t>
        </is>
      </c>
      <c r="B110" s="43" t="inlineStr">
        <is>
          <t>Tyvek pouch large</t>
        </is>
      </c>
      <c r="C110" s="43" t="inlineStr">
        <is>
          <t>Sterile packaging</t>
        </is>
      </c>
      <c r="D110" s="43" t="inlineStr">
        <is>
          <t>S12</t>
        </is>
      </c>
      <c r="E110" s="44" t="n">
        <v>1.7</v>
      </c>
      <c r="F110" s="45" t="n">
        <v>7</v>
      </c>
      <c r="G110" s="46" t="n">
        <v>50</v>
      </c>
      <c r="H110" s="43" t="n">
        <v>36</v>
      </c>
      <c r="I110" s="43" t="b">
        <v>1</v>
      </c>
    </row>
    <row r="111">
      <c r="A111" s="43" t="inlineStr">
        <is>
          <t>CMD-0110</t>
        </is>
      </c>
      <c r="B111" s="43" t="inlineStr">
        <is>
          <t>Blister tray ECG-W1</t>
        </is>
      </c>
      <c r="C111" s="43" t="inlineStr">
        <is>
          <t>Sterile packaging</t>
        </is>
      </c>
      <c r="D111" s="43" t="inlineStr">
        <is>
          <t>S12</t>
        </is>
      </c>
      <c r="E111" s="44" t="n">
        <v>0.192</v>
      </c>
      <c r="F111" s="45" t="n">
        <v>7</v>
      </c>
      <c r="G111" s="46" t="n">
        <v>1000</v>
      </c>
      <c r="H111" s="43" t="n">
        <v>36</v>
      </c>
      <c r="I111" s="43" t="b">
        <v>1</v>
      </c>
    </row>
    <row r="112">
      <c r="A112" s="43" t="inlineStr">
        <is>
          <t>CMD-0111</t>
        </is>
      </c>
      <c r="B112" s="43" t="inlineStr">
        <is>
          <t>Shipper carton PM-200</t>
        </is>
      </c>
      <c r="C112" s="43" t="inlineStr">
        <is>
          <t>Sterile packaging</t>
        </is>
      </c>
      <c r="D112" s="43" t="inlineStr">
        <is>
          <t>S12</t>
        </is>
      </c>
      <c r="E112" s="44" t="n">
        <v>0.2926</v>
      </c>
      <c r="F112" s="45" t="n">
        <v>7</v>
      </c>
      <c r="G112" s="46" t="n">
        <v>5000</v>
      </c>
      <c r="H112" s="43" t="n">
        <v>36</v>
      </c>
      <c r="I112" s="43" t="b">
        <v>1</v>
      </c>
    </row>
    <row r="113">
      <c r="A113" s="43" t="inlineStr">
        <is>
          <t>CMD-0112</t>
        </is>
      </c>
      <c r="B113" s="43" t="inlineStr">
        <is>
          <t>Shipper carton IP-50</t>
        </is>
      </c>
      <c r="C113" s="43" t="inlineStr">
        <is>
          <t>Sterile packaging</t>
        </is>
      </c>
      <c r="D113" s="43" t="inlineStr">
        <is>
          <t>S12</t>
        </is>
      </c>
      <c r="E113" s="44" t="n">
        <v>2.39</v>
      </c>
      <c r="F113" s="45" t="n">
        <v>7</v>
      </c>
      <c r="G113" s="46" t="n">
        <v>100</v>
      </c>
      <c r="H113" s="43" t="n">
        <v>36</v>
      </c>
      <c r="I113" s="43" t="b">
        <v>1</v>
      </c>
    </row>
    <row r="114">
      <c r="A114" s="43" t="inlineStr">
        <is>
          <t>CMD-0113</t>
        </is>
      </c>
      <c r="B114" s="43" t="inlineStr">
        <is>
          <t>IFU leaflet</t>
        </is>
      </c>
      <c r="C114" s="43" t="inlineStr">
        <is>
          <t>Sterile packaging</t>
        </is>
      </c>
      <c r="D114" s="43" t="inlineStr">
        <is>
          <t>S12</t>
        </is>
      </c>
      <c r="E114" s="44" t="n">
        <v>0.2866</v>
      </c>
      <c r="F114" s="45" t="n">
        <v>7</v>
      </c>
      <c r="G114" s="46" t="n">
        <v>50</v>
      </c>
      <c r="H114" s="43" t="n">
        <v>36</v>
      </c>
      <c r="I114" s="43" t="b">
        <v>1</v>
      </c>
    </row>
    <row r="115">
      <c r="A115" s="43" t="inlineStr">
        <is>
          <t>CMD-0114</t>
        </is>
      </c>
      <c r="B115" s="43" t="inlineStr">
        <is>
          <t>UDI label roll</t>
        </is>
      </c>
      <c r="C115" s="43" t="inlineStr">
        <is>
          <t>Sterile packaging</t>
        </is>
      </c>
      <c r="D115" s="43" t="inlineStr">
        <is>
          <t>S12</t>
        </is>
      </c>
      <c r="E115" s="44" t="n">
        <v>0.3431</v>
      </c>
      <c r="F115" s="45" t="n">
        <v>7</v>
      </c>
      <c r="G115" s="46" t="n">
        <v>250</v>
      </c>
      <c r="H115" s="43" t="n">
        <v>36</v>
      </c>
      <c r="I115" s="43" t="b">
        <v>1</v>
      </c>
    </row>
    <row r="116">
      <c r="A116" s="43" t="inlineStr">
        <is>
          <t>CMD-0115</t>
        </is>
      </c>
      <c r="B116" s="43" t="inlineStr">
        <is>
          <t>Desiccant pack</t>
        </is>
      </c>
      <c r="C116" s="43" t="inlineStr">
        <is>
          <t>Sterile packaging</t>
        </is>
      </c>
      <c r="D116" s="43" t="inlineStr">
        <is>
          <t>S12</t>
        </is>
      </c>
      <c r="E116" s="44" t="n">
        <v>0.5566</v>
      </c>
      <c r="F116" s="45" t="n">
        <v>7</v>
      </c>
      <c r="G116" s="46" t="n">
        <v>1000</v>
      </c>
      <c r="H116" s="43" t="n">
        <v>36</v>
      </c>
      <c r="I116" s="43" t="b">
        <v>1</v>
      </c>
    </row>
    <row r="117">
      <c r="A117" s="43" t="inlineStr">
        <is>
          <t>CMD-0116</t>
        </is>
      </c>
      <c r="B117" s="43" t="inlineStr">
        <is>
          <t>Hydrogel electrode pad</t>
        </is>
      </c>
      <c r="C117" s="43" t="inlineStr">
        <is>
          <t>Sterile packaging</t>
        </is>
      </c>
      <c r="D117" s="43" t="inlineStr">
        <is>
          <t>S12</t>
        </is>
      </c>
      <c r="E117" s="44" t="n">
        <v>0.3644</v>
      </c>
      <c r="F117" s="45" t="n">
        <v>7</v>
      </c>
      <c r="G117" s="46" t="n">
        <v>1</v>
      </c>
      <c r="H117" s="43" t="n">
        <v>36</v>
      </c>
      <c r="I117" s="43" t="b">
        <v>1</v>
      </c>
    </row>
  </sheetData>
  <autoFilter ref="A1:I117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3C2B7"/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6" customWidth="1" min="3" max="3"/>
  </cols>
  <sheetData>
    <row r="1">
      <c r="A1" s="8" t="inlineStr">
        <is>
          <t>supplier_id</t>
        </is>
      </c>
      <c r="B1" s="8" t="inlineStr">
        <is>
          <t>supplier_name</t>
        </is>
      </c>
      <c r="C1" s="8" t="inlineStr">
        <is>
          <t>country</t>
        </is>
      </c>
    </row>
    <row r="2">
      <c r="A2" s="43" t="inlineStr">
        <is>
          <t>S01</t>
        </is>
      </c>
      <c r="B2" s="43" t="inlineStr">
        <is>
          <t>Shannon Electronics Ltd</t>
        </is>
      </c>
      <c r="C2" s="43" t="inlineStr">
        <is>
          <t>Ireland</t>
        </is>
      </c>
    </row>
    <row r="3">
      <c r="A3" s="43" t="inlineStr">
        <is>
          <t>S02</t>
        </is>
      </c>
      <c r="B3" s="43" t="inlineStr">
        <is>
          <t>Rhein Sensorik GmbH</t>
        </is>
      </c>
      <c r="C3" s="43" t="inlineStr">
        <is>
          <t>Germany</t>
        </is>
      </c>
    </row>
    <row r="4">
      <c r="A4" s="43" t="inlineStr">
        <is>
          <t>S03</t>
        </is>
      </c>
      <c r="B4" s="43" t="inlineStr">
        <is>
          <t>Formosa Microtech Co.</t>
        </is>
      </c>
      <c r="C4" s="43" t="inlineStr">
        <is>
          <t>Taiwan</t>
        </is>
      </c>
    </row>
    <row r="5">
      <c r="A5" s="43" t="inlineStr">
        <is>
          <t>S04</t>
        </is>
      </c>
      <c r="B5" s="43" t="inlineStr">
        <is>
          <t>Penang Precision Sdn Bhd</t>
        </is>
      </c>
      <c r="C5" s="43" t="inlineStr">
        <is>
          <t>Malaysia</t>
        </is>
      </c>
    </row>
    <row r="6">
      <c r="A6" s="43" t="inlineStr">
        <is>
          <t>S05</t>
        </is>
      </c>
      <c r="B6" s="43" t="inlineStr">
        <is>
          <t>Shenzhen Brightcell Power</t>
        </is>
      </c>
      <c r="C6" s="43" t="inlineStr">
        <is>
          <t>China</t>
        </is>
      </c>
    </row>
    <row r="7">
      <c r="A7" s="43" t="inlineStr">
        <is>
          <t>S06</t>
        </is>
      </c>
      <c r="B7" s="43" t="inlineStr">
        <is>
          <t>Midlands Connect UK</t>
        </is>
      </c>
      <c r="C7" s="43" t="inlineStr">
        <is>
          <t>United Kingdom</t>
        </is>
      </c>
    </row>
    <row r="8">
      <c r="A8" s="43" t="inlineStr">
        <is>
          <t>S07</t>
        </is>
      </c>
      <c r="B8" s="43" t="inlineStr">
        <is>
          <t>Lakeview Circuits Inc.</t>
        </is>
      </c>
      <c r="C8" s="43" t="inlineStr">
        <is>
          <t>USA</t>
        </is>
      </c>
    </row>
    <row r="9">
      <c r="A9" s="43" t="inlineStr">
        <is>
          <t>S08</t>
        </is>
      </c>
      <c r="B9" s="43" t="inlineStr">
        <is>
          <t>Bavaria Display AG</t>
        </is>
      </c>
      <c r="C9" s="43" t="inlineStr">
        <is>
          <t>Germany</t>
        </is>
      </c>
    </row>
    <row r="10">
      <c r="A10" s="43" t="inlineStr">
        <is>
          <t>S09</t>
        </is>
      </c>
      <c r="B10" s="43" t="inlineStr">
        <is>
          <t>Atlantic Polymers Ltd</t>
        </is>
      </c>
      <c r="C10" s="43" t="inlineStr">
        <is>
          <t>Ireland</t>
        </is>
      </c>
    </row>
    <row r="11">
      <c r="A11" s="43" t="inlineStr">
        <is>
          <t>S10</t>
        </is>
      </c>
      <c r="B11" s="43" t="inlineStr">
        <is>
          <t>Nordic Passive Components</t>
        </is>
      </c>
      <c r="C11" s="43" t="inlineStr">
        <is>
          <t>Sweden</t>
        </is>
      </c>
    </row>
    <row r="12">
      <c r="A12" s="43" t="inlineStr">
        <is>
          <t>S11</t>
        </is>
      </c>
      <c r="B12" s="43" t="inlineStr">
        <is>
          <t>Kyushu Semiconductor KK</t>
        </is>
      </c>
      <c r="C12" s="43" t="inlineStr">
        <is>
          <t>Japan</t>
        </is>
      </c>
    </row>
    <row r="13">
      <c r="A13" s="43" t="inlineStr">
        <is>
          <t>S12</t>
        </is>
      </c>
      <c r="B13" s="43" t="inlineStr">
        <is>
          <t>Dublin Sterile Packaging</t>
        </is>
      </c>
      <c r="C13" s="43" t="inlineStr">
        <is>
          <t>Ireland</t>
        </is>
      </c>
    </row>
  </sheetData>
  <autoFilter ref="A1:C1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C3C2B7"/>
    <outlinePr summaryBelow="1" summaryRight="1"/>
    <pageSetUpPr/>
  </sheetPr>
  <dimension ref="A1:Y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8" t="inlineStr">
        <is>
          <t>sku</t>
        </is>
      </c>
      <c r="B1" s="8" t="inlineStr">
        <is>
          <t>2024-10</t>
        </is>
      </c>
      <c r="C1" s="8" t="inlineStr">
        <is>
          <t>2024-11</t>
        </is>
      </c>
      <c r="D1" s="8" t="inlineStr">
        <is>
          <t>2024-12</t>
        </is>
      </c>
      <c r="E1" s="8" t="inlineStr">
        <is>
          <t>2025-01</t>
        </is>
      </c>
      <c r="F1" s="8" t="inlineStr">
        <is>
          <t>2025-02</t>
        </is>
      </c>
      <c r="G1" s="8" t="inlineStr">
        <is>
          <t>2025-03</t>
        </is>
      </c>
      <c r="H1" s="8" t="inlineStr">
        <is>
          <t>2025-04</t>
        </is>
      </c>
      <c r="I1" s="8" t="inlineStr">
        <is>
          <t>2025-05</t>
        </is>
      </c>
      <c r="J1" s="8" t="inlineStr">
        <is>
          <t>2025-06</t>
        </is>
      </c>
      <c r="K1" s="8" t="inlineStr">
        <is>
          <t>2025-07</t>
        </is>
      </c>
      <c r="L1" s="8" t="inlineStr">
        <is>
          <t>2025-08</t>
        </is>
      </c>
      <c r="M1" s="8" t="inlineStr">
        <is>
          <t>2025-09</t>
        </is>
      </c>
      <c r="N1" s="8" t="inlineStr">
        <is>
          <t>2025-10</t>
        </is>
      </c>
      <c r="O1" s="8" t="inlineStr">
        <is>
          <t>2025-11</t>
        </is>
      </c>
      <c r="P1" s="8" t="inlineStr">
        <is>
          <t>2025-12</t>
        </is>
      </c>
      <c r="Q1" s="8" t="inlineStr">
        <is>
          <t>2026-01</t>
        </is>
      </c>
      <c r="R1" s="8" t="inlineStr">
        <is>
          <t>2026-02</t>
        </is>
      </c>
      <c r="S1" s="8" t="inlineStr">
        <is>
          <t>2026-03</t>
        </is>
      </c>
      <c r="T1" s="8" t="inlineStr">
        <is>
          <t>2026-04</t>
        </is>
      </c>
      <c r="U1" s="8" t="inlineStr">
        <is>
          <t>2026-05</t>
        </is>
      </c>
      <c r="V1" s="8" t="inlineStr">
        <is>
          <t>2026-06</t>
        </is>
      </c>
      <c r="W1" s="8" t="inlineStr">
        <is>
          <t>2026-07</t>
        </is>
      </c>
      <c r="X1" s="8" t="inlineStr">
        <is>
          <t>2026-08</t>
        </is>
      </c>
      <c r="Y1" s="8" t="inlineStr">
        <is>
          <t>2026-09</t>
        </is>
      </c>
    </row>
    <row r="2">
      <c r="A2" s="43" t="inlineStr">
        <is>
          <t>CMD-0001</t>
        </is>
      </c>
      <c r="B2" s="46" t="n">
        <v>5781</v>
      </c>
      <c r="C2" s="46" t="n">
        <v>5709</v>
      </c>
      <c r="D2" s="46" t="n">
        <v>5571</v>
      </c>
      <c r="E2" s="46" t="n">
        <v>5464</v>
      </c>
      <c r="F2" s="46" t="n">
        <v>6165</v>
      </c>
      <c r="G2" s="46" t="n">
        <v>7353</v>
      </c>
      <c r="H2" s="46" t="n">
        <v>6290</v>
      </c>
      <c r="I2" s="46" t="n">
        <v>7637</v>
      </c>
      <c r="J2" s="46" t="n">
        <v>7449</v>
      </c>
      <c r="K2" s="46" t="n">
        <v>7151</v>
      </c>
      <c r="L2" s="46" t="n">
        <v>5395</v>
      </c>
      <c r="M2" s="46" t="n">
        <v>7858</v>
      </c>
      <c r="N2" s="46" t="n">
        <v>8049</v>
      </c>
      <c r="O2" s="46" t="n">
        <v>6934</v>
      </c>
      <c r="P2" s="46" t="n">
        <v>6954</v>
      </c>
      <c r="Q2" s="46" t="n">
        <v>5916</v>
      </c>
      <c r="R2" s="46" t="n">
        <v>8279</v>
      </c>
      <c r="S2" s="46" t="n">
        <v>8690</v>
      </c>
      <c r="T2" s="46" t="n">
        <v>9644</v>
      </c>
      <c r="U2" s="46" t="n">
        <v>8485</v>
      </c>
      <c r="V2" s="46" t="n">
        <v>10273</v>
      </c>
      <c r="W2" s="46" t="n">
        <v>10781</v>
      </c>
      <c r="X2" s="46" t="n">
        <v>7410</v>
      </c>
      <c r="Y2" s="46" t="n">
        <v>9173</v>
      </c>
    </row>
    <row r="3">
      <c r="A3" s="43" t="inlineStr">
        <is>
          <t>CMD-0002</t>
        </is>
      </c>
      <c r="B3" s="46" t="n">
        <v>5977</v>
      </c>
      <c r="C3" s="46" t="n">
        <v>6013</v>
      </c>
      <c r="D3" s="46" t="n">
        <v>5580</v>
      </c>
      <c r="E3" s="46" t="n">
        <v>6052</v>
      </c>
      <c r="F3" s="46" t="n">
        <v>6082</v>
      </c>
      <c r="G3" s="46" t="n">
        <v>6873</v>
      </c>
      <c r="H3" s="46" t="n">
        <v>6489</v>
      </c>
      <c r="I3" s="46" t="n">
        <v>7741</v>
      </c>
      <c r="J3" s="46" t="n">
        <v>8202</v>
      </c>
      <c r="K3" s="46" t="n">
        <v>7772</v>
      </c>
      <c r="L3" s="46" t="n">
        <v>5867</v>
      </c>
      <c r="M3" s="46" t="n">
        <v>8282</v>
      </c>
      <c r="N3" s="46" t="n">
        <v>7532</v>
      </c>
      <c r="O3" s="46" t="n">
        <v>7627</v>
      </c>
      <c r="P3" s="46" t="n">
        <v>7207</v>
      </c>
      <c r="Q3" s="46" t="n">
        <v>6734</v>
      </c>
      <c r="R3" s="46" t="n">
        <v>8388</v>
      </c>
      <c r="S3" s="46" t="n">
        <v>9254</v>
      </c>
      <c r="T3" s="46" t="n">
        <v>9462</v>
      </c>
      <c r="U3" s="46" t="n">
        <v>9368</v>
      </c>
      <c r="V3" s="46" t="n">
        <v>10563</v>
      </c>
      <c r="W3" s="46" t="n">
        <v>10570</v>
      </c>
      <c r="X3" s="46" t="n">
        <v>7535</v>
      </c>
      <c r="Y3" s="46" t="n">
        <v>9751</v>
      </c>
    </row>
    <row r="4">
      <c r="A4" s="43" t="inlineStr">
        <is>
          <t>CMD-0003</t>
        </is>
      </c>
      <c r="B4" s="46" t="n">
        <v>6159</v>
      </c>
      <c r="C4" s="46" t="n">
        <v>6040</v>
      </c>
      <c r="D4" s="46" t="n">
        <v>5590</v>
      </c>
      <c r="E4" s="46" t="n">
        <v>6371</v>
      </c>
      <c r="F4" s="46" t="n">
        <v>6442</v>
      </c>
      <c r="G4" s="46" t="n">
        <v>7255</v>
      </c>
      <c r="H4" s="46" t="n">
        <v>6800</v>
      </c>
      <c r="I4" s="46" t="n">
        <v>8211</v>
      </c>
      <c r="J4" s="46" t="n">
        <v>7705</v>
      </c>
      <c r="K4" s="46" t="n">
        <v>8146</v>
      </c>
      <c r="L4" s="46" t="n">
        <v>6048</v>
      </c>
      <c r="M4" s="46" t="n">
        <v>8916</v>
      </c>
      <c r="N4" s="46" t="n">
        <v>7892</v>
      </c>
      <c r="O4" s="46" t="n">
        <v>7047</v>
      </c>
      <c r="P4" s="46" t="n">
        <v>7801</v>
      </c>
      <c r="Q4" s="46" t="n">
        <v>6601</v>
      </c>
      <c r="R4" s="46" t="n">
        <v>9377</v>
      </c>
      <c r="S4" s="46" t="n">
        <v>9566</v>
      </c>
      <c r="T4" s="46" t="n">
        <v>9025</v>
      </c>
      <c r="U4" s="46" t="n">
        <v>9736</v>
      </c>
      <c r="V4" s="46" t="n">
        <v>11827</v>
      </c>
      <c r="W4" s="46" t="n">
        <v>11023</v>
      </c>
      <c r="X4" s="46" t="n">
        <v>7747</v>
      </c>
      <c r="Y4" s="46" t="n">
        <v>9867</v>
      </c>
    </row>
    <row r="5">
      <c r="A5" s="43" t="inlineStr">
        <is>
          <t>CMD-0004</t>
        </is>
      </c>
      <c r="B5" s="46" t="n">
        <v>2646</v>
      </c>
      <c r="C5" s="46" t="n">
        <v>2564</v>
      </c>
      <c r="D5" s="46" t="n">
        <v>2454</v>
      </c>
      <c r="E5" s="46" t="n">
        <v>2753</v>
      </c>
      <c r="F5" s="46" t="n">
        <v>2467</v>
      </c>
      <c r="G5" s="46" t="n">
        <v>3218</v>
      </c>
      <c r="H5" s="46" t="n">
        <v>2964</v>
      </c>
      <c r="I5" s="46" t="n">
        <v>3384</v>
      </c>
      <c r="J5" s="46" t="n">
        <v>3341</v>
      </c>
      <c r="K5" s="46" t="n">
        <v>3428</v>
      </c>
      <c r="L5" s="46" t="n">
        <v>2473</v>
      </c>
      <c r="M5" s="46" t="n">
        <v>3877</v>
      </c>
      <c r="N5" s="46" t="n">
        <v>3772</v>
      </c>
      <c r="O5" s="46" t="n">
        <v>3178</v>
      </c>
      <c r="P5" s="46" t="n">
        <v>3270</v>
      </c>
      <c r="Q5" s="46" t="n">
        <v>2972</v>
      </c>
      <c r="R5" s="46" t="n">
        <v>3997</v>
      </c>
      <c r="S5" s="46" t="n">
        <v>4219</v>
      </c>
      <c r="T5" s="46" t="n">
        <v>4172</v>
      </c>
      <c r="U5" s="46" t="n">
        <v>4273</v>
      </c>
      <c r="V5" s="46" t="n">
        <v>4630</v>
      </c>
      <c r="W5" s="46" t="n">
        <v>5264</v>
      </c>
      <c r="X5" s="46" t="n">
        <v>3486</v>
      </c>
      <c r="Y5" s="46" t="n">
        <v>4727</v>
      </c>
    </row>
    <row r="6">
      <c r="A6" s="43" t="inlineStr">
        <is>
          <t>CMD-0005</t>
        </is>
      </c>
      <c r="B6" s="46" t="n">
        <v>3159</v>
      </c>
      <c r="C6" s="46" t="n">
        <v>3575</v>
      </c>
      <c r="D6" s="46" t="n">
        <v>3274</v>
      </c>
      <c r="E6" s="46" t="n">
        <v>3768</v>
      </c>
      <c r="F6" s="46" t="n">
        <v>3827</v>
      </c>
      <c r="G6" s="46" t="n">
        <v>4645</v>
      </c>
      <c r="H6" s="46" t="n">
        <v>4018</v>
      </c>
      <c r="I6" s="46" t="n">
        <v>4638</v>
      </c>
      <c r="J6" s="46" t="n">
        <v>5100</v>
      </c>
      <c r="K6" s="46" t="n">
        <v>4071</v>
      </c>
      <c r="L6" s="46" t="n">
        <v>3311</v>
      </c>
      <c r="M6" s="46" t="n">
        <v>4662</v>
      </c>
      <c r="N6" s="46" t="n">
        <v>4705</v>
      </c>
      <c r="O6" s="46" t="n">
        <v>4174</v>
      </c>
      <c r="P6" s="46" t="n">
        <v>4431</v>
      </c>
      <c r="Q6" s="46" t="n">
        <v>3946</v>
      </c>
      <c r="R6" s="46" t="n">
        <v>5313</v>
      </c>
      <c r="S6" s="46" t="n">
        <v>6008</v>
      </c>
      <c r="T6" s="46" t="n">
        <v>5698</v>
      </c>
      <c r="U6" s="46" t="n">
        <v>5619</v>
      </c>
      <c r="V6" s="46" t="n">
        <v>6626</v>
      </c>
      <c r="W6" s="46" t="n">
        <v>6023</v>
      </c>
      <c r="X6" s="46" t="n">
        <v>4181</v>
      </c>
      <c r="Y6" s="46" t="n">
        <v>5685</v>
      </c>
    </row>
    <row r="7">
      <c r="A7" s="43" t="inlineStr">
        <is>
          <t>CMD-0006</t>
        </is>
      </c>
      <c r="B7" s="46" t="n">
        <v>824</v>
      </c>
      <c r="C7" s="46" t="n">
        <v>684</v>
      </c>
      <c r="D7" s="46" t="n">
        <v>714</v>
      </c>
      <c r="E7" s="46" t="n">
        <v>130</v>
      </c>
      <c r="F7" s="46" t="n">
        <v>709</v>
      </c>
      <c r="G7" s="46" t="n">
        <v>708</v>
      </c>
      <c r="H7" s="46" t="n">
        <v>1104</v>
      </c>
      <c r="I7" s="46" t="n">
        <v>751</v>
      </c>
      <c r="J7" s="46" t="n">
        <v>471</v>
      </c>
      <c r="K7" s="46" t="n">
        <v>492</v>
      </c>
      <c r="L7" s="46" t="n">
        <v>598</v>
      </c>
      <c r="M7" s="46" t="n">
        <v>683</v>
      </c>
      <c r="N7" s="46" t="n">
        <v>559</v>
      </c>
      <c r="O7" s="46" t="n">
        <v>425</v>
      </c>
      <c r="P7" s="46" t="n">
        <v>972</v>
      </c>
      <c r="Q7" s="46" t="n">
        <v>550</v>
      </c>
      <c r="R7" s="46" t="n">
        <v>695</v>
      </c>
      <c r="S7" s="46" t="n">
        <v>530</v>
      </c>
      <c r="T7" s="46" t="n">
        <v>1064</v>
      </c>
      <c r="U7" s="46" t="n">
        <v>1037</v>
      </c>
      <c r="V7" s="46" t="n">
        <v>601</v>
      </c>
      <c r="W7" s="46" t="n">
        <v>752</v>
      </c>
      <c r="X7" s="46" t="n">
        <v>398</v>
      </c>
      <c r="Y7" s="46" t="n">
        <v>1178</v>
      </c>
    </row>
    <row r="8">
      <c r="A8" s="43" t="inlineStr">
        <is>
          <t>CMD-0007</t>
        </is>
      </c>
      <c r="B8" s="46" t="n">
        <v>3781</v>
      </c>
      <c r="C8" s="46" t="n">
        <v>3598</v>
      </c>
      <c r="D8" s="46" t="n">
        <v>3430</v>
      </c>
      <c r="E8" s="46" t="n">
        <v>3180</v>
      </c>
      <c r="F8" s="46" t="n">
        <v>3846</v>
      </c>
      <c r="G8" s="46" t="n">
        <v>4807</v>
      </c>
      <c r="H8" s="46" t="n">
        <v>4591</v>
      </c>
      <c r="I8" s="46" t="n">
        <v>3985</v>
      </c>
      <c r="J8" s="46" t="n">
        <v>4821</v>
      </c>
      <c r="K8" s="46" t="n">
        <v>3684</v>
      </c>
      <c r="L8" s="46" t="n">
        <v>2791</v>
      </c>
      <c r="M8" s="46" t="n">
        <v>5261</v>
      </c>
      <c r="N8" s="46" t="n">
        <v>4182</v>
      </c>
      <c r="O8" s="46" t="n">
        <v>3720</v>
      </c>
      <c r="P8" s="46" t="n">
        <v>4384</v>
      </c>
      <c r="Q8" s="46" t="n">
        <v>4054</v>
      </c>
      <c r="R8" s="46" t="n">
        <v>3891</v>
      </c>
      <c r="S8" s="46" t="n">
        <v>4182</v>
      </c>
      <c r="T8" s="46" t="n">
        <v>5596</v>
      </c>
      <c r="U8" s="46" t="n">
        <v>5379</v>
      </c>
      <c r="V8" s="46" t="n">
        <v>5454</v>
      </c>
      <c r="W8" s="46" t="n">
        <v>7077</v>
      </c>
      <c r="X8" s="46" t="n">
        <v>3879</v>
      </c>
      <c r="Y8" s="46" t="n">
        <v>3079</v>
      </c>
    </row>
    <row r="9">
      <c r="A9" s="43" t="inlineStr">
        <is>
          <t>CMD-0008</t>
        </is>
      </c>
      <c r="B9" s="46" t="n">
        <v>997</v>
      </c>
      <c r="C9" s="46" t="n">
        <v>1137</v>
      </c>
      <c r="D9" s="46" t="n">
        <v>976</v>
      </c>
      <c r="E9" s="46" t="n">
        <v>1188</v>
      </c>
      <c r="F9" s="46" t="n">
        <v>1476</v>
      </c>
      <c r="G9" s="46" t="n">
        <v>1593</v>
      </c>
      <c r="H9" s="46" t="n">
        <v>1317</v>
      </c>
      <c r="I9" s="46" t="n">
        <v>1776</v>
      </c>
      <c r="J9" s="46" t="n">
        <v>1934</v>
      </c>
      <c r="K9" s="46" t="n">
        <v>1445</v>
      </c>
      <c r="L9" s="46" t="n">
        <v>690</v>
      </c>
      <c r="M9" s="46" t="n">
        <v>1542</v>
      </c>
      <c r="N9" s="46" t="n">
        <v>974</v>
      </c>
      <c r="O9" s="46" t="n">
        <v>1648</v>
      </c>
      <c r="P9" s="46" t="n">
        <v>1605</v>
      </c>
      <c r="Q9" s="46" t="n">
        <v>1059</v>
      </c>
      <c r="R9" s="46" t="n">
        <v>903</v>
      </c>
      <c r="S9" s="46" t="n">
        <v>1174</v>
      </c>
      <c r="T9" s="46" t="n">
        <v>1281</v>
      </c>
      <c r="U9" s="46" t="n">
        <v>1937</v>
      </c>
      <c r="V9" s="46" t="n">
        <v>1116</v>
      </c>
      <c r="W9" s="46" t="n">
        <v>1766</v>
      </c>
      <c r="X9" s="46" t="n">
        <v>544</v>
      </c>
      <c r="Y9" s="46" t="n">
        <v>1830</v>
      </c>
    </row>
    <row r="10">
      <c r="A10" s="43" t="inlineStr">
        <is>
          <t>CMD-0009</t>
        </is>
      </c>
      <c r="B10" s="46" t="n">
        <v>5488</v>
      </c>
      <c r="C10" s="46" t="n">
        <v>5545</v>
      </c>
      <c r="D10" s="46" t="n">
        <v>5309</v>
      </c>
      <c r="E10" s="46" t="n">
        <v>5836</v>
      </c>
      <c r="F10" s="46" t="n">
        <v>5879</v>
      </c>
      <c r="G10" s="46" t="n">
        <v>7616</v>
      </c>
      <c r="H10" s="46" t="n">
        <v>5783</v>
      </c>
      <c r="I10" s="46" t="n">
        <v>7055</v>
      </c>
      <c r="J10" s="46" t="n">
        <v>7571</v>
      </c>
      <c r="K10" s="46" t="n">
        <v>7495</v>
      </c>
      <c r="L10" s="46" t="n">
        <v>4894</v>
      </c>
      <c r="M10" s="46" t="n">
        <v>8790</v>
      </c>
      <c r="N10" s="46" t="n">
        <v>7353</v>
      </c>
      <c r="O10" s="46" t="n">
        <v>7236</v>
      </c>
      <c r="P10" s="46" t="n">
        <v>6512</v>
      </c>
      <c r="Q10" s="46" t="n">
        <v>6383</v>
      </c>
      <c r="R10" s="46" t="n">
        <v>8609</v>
      </c>
      <c r="S10" s="46" t="n">
        <v>8723</v>
      </c>
      <c r="T10" s="46" t="n">
        <v>8561</v>
      </c>
      <c r="U10" s="46" t="n">
        <v>9314</v>
      </c>
      <c r="V10" s="46" t="n">
        <v>10841</v>
      </c>
      <c r="W10" s="46" t="n">
        <v>10467</v>
      </c>
      <c r="X10" s="46" t="n">
        <v>7868</v>
      </c>
      <c r="Y10" s="46" t="n">
        <v>8918</v>
      </c>
    </row>
    <row r="11">
      <c r="A11" s="43" t="inlineStr">
        <is>
          <t>CMD-0010</t>
        </is>
      </c>
      <c r="B11" s="46" t="n">
        <v>3300</v>
      </c>
      <c r="C11" s="46" t="n">
        <v>3197</v>
      </c>
      <c r="D11" s="46" t="n">
        <v>3361</v>
      </c>
      <c r="E11" s="46" t="n">
        <v>3509</v>
      </c>
      <c r="F11" s="46" t="n">
        <v>3573</v>
      </c>
      <c r="G11" s="46" t="n">
        <v>3952</v>
      </c>
      <c r="H11" s="46" t="n">
        <v>3809</v>
      </c>
      <c r="I11" s="46" t="n">
        <v>4526</v>
      </c>
      <c r="J11" s="46" t="n">
        <v>4946</v>
      </c>
      <c r="K11" s="46" t="n">
        <v>4013</v>
      </c>
      <c r="L11" s="46" t="n">
        <v>3014</v>
      </c>
      <c r="M11" s="46" t="n">
        <v>4531</v>
      </c>
      <c r="N11" s="46" t="n">
        <v>4525</v>
      </c>
      <c r="O11" s="46" t="n">
        <v>4065</v>
      </c>
      <c r="P11" s="46" t="n">
        <v>4213</v>
      </c>
      <c r="Q11" s="46" t="n">
        <v>3336</v>
      </c>
      <c r="R11" s="46" t="n">
        <v>4684</v>
      </c>
      <c r="S11" s="46" t="n">
        <v>5228</v>
      </c>
      <c r="T11" s="46" t="n">
        <v>4994</v>
      </c>
      <c r="U11" s="46" t="n">
        <v>4532</v>
      </c>
      <c r="V11" s="46" t="n">
        <v>6142</v>
      </c>
      <c r="W11" s="46" t="n">
        <v>5843</v>
      </c>
      <c r="X11" s="46" t="n">
        <v>3969</v>
      </c>
      <c r="Y11" s="46" t="n">
        <v>5882</v>
      </c>
    </row>
    <row r="12">
      <c r="A12" s="43" t="inlineStr">
        <is>
          <t>CMD-0011</t>
        </is>
      </c>
      <c r="B12" s="46" t="n">
        <v>2330</v>
      </c>
      <c r="C12" s="46" t="n">
        <v>2492</v>
      </c>
      <c r="D12" s="46" t="n">
        <v>2593</v>
      </c>
      <c r="E12" s="46" t="n">
        <v>2636</v>
      </c>
      <c r="F12" s="46" t="n">
        <v>2641</v>
      </c>
      <c r="G12" s="46" t="n">
        <v>3274</v>
      </c>
      <c r="H12" s="46" t="n">
        <v>2930</v>
      </c>
      <c r="I12" s="46" t="n">
        <v>3578</v>
      </c>
      <c r="J12" s="46" t="n">
        <v>3733</v>
      </c>
      <c r="K12" s="46" t="n">
        <v>3482</v>
      </c>
      <c r="L12" s="46" t="n">
        <v>2226</v>
      </c>
      <c r="M12" s="46" t="n">
        <v>3916</v>
      </c>
      <c r="N12" s="46" t="n">
        <v>3839</v>
      </c>
      <c r="O12" s="46" t="n">
        <v>3285</v>
      </c>
      <c r="P12" s="46" t="n">
        <v>3197</v>
      </c>
      <c r="Q12" s="46" t="n">
        <v>2859</v>
      </c>
      <c r="R12" s="46" t="n">
        <v>4099</v>
      </c>
      <c r="S12" s="46" t="n">
        <v>4114</v>
      </c>
      <c r="T12" s="46" t="n">
        <v>3933</v>
      </c>
      <c r="U12" s="46" t="n">
        <v>3632</v>
      </c>
      <c r="V12" s="46" t="n">
        <v>4886</v>
      </c>
      <c r="W12" s="46" t="n">
        <v>4751</v>
      </c>
      <c r="X12" s="46" t="n">
        <v>3363</v>
      </c>
      <c r="Y12" s="46" t="n">
        <v>4658</v>
      </c>
    </row>
    <row r="13">
      <c r="A13" s="43" t="inlineStr">
        <is>
          <t>CMD-0012</t>
        </is>
      </c>
      <c r="B13" s="46" t="n">
        <v>282</v>
      </c>
      <c r="C13" s="46" t="n">
        <v>323</v>
      </c>
      <c r="D13" s="46" t="n">
        <v>278</v>
      </c>
      <c r="E13" s="46" t="n">
        <v>334</v>
      </c>
      <c r="F13" s="46" t="n">
        <v>272</v>
      </c>
      <c r="G13" s="46" t="n">
        <v>302</v>
      </c>
      <c r="H13" s="46" t="n">
        <v>323</v>
      </c>
      <c r="I13" s="46" t="n">
        <v>344</v>
      </c>
      <c r="J13" s="46" t="n">
        <v>333</v>
      </c>
      <c r="K13" s="46" t="n">
        <v>335</v>
      </c>
      <c r="L13" s="46" t="n">
        <v>260</v>
      </c>
      <c r="M13" s="46" t="n">
        <v>310</v>
      </c>
      <c r="N13" s="46" t="n">
        <v>343</v>
      </c>
      <c r="O13" s="46" t="n">
        <v>282</v>
      </c>
      <c r="P13" s="46" t="n">
        <v>326</v>
      </c>
      <c r="Q13" s="46" t="n">
        <v>286</v>
      </c>
      <c r="R13" s="46" t="n">
        <v>353</v>
      </c>
      <c r="S13" s="46" t="n">
        <v>307</v>
      </c>
      <c r="T13" s="46" t="n">
        <v>379</v>
      </c>
      <c r="U13" s="46" t="n">
        <v>381</v>
      </c>
      <c r="V13" s="46" t="n">
        <v>461</v>
      </c>
      <c r="W13" s="46" t="n">
        <v>400</v>
      </c>
      <c r="X13" s="46" t="n">
        <v>274</v>
      </c>
      <c r="Y13" s="46" t="n">
        <v>384</v>
      </c>
    </row>
    <row r="14">
      <c r="A14" s="43" t="inlineStr">
        <is>
          <t>CMD-0013</t>
        </is>
      </c>
      <c r="B14" s="46" t="n">
        <v>846</v>
      </c>
      <c r="C14" s="46" t="n">
        <v>723</v>
      </c>
      <c r="D14" s="46" t="n">
        <v>723</v>
      </c>
      <c r="E14" s="46" t="n">
        <v>815</v>
      </c>
      <c r="F14" s="46" t="n">
        <v>925</v>
      </c>
      <c r="G14" s="46" t="n">
        <v>867</v>
      </c>
      <c r="H14" s="46" t="n">
        <v>865</v>
      </c>
      <c r="I14" s="46" t="n">
        <v>1064</v>
      </c>
      <c r="J14" s="46" t="n">
        <v>935</v>
      </c>
      <c r="K14" s="46" t="n">
        <v>951</v>
      </c>
      <c r="L14" s="46" t="n">
        <v>773</v>
      </c>
      <c r="M14" s="46" t="n">
        <v>875</v>
      </c>
      <c r="N14" s="46" t="n">
        <v>934</v>
      </c>
      <c r="O14" s="46" t="n">
        <v>888</v>
      </c>
      <c r="P14" s="46" t="n">
        <v>811</v>
      </c>
      <c r="Q14" s="46" t="n">
        <v>966</v>
      </c>
      <c r="R14" s="46" t="n">
        <v>908</v>
      </c>
      <c r="S14" s="46" t="n">
        <v>1072</v>
      </c>
      <c r="T14" s="46" t="n">
        <v>932</v>
      </c>
      <c r="U14" s="46" t="n">
        <v>1124</v>
      </c>
      <c r="V14" s="46" t="n">
        <v>1136</v>
      </c>
      <c r="W14" s="46" t="n">
        <v>1002</v>
      </c>
      <c r="X14" s="46" t="n">
        <v>749</v>
      </c>
      <c r="Y14" s="46" t="n">
        <v>975</v>
      </c>
    </row>
    <row r="15">
      <c r="A15" s="43" t="inlineStr">
        <is>
          <t>CMD-0014</t>
        </is>
      </c>
      <c r="B15" s="46" t="n">
        <v>3487</v>
      </c>
      <c r="C15" s="46" t="n">
        <v>3539</v>
      </c>
      <c r="D15" s="46" t="n">
        <v>3134</v>
      </c>
      <c r="E15" s="46" t="n">
        <v>3441</v>
      </c>
      <c r="F15" s="46" t="n">
        <v>3587</v>
      </c>
      <c r="G15" s="46" t="n">
        <v>4860</v>
      </c>
      <c r="H15" s="46" t="n">
        <v>3778</v>
      </c>
      <c r="I15" s="46" t="n">
        <v>4683</v>
      </c>
      <c r="J15" s="46" t="n">
        <v>4778</v>
      </c>
      <c r="K15" s="46" t="n">
        <v>4451</v>
      </c>
      <c r="L15" s="46" t="n">
        <v>3544</v>
      </c>
      <c r="M15" s="46" t="n">
        <v>4861</v>
      </c>
      <c r="N15" s="46" t="n">
        <v>4683</v>
      </c>
      <c r="O15" s="46" t="n">
        <v>4370</v>
      </c>
      <c r="P15" s="46" t="n">
        <v>4396</v>
      </c>
      <c r="Q15" s="46" t="n">
        <v>3565</v>
      </c>
      <c r="R15" s="46" t="n">
        <v>5197</v>
      </c>
      <c r="S15" s="46" t="n">
        <v>5402</v>
      </c>
      <c r="T15" s="46" t="n">
        <v>5399</v>
      </c>
      <c r="U15" s="46" t="n">
        <v>5591</v>
      </c>
      <c r="V15" s="46" t="n">
        <v>6403</v>
      </c>
      <c r="W15" s="46" t="n">
        <v>6337</v>
      </c>
      <c r="X15" s="46" t="n">
        <v>4097</v>
      </c>
      <c r="Y15" s="46" t="n">
        <v>6058</v>
      </c>
    </row>
    <row r="16">
      <c r="A16" s="43" t="inlineStr">
        <is>
          <t>CMD-0015</t>
        </is>
      </c>
      <c r="B16" s="46" t="n">
        <v>3384</v>
      </c>
      <c r="C16" s="46" t="n">
        <v>3445</v>
      </c>
      <c r="D16" s="46" t="n">
        <v>2919</v>
      </c>
      <c r="E16" s="46" t="n">
        <v>2379</v>
      </c>
      <c r="F16" s="46" t="n">
        <v>2227</v>
      </c>
      <c r="G16" s="46" t="n">
        <v>4398</v>
      </c>
      <c r="H16" s="46" t="n">
        <v>4115</v>
      </c>
      <c r="I16" s="46" t="n">
        <v>2828</v>
      </c>
      <c r="J16" s="46" t="n">
        <v>3441</v>
      </c>
      <c r="K16" s="46" t="n">
        <v>3616</v>
      </c>
      <c r="L16" s="46" t="n">
        <v>3284</v>
      </c>
      <c r="M16" s="46" t="n">
        <v>3698</v>
      </c>
      <c r="N16" s="46" t="n">
        <v>3054</v>
      </c>
      <c r="O16" s="46" t="n">
        <v>4318</v>
      </c>
      <c r="P16" s="46" t="n">
        <v>4016</v>
      </c>
      <c r="Q16" s="46" t="n">
        <v>2726</v>
      </c>
      <c r="R16" s="46" t="n">
        <v>3676</v>
      </c>
      <c r="S16" s="46" t="n">
        <v>5713</v>
      </c>
      <c r="T16" s="46" t="n">
        <v>3171</v>
      </c>
      <c r="U16" s="46" t="n">
        <v>4140</v>
      </c>
      <c r="V16" s="46" t="n">
        <v>5810</v>
      </c>
      <c r="W16" s="46" t="n">
        <v>5398</v>
      </c>
      <c r="X16" s="46" t="n">
        <v>4458</v>
      </c>
      <c r="Y16" s="46" t="n">
        <v>3084</v>
      </c>
    </row>
    <row r="17">
      <c r="A17" s="43" t="inlineStr">
        <is>
          <t>CMD-0016</t>
        </is>
      </c>
      <c r="B17" s="46" t="n">
        <v>5590</v>
      </c>
      <c r="C17" s="46" t="n">
        <v>6231</v>
      </c>
      <c r="D17" s="46" t="n">
        <v>6997</v>
      </c>
      <c r="E17" s="46" t="n">
        <v>7477</v>
      </c>
      <c r="F17" s="46" t="n">
        <v>5673</v>
      </c>
      <c r="G17" s="46" t="n">
        <v>7394</v>
      </c>
      <c r="H17" s="46" t="n">
        <v>5565</v>
      </c>
      <c r="I17" s="46" t="n">
        <v>5246</v>
      </c>
      <c r="J17" s="46" t="n">
        <v>10792</v>
      </c>
      <c r="K17" s="46" t="n">
        <v>5819</v>
      </c>
      <c r="L17" s="46" t="n">
        <v>4824</v>
      </c>
      <c r="M17" s="46" t="n">
        <v>9258</v>
      </c>
      <c r="N17" s="46" t="n">
        <v>5422</v>
      </c>
      <c r="O17" s="46" t="n">
        <v>8339</v>
      </c>
      <c r="P17" s="46" t="n">
        <v>5968</v>
      </c>
      <c r="Q17" s="46" t="n">
        <v>5028</v>
      </c>
      <c r="R17" s="46" t="n">
        <v>7800</v>
      </c>
      <c r="S17" s="46" t="n">
        <v>7693</v>
      </c>
      <c r="T17" s="46" t="n">
        <v>9926</v>
      </c>
      <c r="U17" s="46" t="n">
        <v>12637</v>
      </c>
      <c r="V17" s="46" t="n">
        <v>12905</v>
      </c>
      <c r="W17" s="46" t="n">
        <v>12175</v>
      </c>
      <c r="X17" s="46" t="n">
        <v>6600</v>
      </c>
      <c r="Y17" s="46" t="n">
        <v>9974</v>
      </c>
    </row>
    <row r="18">
      <c r="A18" s="43" t="inlineStr">
        <is>
          <t>CMD-0017</t>
        </is>
      </c>
      <c r="B18" s="46" t="n">
        <v>5529</v>
      </c>
      <c r="C18" s="46" t="n">
        <v>5472</v>
      </c>
      <c r="D18" s="46" t="n">
        <v>5369</v>
      </c>
      <c r="E18" s="46" t="n">
        <v>5251</v>
      </c>
      <c r="F18" s="46" t="n">
        <v>6263</v>
      </c>
      <c r="G18" s="46" t="n">
        <v>6571</v>
      </c>
      <c r="H18" s="46" t="n">
        <v>6271</v>
      </c>
      <c r="I18" s="46" t="n">
        <v>7661</v>
      </c>
      <c r="J18" s="46" t="n">
        <v>7790</v>
      </c>
      <c r="K18" s="46" t="n">
        <v>7597</v>
      </c>
      <c r="L18" s="46" t="n">
        <v>4954</v>
      </c>
      <c r="M18" s="46" t="n">
        <v>7561</v>
      </c>
      <c r="N18" s="46" t="n">
        <v>6468</v>
      </c>
      <c r="O18" s="46" t="n">
        <v>7158</v>
      </c>
      <c r="P18" s="46" t="n">
        <v>6419</v>
      </c>
      <c r="Q18" s="46" t="n">
        <v>6095</v>
      </c>
      <c r="R18" s="46" t="n">
        <v>8644</v>
      </c>
      <c r="S18" s="46" t="n">
        <v>9159</v>
      </c>
      <c r="T18" s="46" t="n">
        <v>9080</v>
      </c>
      <c r="U18" s="46" t="n">
        <v>8907</v>
      </c>
      <c r="V18" s="46" t="n">
        <v>10626</v>
      </c>
      <c r="W18" s="46" t="n">
        <v>9913</v>
      </c>
      <c r="X18" s="46" t="n">
        <v>7130</v>
      </c>
      <c r="Y18" s="46" t="n">
        <v>10172</v>
      </c>
    </row>
    <row r="19">
      <c r="A19" s="43" t="inlineStr">
        <is>
          <t>CMD-0018</t>
        </is>
      </c>
      <c r="B19" s="46" t="n">
        <v>5689</v>
      </c>
      <c r="C19" s="46" t="n">
        <v>5728</v>
      </c>
      <c r="D19" s="46" t="n">
        <v>5122</v>
      </c>
      <c r="E19" s="46" t="n">
        <v>5269</v>
      </c>
      <c r="F19" s="46" t="n">
        <v>5406</v>
      </c>
      <c r="G19" s="46" t="n">
        <v>6856</v>
      </c>
      <c r="H19" s="46" t="n">
        <v>6278</v>
      </c>
      <c r="I19" s="46" t="n">
        <v>6929</v>
      </c>
      <c r="J19" s="46" t="n">
        <v>8003</v>
      </c>
      <c r="K19" s="46" t="n">
        <v>7443</v>
      </c>
      <c r="L19" s="46" t="n">
        <v>5570</v>
      </c>
      <c r="M19" s="46" t="n">
        <v>7614</v>
      </c>
      <c r="N19" s="46" t="n">
        <v>7500</v>
      </c>
      <c r="O19" s="46" t="n">
        <v>6387</v>
      </c>
      <c r="P19" s="46" t="n">
        <v>6592</v>
      </c>
      <c r="Q19" s="46" t="n">
        <v>6336</v>
      </c>
      <c r="R19" s="46" t="n">
        <v>8068</v>
      </c>
      <c r="S19" s="46" t="n">
        <v>8664</v>
      </c>
      <c r="T19" s="46" t="n">
        <v>8743</v>
      </c>
      <c r="U19" s="46" t="n">
        <v>8216</v>
      </c>
      <c r="V19" s="46" t="n">
        <v>10237</v>
      </c>
      <c r="W19" s="46" t="n">
        <v>10096</v>
      </c>
      <c r="X19" s="46" t="n">
        <v>7336</v>
      </c>
      <c r="Y19" s="46" t="n">
        <v>10178</v>
      </c>
    </row>
    <row r="20">
      <c r="A20" s="43" t="inlineStr">
        <is>
          <t>CMD-0019</t>
        </is>
      </c>
      <c r="B20" s="46" t="n">
        <v>587</v>
      </c>
      <c r="C20" s="46" t="n">
        <v>623</v>
      </c>
      <c r="D20" s="46" t="n">
        <v>614</v>
      </c>
      <c r="E20" s="46" t="n">
        <v>676</v>
      </c>
      <c r="F20" s="46" t="n">
        <v>527</v>
      </c>
      <c r="G20" s="46" t="n">
        <v>663</v>
      </c>
      <c r="H20" s="46" t="n">
        <v>663</v>
      </c>
      <c r="I20" s="46" t="n">
        <v>619</v>
      </c>
      <c r="J20" s="46" t="n">
        <v>650</v>
      </c>
      <c r="K20" s="46" t="n">
        <v>647</v>
      </c>
      <c r="L20" s="46" t="n">
        <v>516</v>
      </c>
      <c r="M20" s="46" t="n">
        <v>574</v>
      </c>
      <c r="N20" s="46" t="n">
        <v>686</v>
      </c>
      <c r="O20" s="46" t="n">
        <v>656</v>
      </c>
      <c r="P20" s="46" t="n">
        <v>617</v>
      </c>
      <c r="Q20" s="46" t="n">
        <v>601</v>
      </c>
      <c r="R20" s="46" t="n">
        <v>638</v>
      </c>
      <c r="S20" s="46" t="n">
        <v>652</v>
      </c>
      <c r="T20" s="46" t="n">
        <v>713</v>
      </c>
      <c r="U20" s="46" t="n">
        <v>712</v>
      </c>
      <c r="V20" s="46" t="n">
        <v>937</v>
      </c>
      <c r="W20" s="46" t="n">
        <v>785</v>
      </c>
      <c r="X20" s="46" t="n">
        <v>589</v>
      </c>
      <c r="Y20" s="46" t="n">
        <v>748</v>
      </c>
    </row>
    <row r="21">
      <c r="A21" s="43" t="inlineStr">
        <is>
          <t>CMD-0020</t>
        </is>
      </c>
      <c r="B21" s="46" t="n">
        <v>2577</v>
      </c>
      <c r="C21" s="46" t="n">
        <v>2499</v>
      </c>
      <c r="D21" s="46" t="n">
        <v>2529</v>
      </c>
      <c r="E21" s="46" t="n">
        <v>2569</v>
      </c>
      <c r="F21" s="46" t="n">
        <v>2578</v>
      </c>
      <c r="G21" s="46" t="n">
        <v>3258</v>
      </c>
      <c r="H21" s="46" t="n">
        <v>2770</v>
      </c>
      <c r="I21" s="46" t="n">
        <v>3417</v>
      </c>
      <c r="J21" s="46" t="n">
        <v>3857</v>
      </c>
      <c r="K21" s="46" t="n">
        <v>3380</v>
      </c>
      <c r="L21" s="46" t="n">
        <v>2537</v>
      </c>
      <c r="M21" s="46" t="n">
        <v>3627</v>
      </c>
      <c r="N21" s="46" t="n">
        <v>3425</v>
      </c>
      <c r="O21" s="46" t="n">
        <v>3201</v>
      </c>
      <c r="P21" s="46" t="n">
        <v>3499</v>
      </c>
      <c r="Q21" s="46" t="n">
        <v>2741</v>
      </c>
      <c r="R21" s="46" t="n">
        <v>4337</v>
      </c>
      <c r="S21" s="46" t="n">
        <v>4083</v>
      </c>
      <c r="T21" s="46" t="n">
        <v>4015</v>
      </c>
      <c r="U21" s="46" t="n">
        <v>4091</v>
      </c>
      <c r="V21" s="46" t="n">
        <v>4947</v>
      </c>
      <c r="W21" s="46" t="n">
        <v>4797</v>
      </c>
      <c r="X21" s="46" t="n">
        <v>3427</v>
      </c>
      <c r="Y21" s="46" t="n">
        <v>4956</v>
      </c>
    </row>
    <row r="22">
      <c r="A22" s="43" t="inlineStr">
        <is>
          <t>CMD-0021</t>
        </is>
      </c>
      <c r="B22" s="46" t="n">
        <v>938</v>
      </c>
      <c r="C22" s="46" t="n">
        <v>775</v>
      </c>
      <c r="D22" s="46" t="n">
        <v>749</v>
      </c>
      <c r="E22" s="46" t="n">
        <v>805</v>
      </c>
      <c r="F22" s="46" t="n">
        <v>938</v>
      </c>
      <c r="G22" s="46" t="n">
        <v>874</v>
      </c>
      <c r="H22" s="46" t="n">
        <v>820</v>
      </c>
      <c r="I22" s="46" t="n">
        <v>971</v>
      </c>
      <c r="J22" s="46" t="n">
        <v>906</v>
      </c>
      <c r="K22" s="46" t="n">
        <v>1107</v>
      </c>
      <c r="L22" s="46" t="n">
        <v>788</v>
      </c>
      <c r="M22" s="46" t="n">
        <v>980</v>
      </c>
      <c r="N22" s="46" t="n">
        <v>869</v>
      </c>
      <c r="O22" s="46" t="n">
        <v>764</v>
      </c>
      <c r="P22" s="46" t="n">
        <v>810</v>
      </c>
      <c r="Q22" s="46" t="n">
        <v>907</v>
      </c>
      <c r="R22" s="46" t="n">
        <v>880</v>
      </c>
      <c r="S22" s="46" t="n">
        <v>1073</v>
      </c>
      <c r="T22" s="46" t="n">
        <v>988</v>
      </c>
      <c r="U22" s="46" t="n">
        <v>1130</v>
      </c>
      <c r="V22" s="46" t="n">
        <v>1126</v>
      </c>
      <c r="W22" s="46" t="n">
        <v>1141</v>
      </c>
      <c r="X22" s="46" t="n">
        <v>728</v>
      </c>
      <c r="Y22" s="46" t="n">
        <v>1077</v>
      </c>
    </row>
    <row r="23">
      <c r="A23" s="43" t="inlineStr">
        <is>
          <t>CMD-0022</t>
        </is>
      </c>
      <c r="B23" s="46" t="n">
        <v>1929</v>
      </c>
      <c r="C23" s="46" t="n">
        <v>3901</v>
      </c>
      <c r="D23" s="46" t="n">
        <v>1444</v>
      </c>
      <c r="E23" s="46" t="n">
        <v>3009</v>
      </c>
      <c r="F23" s="46" t="n">
        <v>2593</v>
      </c>
      <c r="G23" s="46" t="n">
        <v>3048</v>
      </c>
      <c r="H23" s="46" t="n">
        <v>3864</v>
      </c>
      <c r="I23" s="46" t="n">
        <v>4249</v>
      </c>
      <c r="J23" s="46" t="n">
        <v>3067</v>
      </c>
      <c r="K23" s="46" t="n">
        <v>4089</v>
      </c>
      <c r="L23" s="46" t="n">
        <v>2906</v>
      </c>
      <c r="M23" s="46" t="n">
        <v>3190</v>
      </c>
      <c r="N23" s="46" t="n">
        <v>2324</v>
      </c>
      <c r="O23" s="46" t="n">
        <v>4193</v>
      </c>
      <c r="P23" s="46" t="n">
        <v>4116</v>
      </c>
      <c r="Q23" s="46" t="n">
        <v>3614</v>
      </c>
      <c r="R23" s="46" t="n">
        <v>3677</v>
      </c>
      <c r="S23" s="46" t="n">
        <v>5912</v>
      </c>
      <c r="T23" s="46" t="n">
        <v>8313</v>
      </c>
      <c r="U23" s="46" t="n">
        <v>4548</v>
      </c>
      <c r="V23" s="46" t="n">
        <v>5908</v>
      </c>
      <c r="W23" s="46" t="n">
        <v>4039</v>
      </c>
      <c r="X23" s="46" t="n">
        <v>2867</v>
      </c>
      <c r="Y23" s="46" t="n">
        <v>7202</v>
      </c>
    </row>
    <row r="24">
      <c r="A24" s="43" t="inlineStr">
        <is>
          <t>CMD-0023</t>
        </is>
      </c>
      <c r="B24" s="46" t="n">
        <v>3737</v>
      </c>
      <c r="C24" s="46" t="n">
        <v>3268</v>
      </c>
      <c r="D24" s="46" t="n">
        <v>3102</v>
      </c>
      <c r="E24" s="46" t="n">
        <v>3239</v>
      </c>
      <c r="F24" s="46" t="n">
        <v>3426</v>
      </c>
      <c r="G24" s="46" t="n">
        <v>4177</v>
      </c>
      <c r="H24" s="46" t="n">
        <v>3528</v>
      </c>
      <c r="I24" s="46" t="n">
        <v>4291</v>
      </c>
      <c r="J24" s="46" t="n">
        <v>5034</v>
      </c>
      <c r="K24" s="46" t="n">
        <v>4321</v>
      </c>
      <c r="L24" s="46" t="n">
        <v>3096</v>
      </c>
      <c r="M24" s="46" t="n">
        <v>4357</v>
      </c>
      <c r="N24" s="46" t="n">
        <v>4551</v>
      </c>
      <c r="O24" s="46" t="n">
        <v>3820</v>
      </c>
      <c r="P24" s="46" t="n">
        <v>3989</v>
      </c>
      <c r="Q24" s="46" t="n">
        <v>4009</v>
      </c>
      <c r="R24" s="46" t="n">
        <v>4923</v>
      </c>
      <c r="S24" s="46" t="n">
        <v>5376</v>
      </c>
      <c r="T24" s="46" t="n">
        <v>5081</v>
      </c>
      <c r="U24" s="46" t="n">
        <v>4909</v>
      </c>
      <c r="V24" s="46" t="n">
        <v>5711</v>
      </c>
      <c r="W24" s="46" t="n">
        <v>5747</v>
      </c>
      <c r="X24" s="46" t="n">
        <v>3564</v>
      </c>
      <c r="Y24" s="46" t="n">
        <v>5582</v>
      </c>
    </row>
    <row r="25">
      <c r="A25" s="43" t="inlineStr">
        <is>
          <t>CMD-0024</t>
        </is>
      </c>
      <c r="B25" s="46" t="n">
        <v>6977</v>
      </c>
      <c r="C25" s="46" t="n">
        <v>4634</v>
      </c>
      <c r="D25" s="46" t="n">
        <v>1887</v>
      </c>
      <c r="E25" s="46" t="n">
        <v>4036</v>
      </c>
      <c r="F25" s="46" t="n">
        <v>2455</v>
      </c>
      <c r="G25" s="46" t="n">
        <v>3186</v>
      </c>
      <c r="H25" s="46" t="n">
        <v>7104</v>
      </c>
      <c r="I25" s="46" t="n">
        <v>4481</v>
      </c>
      <c r="J25" s="46" t="n">
        <v>4102</v>
      </c>
      <c r="K25" s="46" t="n">
        <v>7293</v>
      </c>
      <c r="L25" s="46" t="n">
        <v>3806</v>
      </c>
      <c r="M25" s="46" t="n">
        <v>3177</v>
      </c>
      <c r="N25" s="46" t="n">
        <v>5084</v>
      </c>
      <c r="O25" s="46" t="n">
        <v>2419</v>
      </c>
      <c r="P25" s="46" t="n">
        <v>3272</v>
      </c>
      <c r="Q25" s="46" t="n">
        <v>4666</v>
      </c>
      <c r="R25" s="46" t="n">
        <v>1073</v>
      </c>
      <c r="S25" s="46" t="n">
        <v>7340</v>
      </c>
      <c r="T25" s="46" t="n">
        <v>6201</v>
      </c>
      <c r="U25" s="46" t="n">
        <v>7558</v>
      </c>
      <c r="V25" s="46" t="n">
        <v>5867</v>
      </c>
      <c r="W25" s="46" t="n">
        <v>7567</v>
      </c>
      <c r="X25" s="46" t="n">
        <v>3104</v>
      </c>
      <c r="Y25" s="46" t="n">
        <v>4391</v>
      </c>
    </row>
    <row r="26">
      <c r="A26" s="43" t="inlineStr">
        <is>
          <t>CMD-0025</t>
        </is>
      </c>
      <c r="B26" s="46" t="n">
        <v>1502</v>
      </c>
      <c r="C26" s="46" t="n">
        <v>1338</v>
      </c>
      <c r="D26" s="46" t="n">
        <v>914</v>
      </c>
      <c r="E26" s="46" t="n">
        <v>711</v>
      </c>
      <c r="F26" s="46" t="n">
        <v>1854</v>
      </c>
      <c r="G26" s="46" t="n">
        <v>713</v>
      </c>
      <c r="H26" s="46" t="n">
        <v>1644</v>
      </c>
      <c r="I26" s="46" t="n">
        <v>1347</v>
      </c>
      <c r="J26" s="46" t="n">
        <v>794</v>
      </c>
      <c r="K26" s="46" t="n">
        <v>806</v>
      </c>
      <c r="L26" s="46" t="n">
        <v>758</v>
      </c>
      <c r="M26" s="46" t="n">
        <v>834</v>
      </c>
      <c r="N26" s="46" t="n">
        <v>550</v>
      </c>
      <c r="O26" s="46" t="n">
        <v>1214</v>
      </c>
      <c r="P26" s="46" t="n">
        <v>699</v>
      </c>
      <c r="Q26" s="46" t="n">
        <v>1327</v>
      </c>
      <c r="R26" s="46" t="n">
        <v>1052</v>
      </c>
      <c r="S26" s="46" t="n">
        <v>1225</v>
      </c>
      <c r="T26" s="46" t="n">
        <v>1240</v>
      </c>
      <c r="U26" s="46" t="n">
        <v>1121</v>
      </c>
      <c r="V26" s="46" t="n">
        <v>1382</v>
      </c>
      <c r="W26" s="46" t="n">
        <v>1381</v>
      </c>
      <c r="X26" s="46" t="n">
        <v>1723</v>
      </c>
      <c r="Y26" s="46" t="n">
        <v>662</v>
      </c>
    </row>
    <row r="27">
      <c r="A27" s="43" t="inlineStr">
        <is>
          <t>CMD-0026</t>
        </is>
      </c>
      <c r="B27" s="46" t="n">
        <v>6591</v>
      </c>
      <c r="C27" s="46" t="n">
        <v>7553</v>
      </c>
      <c r="D27" s="46" t="n">
        <v>10005</v>
      </c>
      <c r="E27" s="46" t="n">
        <v>5983</v>
      </c>
      <c r="F27" s="46" t="n">
        <v>3910</v>
      </c>
      <c r="G27" s="46" t="n">
        <v>8782</v>
      </c>
      <c r="H27" s="46" t="n">
        <v>8430</v>
      </c>
      <c r="I27" s="46" t="n">
        <v>7353</v>
      </c>
      <c r="J27" s="46" t="n">
        <v>7887</v>
      </c>
      <c r="K27" s="46" t="n">
        <v>13383</v>
      </c>
      <c r="L27" s="46" t="n">
        <v>5134</v>
      </c>
      <c r="M27" s="46" t="n">
        <v>5603</v>
      </c>
      <c r="N27" s="46" t="n">
        <v>1557</v>
      </c>
      <c r="O27" s="46" t="n">
        <v>9294</v>
      </c>
      <c r="P27" s="46" t="n">
        <v>10466</v>
      </c>
      <c r="Q27" s="46" t="n">
        <v>3928</v>
      </c>
      <c r="R27" s="46" t="n">
        <v>10552</v>
      </c>
      <c r="S27" s="46" t="n">
        <v>8233</v>
      </c>
      <c r="T27" s="46" t="n">
        <v>9293</v>
      </c>
      <c r="U27" s="46" t="n">
        <v>7233</v>
      </c>
      <c r="V27" s="46" t="n">
        <v>10709</v>
      </c>
      <c r="W27" s="46" t="n">
        <v>13828</v>
      </c>
      <c r="X27" s="46" t="n">
        <v>6164</v>
      </c>
      <c r="Y27" s="46" t="n">
        <v>7823</v>
      </c>
    </row>
    <row r="28">
      <c r="A28" s="43" t="inlineStr">
        <is>
          <t>CMD-0027</t>
        </is>
      </c>
      <c r="B28" s="46" t="n">
        <v>5488</v>
      </c>
      <c r="C28" s="46" t="n">
        <v>6104</v>
      </c>
      <c r="D28" s="46" t="n">
        <v>5379</v>
      </c>
      <c r="E28" s="46" t="n">
        <v>6072</v>
      </c>
      <c r="F28" s="46" t="n">
        <v>5661</v>
      </c>
      <c r="G28" s="46" t="n">
        <v>6577</v>
      </c>
      <c r="H28" s="46" t="n">
        <v>6462</v>
      </c>
      <c r="I28" s="46" t="n">
        <v>7789</v>
      </c>
      <c r="J28" s="46" t="n">
        <v>8850</v>
      </c>
      <c r="K28" s="46" t="n">
        <v>7834</v>
      </c>
      <c r="L28" s="46" t="n">
        <v>5659</v>
      </c>
      <c r="M28" s="46" t="n">
        <v>7153</v>
      </c>
      <c r="N28" s="46" t="n">
        <v>7818</v>
      </c>
      <c r="O28" s="46" t="n">
        <v>6612</v>
      </c>
      <c r="P28" s="46" t="n">
        <v>6888</v>
      </c>
      <c r="Q28" s="46" t="n">
        <v>7167</v>
      </c>
      <c r="R28" s="46" t="n">
        <v>9098</v>
      </c>
      <c r="S28" s="46" t="n">
        <v>8827</v>
      </c>
      <c r="T28" s="46" t="n">
        <v>8838</v>
      </c>
      <c r="U28" s="46" t="n">
        <v>9351</v>
      </c>
      <c r="V28" s="46" t="n">
        <v>10543</v>
      </c>
      <c r="W28" s="46" t="n">
        <v>10415</v>
      </c>
      <c r="X28" s="46" t="n">
        <v>7030</v>
      </c>
      <c r="Y28" s="46" t="n">
        <v>10446</v>
      </c>
    </row>
    <row r="29">
      <c r="A29" s="43" t="inlineStr">
        <is>
          <t>CMD-0028</t>
        </is>
      </c>
      <c r="B29" s="46" t="n">
        <v>2616</v>
      </c>
      <c r="C29" s="46" t="n">
        <v>2447</v>
      </c>
      <c r="D29" s="46" t="n">
        <v>2233</v>
      </c>
      <c r="E29" s="46" t="n">
        <v>2806</v>
      </c>
      <c r="F29" s="46" t="n">
        <v>2570</v>
      </c>
      <c r="G29" s="46" t="n">
        <v>3354</v>
      </c>
      <c r="H29" s="46" t="n">
        <v>2831</v>
      </c>
      <c r="I29" s="46" t="n">
        <v>3298</v>
      </c>
      <c r="J29" s="46" t="n">
        <v>3952</v>
      </c>
      <c r="K29" s="46" t="n">
        <v>3308</v>
      </c>
      <c r="L29" s="46" t="n">
        <v>2562</v>
      </c>
      <c r="M29" s="46" t="n">
        <v>3826</v>
      </c>
      <c r="N29" s="46" t="n">
        <v>3336</v>
      </c>
      <c r="O29" s="46" t="n">
        <v>3243</v>
      </c>
      <c r="P29" s="46" t="n">
        <v>3321</v>
      </c>
      <c r="Q29" s="46" t="n">
        <v>3103</v>
      </c>
      <c r="R29" s="46" t="n">
        <v>3901</v>
      </c>
      <c r="S29" s="46" t="n">
        <v>4237</v>
      </c>
      <c r="T29" s="46" t="n">
        <v>3897</v>
      </c>
      <c r="U29" s="46" t="n">
        <v>4193</v>
      </c>
      <c r="V29" s="46" t="n">
        <v>4839</v>
      </c>
      <c r="W29" s="46" t="n">
        <v>4495</v>
      </c>
      <c r="X29" s="46" t="n">
        <v>3335</v>
      </c>
      <c r="Y29" s="46" t="n">
        <v>4620</v>
      </c>
    </row>
    <row r="30">
      <c r="A30" s="43" t="inlineStr">
        <is>
          <t>CMD-0029</t>
        </is>
      </c>
      <c r="B30" s="46" t="n">
        <v>3152</v>
      </c>
      <c r="C30" s="46" t="n">
        <v>3135</v>
      </c>
      <c r="D30" s="46" t="n">
        <v>2887</v>
      </c>
      <c r="E30" s="46" t="n">
        <v>3337</v>
      </c>
      <c r="F30" s="46" t="n">
        <v>3304</v>
      </c>
      <c r="G30" s="46" t="n">
        <v>4240</v>
      </c>
      <c r="H30" s="46" t="n">
        <v>3680</v>
      </c>
      <c r="I30" s="46" t="n">
        <v>4464</v>
      </c>
      <c r="J30" s="46" t="n">
        <v>4373</v>
      </c>
      <c r="K30" s="46" t="n">
        <v>4269</v>
      </c>
      <c r="L30" s="46" t="n">
        <v>3220</v>
      </c>
      <c r="M30" s="46" t="n">
        <v>4628</v>
      </c>
      <c r="N30" s="46" t="n">
        <v>4173</v>
      </c>
      <c r="O30" s="46" t="n">
        <v>3768</v>
      </c>
      <c r="P30" s="46" t="n">
        <v>4259</v>
      </c>
      <c r="Q30" s="46" t="n">
        <v>3643</v>
      </c>
      <c r="R30" s="46" t="n">
        <v>4463</v>
      </c>
      <c r="S30" s="46" t="n">
        <v>5043</v>
      </c>
      <c r="T30" s="46" t="n">
        <v>4999</v>
      </c>
      <c r="U30" s="46" t="n">
        <v>4810</v>
      </c>
      <c r="V30" s="46" t="n">
        <v>5937</v>
      </c>
      <c r="W30" s="46" t="n">
        <v>5987</v>
      </c>
      <c r="X30" s="46" t="n">
        <v>4047</v>
      </c>
      <c r="Y30" s="46" t="n">
        <v>5823</v>
      </c>
    </row>
    <row r="31">
      <c r="A31" s="43" t="inlineStr">
        <is>
          <t>CMD-0030</t>
        </is>
      </c>
      <c r="B31" s="46" t="n">
        <v>5341</v>
      </c>
      <c r="C31" s="46" t="n">
        <v>5301</v>
      </c>
      <c r="D31" s="46" t="n">
        <v>5663</v>
      </c>
      <c r="E31" s="46" t="n">
        <v>5674</v>
      </c>
      <c r="F31" s="46" t="n">
        <v>5639</v>
      </c>
      <c r="G31" s="46" t="n">
        <v>6318</v>
      </c>
      <c r="H31" s="46" t="n">
        <v>5844</v>
      </c>
      <c r="I31" s="46" t="n">
        <v>6630</v>
      </c>
      <c r="J31" s="46" t="n">
        <v>7895</v>
      </c>
      <c r="K31" s="46" t="n">
        <v>7055</v>
      </c>
      <c r="L31" s="46" t="n">
        <v>5317</v>
      </c>
      <c r="M31" s="46" t="n">
        <v>8079</v>
      </c>
      <c r="N31" s="46" t="n">
        <v>6674</v>
      </c>
      <c r="O31" s="46" t="n">
        <v>6291</v>
      </c>
      <c r="P31" s="46" t="n">
        <v>6442</v>
      </c>
      <c r="Q31" s="46" t="n">
        <v>6297</v>
      </c>
      <c r="R31" s="46" t="n">
        <v>8390</v>
      </c>
      <c r="S31" s="46" t="n">
        <v>8361</v>
      </c>
      <c r="T31" s="46" t="n">
        <v>8257</v>
      </c>
      <c r="U31" s="46" t="n">
        <v>8630</v>
      </c>
      <c r="V31" s="46" t="n">
        <v>10124</v>
      </c>
      <c r="W31" s="46" t="n">
        <v>10504</v>
      </c>
      <c r="X31" s="46" t="n">
        <v>6799</v>
      </c>
      <c r="Y31" s="46" t="n">
        <v>9610</v>
      </c>
    </row>
    <row r="32">
      <c r="A32" s="43" t="inlineStr">
        <is>
          <t>CMD-0031</t>
        </is>
      </c>
      <c r="B32" s="46" t="n">
        <v>398</v>
      </c>
      <c r="C32" s="46" t="n">
        <v>402</v>
      </c>
      <c r="D32" s="46" t="n">
        <v>381</v>
      </c>
      <c r="E32" s="46" t="n">
        <v>415</v>
      </c>
      <c r="F32" s="46" t="n">
        <v>456</v>
      </c>
      <c r="G32" s="46" t="n">
        <v>470</v>
      </c>
      <c r="H32" s="46" t="n">
        <v>430</v>
      </c>
      <c r="I32" s="46" t="n">
        <v>555</v>
      </c>
      <c r="J32" s="46" t="n">
        <v>503</v>
      </c>
      <c r="K32" s="46" t="n">
        <v>481</v>
      </c>
      <c r="L32" s="46" t="n">
        <v>399</v>
      </c>
      <c r="M32" s="46" t="n">
        <v>461</v>
      </c>
      <c r="N32" s="46" t="n">
        <v>417</v>
      </c>
      <c r="O32" s="46" t="n">
        <v>407</v>
      </c>
      <c r="P32" s="46" t="n">
        <v>431</v>
      </c>
      <c r="Q32" s="46" t="n">
        <v>442</v>
      </c>
      <c r="R32" s="46" t="n">
        <v>442</v>
      </c>
      <c r="S32" s="46" t="n">
        <v>545</v>
      </c>
      <c r="T32" s="46" t="n">
        <v>436</v>
      </c>
      <c r="U32" s="46" t="n">
        <v>569</v>
      </c>
      <c r="V32" s="46" t="n">
        <v>556</v>
      </c>
      <c r="W32" s="46" t="n">
        <v>527</v>
      </c>
      <c r="X32" s="46" t="n">
        <v>351</v>
      </c>
      <c r="Y32" s="46" t="n">
        <v>571</v>
      </c>
    </row>
    <row r="33">
      <c r="A33" s="43" t="inlineStr">
        <is>
          <t>CMD-0032</t>
        </is>
      </c>
      <c r="B33" s="46" t="n">
        <v>957</v>
      </c>
      <c r="C33" s="46" t="n">
        <v>408</v>
      </c>
      <c r="D33" s="46" t="n">
        <v>294</v>
      </c>
      <c r="E33" s="46" t="n">
        <v>656</v>
      </c>
      <c r="F33" s="46" t="n">
        <v>1077</v>
      </c>
      <c r="G33" s="46" t="n">
        <v>871</v>
      </c>
      <c r="H33" s="46" t="n">
        <v>1140</v>
      </c>
      <c r="I33" s="46" t="n">
        <v>931</v>
      </c>
      <c r="J33" s="46" t="n">
        <v>1111</v>
      </c>
      <c r="K33" s="46" t="n">
        <v>683</v>
      </c>
      <c r="L33" s="46" t="n">
        <v>367</v>
      </c>
      <c r="M33" s="46" t="n">
        <v>541</v>
      </c>
      <c r="N33" s="46" t="n">
        <v>658</v>
      </c>
      <c r="O33" s="46" t="n">
        <v>1405</v>
      </c>
      <c r="P33" s="46" t="n">
        <v>451</v>
      </c>
      <c r="Q33" s="46" t="n">
        <v>625</v>
      </c>
      <c r="R33" s="46" t="n">
        <v>1262</v>
      </c>
      <c r="S33" s="46" t="n">
        <v>824</v>
      </c>
      <c r="T33" s="46" t="n">
        <v>1126</v>
      </c>
      <c r="U33" s="46" t="n">
        <v>224</v>
      </c>
      <c r="V33" s="46" t="n">
        <v>733</v>
      </c>
      <c r="W33" s="46" t="n">
        <v>1278</v>
      </c>
      <c r="X33" s="46" t="n">
        <v>305</v>
      </c>
      <c r="Y33" s="46" t="n">
        <v>1127</v>
      </c>
    </row>
    <row r="34">
      <c r="A34" s="43" t="inlineStr">
        <is>
          <t>CMD-0033</t>
        </is>
      </c>
      <c r="B34" s="46" t="n">
        <v>3073</v>
      </c>
      <c r="C34" s="46" t="n">
        <v>2422</v>
      </c>
      <c r="D34" s="46" t="n">
        <v>4356</v>
      </c>
      <c r="E34" s="46" t="n">
        <v>1746</v>
      </c>
      <c r="F34" s="46" t="n">
        <v>3975</v>
      </c>
      <c r="G34" s="46" t="n">
        <v>3546</v>
      </c>
      <c r="H34" s="46" t="n">
        <v>3864</v>
      </c>
      <c r="I34" s="46" t="n">
        <v>3100</v>
      </c>
      <c r="J34" s="46" t="n">
        <v>5129</v>
      </c>
      <c r="K34" s="46" t="n">
        <v>2335</v>
      </c>
      <c r="L34" s="46" t="n">
        <v>3072</v>
      </c>
      <c r="M34" s="46" t="n">
        <v>3972</v>
      </c>
      <c r="N34" s="46" t="n">
        <v>4365</v>
      </c>
      <c r="O34" s="46" t="n">
        <v>2716</v>
      </c>
      <c r="P34" s="46" t="n">
        <v>3612</v>
      </c>
      <c r="Q34" s="46" t="n">
        <v>2216</v>
      </c>
      <c r="R34" s="46" t="n">
        <v>3510</v>
      </c>
      <c r="S34" s="46" t="n">
        <v>3905</v>
      </c>
      <c r="T34" s="46" t="n">
        <v>3315</v>
      </c>
      <c r="U34" s="46" t="n">
        <v>3423</v>
      </c>
      <c r="V34" s="46" t="n">
        <v>2995</v>
      </c>
      <c r="W34" s="46" t="n">
        <v>4613</v>
      </c>
      <c r="X34" s="46" t="n">
        <v>4900</v>
      </c>
      <c r="Y34" s="46" t="n">
        <v>8698</v>
      </c>
    </row>
    <row r="35">
      <c r="A35" s="43" t="inlineStr">
        <is>
          <t>CMD-0034</t>
        </is>
      </c>
      <c r="B35" s="46" t="n">
        <v>652</v>
      </c>
      <c r="C35" s="46" t="n">
        <v>762</v>
      </c>
      <c r="D35" s="46" t="n">
        <v>253</v>
      </c>
      <c r="E35" s="46" t="n">
        <v>921</v>
      </c>
      <c r="F35" s="46" t="n">
        <v>856</v>
      </c>
      <c r="G35" s="46" t="n">
        <v>663</v>
      </c>
      <c r="H35" s="46" t="n">
        <v>822</v>
      </c>
      <c r="I35" s="46" t="n">
        <v>537</v>
      </c>
      <c r="J35" s="46" t="n">
        <v>832</v>
      </c>
      <c r="K35" s="46" t="n">
        <v>477</v>
      </c>
      <c r="L35" s="46" t="n">
        <v>560</v>
      </c>
      <c r="M35" s="46" t="n">
        <v>738</v>
      </c>
      <c r="N35" s="46" t="n">
        <v>520</v>
      </c>
      <c r="O35" s="46" t="n">
        <v>411</v>
      </c>
      <c r="P35" s="46" t="n">
        <v>580</v>
      </c>
      <c r="Q35" s="46" t="n">
        <v>485</v>
      </c>
      <c r="R35" s="46" t="n">
        <v>635</v>
      </c>
      <c r="S35" s="46" t="n">
        <v>409</v>
      </c>
      <c r="T35" s="46" t="n">
        <v>993</v>
      </c>
      <c r="U35" s="46" t="n">
        <v>696</v>
      </c>
      <c r="V35" s="46" t="n">
        <v>1018</v>
      </c>
      <c r="W35" s="46" t="n">
        <v>361</v>
      </c>
      <c r="X35" s="46" t="n">
        <v>455</v>
      </c>
      <c r="Y35" s="46" t="n">
        <v>1122</v>
      </c>
    </row>
    <row r="36">
      <c r="A36" s="43" t="inlineStr">
        <is>
          <t>CMD-0035</t>
        </is>
      </c>
      <c r="B36" s="46" t="n">
        <v>411</v>
      </c>
      <c r="C36" s="46" t="n">
        <v>124</v>
      </c>
      <c r="D36" s="46" t="n">
        <v>646</v>
      </c>
      <c r="E36" s="46" t="n">
        <v>1114</v>
      </c>
      <c r="F36" s="46" t="n">
        <v>211</v>
      </c>
      <c r="G36" s="46" t="n">
        <v>830</v>
      </c>
      <c r="H36" s="46" t="n">
        <v>746</v>
      </c>
      <c r="I36" s="46" t="n">
        <v>241</v>
      </c>
      <c r="J36" s="46" t="n">
        <v>921</v>
      </c>
      <c r="K36" s="46" t="n">
        <v>698</v>
      </c>
      <c r="L36" s="46" t="n">
        <v>498</v>
      </c>
      <c r="M36" s="46" t="n">
        <v>896</v>
      </c>
      <c r="N36" s="46" t="n">
        <v>702</v>
      </c>
      <c r="O36" s="46" t="n">
        <v>929</v>
      </c>
      <c r="P36" s="46" t="n">
        <v>1253</v>
      </c>
      <c r="Q36" s="46" t="n">
        <v>636</v>
      </c>
      <c r="R36" s="46" t="n">
        <v>816</v>
      </c>
      <c r="S36" s="46" t="n">
        <v>506</v>
      </c>
      <c r="T36" s="46" t="n">
        <v>1129</v>
      </c>
      <c r="U36" s="46" t="n">
        <v>431</v>
      </c>
      <c r="V36" s="46" t="n">
        <v>729</v>
      </c>
      <c r="W36" s="46" t="n">
        <v>753</v>
      </c>
      <c r="X36" s="46" t="n">
        <v>528</v>
      </c>
      <c r="Y36" s="46" t="n">
        <v>554</v>
      </c>
    </row>
    <row r="37">
      <c r="A37" s="43" t="inlineStr">
        <is>
          <t>CMD-0036</t>
        </is>
      </c>
      <c r="B37" s="46" t="n">
        <v>436</v>
      </c>
      <c r="C37" s="46" t="n">
        <v>375</v>
      </c>
      <c r="D37" s="46" t="n">
        <v>977</v>
      </c>
      <c r="E37" s="46" t="n">
        <v>429</v>
      </c>
      <c r="F37" s="46" t="n">
        <v>236</v>
      </c>
      <c r="G37" s="46" t="n">
        <v>429</v>
      </c>
      <c r="H37" s="46" t="n">
        <v>1285</v>
      </c>
      <c r="I37" s="46" t="n">
        <v>500</v>
      </c>
      <c r="J37" s="46" t="n">
        <v>99</v>
      </c>
      <c r="K37" s="46" t="n">
        <v>478</v>
      </c>
      <c r="L37" s="46" t="n">
        <v>406</v>
      </c>
      <c r="M37" s="46" t="n">
        <v>251</v>
      </c>
      <c r="N37" s="46" t="n">
        <v>472</v>
      </c>
      <c r="O37" s="46" t="n">
        <v>396</v>
      </c>
      <c r="P37" s="46" t="n">
        <v>85</v>
      </c>
      <c r="Q37" s="46" t="n">
        <v>86</v>
      </c>
      <c r="R37" s="46" t="n">
        <v>967</v>
      </c>
      <c r="S37" s="46" t="n">
        <v>1152</v>
      </c>
      <c r="T37" s="46" t="n">
        <v>227</v>
      </c>
      <c r="U37" s="46" t="n">
        <v>1195</v>
      </c>
      <c r="V37" s="46" t="n">
        <v>1100</v>
      </c>
      <c r="W37" s="46" t="n">
        <v>496</v>
      </c>
      <c r="X37" s="46" t="n">
        <v>75</v>
      </c>
      <c r="Y37" s="46" t="n">
        <v>101</v>
      </c>
    </row>
    <row r="38">
      <c r="A38" s="43" t="inlineStr">
        <is>
          <t>CMD-0037</t>
        </is>
      </c>
      <c r="B38" s="46" t="n">
        <v>428</v>
      </c>
      <c r="C38" s="46" t="n">
        <v>383</v>
      </c>
      <c r="D38" s="46" t="n">
        <v>363</v>
      </c>
      <c r="E38" s="46" t="n">
        <v>405</v>
      </c>
      <c r="F38" s="46" t="n">
        <v>464</v>
      </c>
      <c r="G38" s="46" t="n">
        <v>439</v>
      </c>
      <c r="H38" s="46" t="n">
        <v>418</v>
      </c>
      <c r="I38" s="46" t="n">
        <v>506</v>
      </c>
      <c r="J38" s="46" t="n">
        <v>523</v>
      </c>
      <c r="K38" s="46" t="n">
        <v>474</v>
      </c>
      <c r="L38" s="46" t="n">
        <v>337</v>
      </c>
      <c r="M38" s="46" t="n">
        <v>460</v>
      </c>
      <c r="N38" s="46" t="n">
        <v>458</v>
      </c>
      <c r="O38" s="46" t="n">
        <v>406</v>
      </c>
      <c r="P38" s="46" t="n">
        <v>421</v>
      </c>
      <c r="Q38" s="46" t="n">
        <v>434</v>
      </c>
      <c r="R38" s="46" t="n">
        <v>397</v>
      </c>
      <c r="S38" s="46" t="n">
        <v>498</v>
      </c>
      <c r="T38" s="46" t="n">
        <v>480</v>
      </c>
      <c r="U38" s="46" t="n">
        <v>534</v>
      </c>
      <c r="V38" s="46" t="n">
        <v>555</v>
      </c>
      <c r="W38" s="46" t="n">
        <v>503</v>
      </c>
      <c r="X38" s="46" t="n">
        <v>360</v>
      </c>
      <c r="Y38" s="46" t="n">
        <v>528</v>
      </c>
    </row>
    <row r="39">
      <c r="A39" s="43" t="inlineStr">
        <is>
          <t>CMD-0038</t>
        </is>
      </c>
      <c r="B39" s="46" t="n">
        <v>1208</v>
      </c>
      <c r="C39" s="46" t="n">
        <v>835</v>
      </c>
      <c r="D39" s="46" t="n">
        <v>883</v>
      </c>
      <c r="E39" s="46" t="n">
        <v>668</v>
      </c>
      <c r="F39" s="46" t="n">
        <v>809</v>
      </c>
      <c r="G39" s="46" t="n">
        <v>1113</v>
      </c>
      <c r="H39" s="46" t="n">
        <v>806</v>
      </c>
      <c r="I39" s="46" t="n">
        <v>700</v>
      </c>
      <c r="J39" s="46" t="n">
        <v>797</v>
      </c>
      <c r="K39" s="46" t="n">
        <v>967</v>
      </c>
      <c r="L39" s="46" t="n">
        <v>1023</v>
      </c>
      <c r="M39" s="46" t="n">
        <v>1046</v>
      </c>
      <c r="N39" s="46" t="n">
        <v>729</v>
      </c>
      <c r="O39" s="46" t="n">
        <v>814</v>
      </c>
      <c r="P39" s="46" t="n">
        <v>821</v>
      </c>
      <c r="Q39" s="46" t="n">
        <v>524</v>
      </c>
      <c r="R39" s="46" t="n">
        <v>832</v>
      </c>
      <c r="S39" s="46" t="n">
        <v>967</v>
      </c>
      <c r="T39" s="46" t="n">
        <v>884</v>
      </c>
      <c r="U39" s="46" t="n">
        <v>856</v>
      </c>
      <c r="V39" s="46" t="n">
        <v>1195</v>
      </c>
      <c r="W39" s="46" t="n">
        <v>958</v>
      </c>
      <c r="X39" s="46" t="n">
        <v>601</v>
      </c>
      <c r="Y39" s="46" t="n">
        <v>1518</v>
      </c>
    </row>
    <row r="40">
      <c r="A40" s="43" t="inlineStr">
        <is>
          <t>CMD-0039</t>
        </is>
      </c>
      <c r="B40" s="46" t="n">
        <v>286</v>
      </c>
      <c r="C40" s="46" t="n">
        <v>298</v>
      </c>
      <c r="D40" s="46" t="n">
        <v>310</v>
      </c>
      <c r="E40" s="46" t="n">
        <v>358</v>
      </c>
      <c r="F40" s="46" t="n">
        <v>262</v>
      </c>
      <c r="G40" s="46" t="n">
        <v>322</v>
      </c>
      <c r="H40" s="46" t="n">
        <v>339</v>
      </c>
      <c r="I40" s="46" t="n">
        <v>346</v>
      </c>
      <c r="J40" s="46" t="n">
        <v>318</v>
      </c>
      <c r="K40" s="46" t="n">
        <v>312</v>
      </c>
      <c r="L40" s="46" t="n">
        <v>291</v>
      </c>
      <c r="M40" s="46" t="n">
        <v>301</v>
      </c>
      <c r="N40" s="46" t="n">
        <v>340</v>
      </c>
      <c r="O40" s="46" t="n">
        <v>333</v>
      </c>
      <c r="P40" s="46" t="n">
        <v>319</v>
      </c>
      <c r="Q40" s="46" t="n">
        <v>287</v>
      </c>
      <c r="R40" s="46" t="n">
        <v>336</v>
      </c>
      <c r="S40" s="46" t="n">
        <v>326</v>
      </c>
      <c r="T40" s="46" t="n">
        <v>370</v>
      </c>
      <c r="U40" s="46" t="n">
        <v>401</v>
      </c>
      <c r="V40" s="46" t="n">
        <v>435</v>
      </c>
      <c r="W40" s="46" t="n">
        <v>408</v>
      </c>
      <c r="X40" s="46" t="n">
        <v>283</v>
      </c>
      <c r="Y40" s="46" t="n">
        <v>359</v>
      </c>
    </row>
    <row r="41">
      <c r="A41" s="43" t="inlineStr">
        <is>
          <t>CMD-0040</t>
        </is>
      </c>
      <c r="B41" s="46" t="n">
        <v>174</v>
      </c>
      <c r="C41" s="46" t="n">
        <v>246</v>
      </c>
      <c r="D41" s="46" t="n">
        <v>99</v>
      </c>
      <c r="E41" s="46" t="n">
        <v>244</v>
      </c>
      <c r="F41" s="46" t="n">
        <v>221</v>
      </c>
      <c r="G41" s="46" t="n">
        <v>359</v>
      </c>
      <c r="H41" s="46" t="n">
        <v>207</v>
      </c>
      <c r="I41" s="46" t="n">
        <v>551</v>
      </c>
      <c r="J41" s="46" t="n">
        <v>470</v>
      </c>
      <c r="K41" s="46" t="n">
        <v>214</v>
      </c>
      <c r="L41" s="46" t="n">
        <v>100</v>
      </c>
      <c r="M41" s="46" t="n">
        <v>142</v>
      </c>
      <c r="N41" s="46" t="n">
        <v>377</v>
      </c>
      <c r="O41" s="46" t="n">
        <v>186</v>
      </c>
      <c r="P41" s="46" t="n">
        <v>289</v>
      </c>
      <c r="Q41" s="46" t="n">
        <v>346</v>
      </c>
      <c r="R41" s="46" t="n">
        <v>393</v>
      </c>
      <c r="S41" s="46" t="n">
        <v>389</v>
      </c>
      <c r="T41" s="46" t="n">
        <v>206</v>
      </c>
      <c r="U41" s="46" t="n">
        <v>456</v>
      </c>
      <c r="V41" s="46" t="n">
        <v>537</v>
      </c>
      <c r="W41" s="46" t="n">
        <v>496</v>
      </c>
      <c r="X41" s="46" t="n">
        <v>352</v>
      </c>
      <c r="Y41" s="46" t="n">
        <v>209</v>
      </c>
    </row>
    <row r="42">
      <c r="A42" s="43" t="inlineStr">
        <is>
          <t>CMD-0041</t>
        </is>
      </c>
      <c r="B42" s="46" t="n">
        <v>367</v>
      </c>
      <c r="C42" s="46" t="n">
        <v>387</v>
      </c>
      <c r="D42" s="46" t="n">
        <v>391</v>
      </c>
      <c r="E42" s="46" t="n">
        <v>389</v>
      </c>
      <c r="F42" s="46" t="n">
        <v>418</v>
      </c>
      <c r="G42" s="46" t="n">
        <v>443</v>
      </c>
      <c r="H42" s="46" t="n">
        <v>422</v>
      </c>
      <c r="I42" s="46" t="n">
        <v>530</v>
      </c>
      <c r="J42" s="46" t="n">
        <v>490</v>
      </c>
      <c r="K42" s="46" t="n">
        <v>489</v>
      </c>
      <c r="L42" s="46" t="n">
        <v>365</v>
      </c>
      <c r="M42" s="46" t="n">
        <v>482</v>
      </c>
      <c r="N42" s="46" t="n">
        <v>472</v>
      </c>
      <c r="O42" s="46" t="n">
        <v>397</v>
      </c>
      <c r="P42" s="46" t="n">
        <v>394</v>
      </c>
      <c r="Q42" s="46" t="n">
        <v>457</v>
      </c>
      <c r="R42" s="46" t="n">
        <v>421</v>
      </c>
      <c r="S42" s="46" t="n">
        <v>516</v>
      </c>
      <c r="T42" s="46" t="n">
        <v>455</v>
      </c>
      <c r="U42" s="46" t="n">
        <v>572</v>
      </c>
      <c r="V42" s="46" t="n">
        <v>545</v>
      </c>
      <c r="W42" s="46" t="n">
        <v>537</v>
      </c>
      <c r="X42" s="46" t="n">
        <v>362</v>
      </c>
      <c r="Y42" s="46" t="n">
        <v>544</v>
      </c>
    </row>
    <row r="43">
      <c r="A43" s="43" t="inlineStr">
        <is>
          <t>CMD-0042</t>
        </is>
      </c>
      <c r="B43" s="46" t="n">
        <v>569</v>
      </c>
      <c r="C43" s="46" t="n">
        <v>647</v>
      </c>
      <c r="D43" s="46" t="n">
        <v>590</v>
      </c>
      <c r="E43" s="46" t="n">
        <v>657</v>
      </c>
      <c r="F43" s="46" t="n">
        <v>528</v>
      </c>
      <c r="G43" s="46" t="n">
        <v>655</v>
      </c>
      <c r="H43" s="46" t="n">
        <v>674</v>
      </c>
      <c r="I43" s="46" t="n">
        <v>742</v>
      </c>
      <c r="J43" s="46" t="n">
        <v>654</v>
      </c>
      <c r="K43" s="46" t="n">
        <v>684</v>
      </c>
      <c r="L43" s="46" t="n">
        <v>559</v>
      </c>
      <c r="M43" s="46" t="n">
        <v>641</v>
      </c>
      <c r="N43" s="46" t="n">
        <v>724</v>
      </c>
      <c r="O43" s="46" t="n">
        <v>635</v>
      </c>
      <c r="P43" s="46" t="n">
        <v>668</v>
      </c>
      <c r="Q43" s="46" t="n">
        <v>607</v>
      </c>
      <c r="R43" s="46" t="n">
        <v>654</v>
      </c>
      <c r="S43" s="46" t="n">
        <v>627</v>
      </c>
      <c r="T43" s="46" t="n">
        <v>691</v>
      </c>
      <c r="U43" s="46" t="n">
        <v>694</v>
      </c>
      <c r="V43" s="46" t="n">
        <v>890</v>
      </c>
      <c r="W43" s="46" t="n">
        <v>786</v>
      </c>
      <c r="X43" s="46" t="n">
        <v>546</v>
      </c>
      <c r="Y43" s="46" t="n">
        <v>757</v>
      </c>
    </row>
    <row r="44">
      <c r="A44" s="43" t="inlineStr">
        <is>
          <t>CMD-0043</t>
        </is>
      </c>
      <c r="B44" s="46" t="n">
        <v>3770</v>
      </c>
      <c r="C44" s="46" t="n">
        <v>1826</v>
      </c>
      <c r="D44" s="46" t="n">
        <v>1710</v>
      </c>
      <c r="E44" s="46" t="n">
        <v>3855</v>
      </c>
      <c r="F44" s="46" t="n">
        <v>12424</v>
      </c>
      <c r="G44" s="46" t="n">
        <v>2030</v>
      </c>
      <c r="H44" s="46" t="n">
        <v>4253</v>
      </c>
      <c r="I44" s="46" t="n">
        <v>908</v>
      </c>
      <c r="J44" s="46" t="n">
        <v>1077</v>
      </c>
      <c r="K44" s="46" t="n">
        <v>986</v>
      </c>
      <c r="L44" s="46" t="n">
        <v>7533</v>
      </c>
      <c r="M44" s="46" t="n">
        <v>969</v>
      </c>
      <c r="N44" s="46" t="n">
        <v>2345</v>
      </c>
      <c r="O44" s="46" t="n">
        <v>13161</v>
      </c>
      <c r="P44" s="46" t="n">
        <v>9497</v>
      </c>
      <c r="Q44" s="46" t="n">
        <v>4366</v>
      </c>
      <c r="R44" s="46" t="n">
        <v>14336</v>
      </c>
      <c r="S44" s="46" t="n">
        <v>5505</v>
      </c>
      <c r="T44" s="46" t="n">
        <v>5567</v>
      </c>
      <c r="U44" s="46" t="n">
        <v>5470</v>
      </c>
      <c r="V44" s="46" t="n">
        <v>18930</v>
      </c>
      <c r="W44" s="46" t="n">
        <v>18588</v>
      </c>
      <c r="X44" s="46" t="n">
        <v>2322</v>
      </c>
      <c r="Y44" s="46" t="n">
        <v>6295</v>
      </c>
    </row>
    <row r="45">
      <c r="A45" s="43" t="inlineStr">
        <is>
          <t>CMD-0044</t>
        </is>
      </c>
      <c r="B45" s="46" t="n">
        <v>5172</v>
      </c>
      <c r="C45" s="46" t="n">
        <v>4999</v>
      </c>
      <c r="D45" s="46" t="n">
        <v>4841</v>
      </c>
      <c r="E45" s="46" t="n">
        <v>5230</v>
      </c>
      <c r="F45" s="46" t="n">
        <v>5599</v>
      </c>
      <c r="G45" s="46" t="n">
        <v>6264</v>
      </c>
      <c r="H45" s="46" t="n">
        <v>5888</v>
      </c>
      <c r="I45" s="46" t="n">
        <v>7469</v>
      </c>
      <c r="J45" s="46" t="n">
        <v>7511</v>
      </c>
      <c r="K45" s="46" t="n">
        <v>6800</v>
      </c>
      <c r="L45" s="46" t="n">
        <v>5149</v>
      </c>
      <c r="M45" s="46" t="n">
        <v>7601</v>
      </c>
      <c r="N45" s="46" t="n">
        <v>6816</v>
      </c>
      <c r="O45" s="46" t="n">
        <v>6351</v>
      </c>
      <c r="P45" s="46" t="n">
        <v>6900</v>
      </c>
      <c r="Q45" s="46" t="n">
        <v>5605</v>
      </c>
      <c r="R45" s="46" t="n">
        <v>7413</v>
      </c>
      <c r="S45" s="46" t="n">
        <v>8960</v>
      </c>
      <c r="T45" s="46" t="n">
        <v>8698</v>
      </c>
      <c r="U45" s="46" t="n">
        <v>7729</v>
      </c>
      <c r="V45" s="46" t="n">
        <v>10078</v>
      </c>
      <c r="W45" s="46" t="n">
        <v>9819</v>
      </c>
      <c r="X45" s="46" t="n">
        <v>6776</v>
      </c>
      <c r="Y45" s="46" t="n">
        <v>9380</v>
      </c>
    </row>
    <row r="46">
      <c r="A46" s="43" t="inlineStr">
        <is>
          <t>CMD-0045</t>
        </is>
      </c>
      <c r="B46" s="46" t="n">
        <v>3231</v>
      </c>
      <c r="C46" s="46" t="n">
        <v>3048</v>
      </c>
      <c r="D46" s="46" t="n">
        <v>2937</v>
      </c>
      <c r="E46" s="46" t="n">
        <v>3076</v>
      </c>
      <c r="F46" s="46" t="n">
        <v>3022</v>
      </c>
      <c r="G46" s="46" t="n">
        <v>3690</v>
      </c>
      <c r="H46" s="46" t="n">
        <v>3349</v>
      </c>
      <c r="I46" s="46" t="n">
        <v>3786</v>
      </c>
      <c r="J46" s="46" t="n">
        <v>4431</v>
      </c>
      <c r="K46" s="46" t="n">
        <v>4096</v>
      </c>
      <c r="L46" s="46" t="n">
        <v>2846</v>
      </c>
      <c r="M46" s="46" t="n">
        <v>4010</v>
      </c>
      <c r="N46" s="46" t="n">
        <v>3748</v>
      </c>
      <c r="O46" s="46" t="n">
        <v>3912</v>
      </c>
      <c r="P46" s="46" t="n">
        <v>3526</v>
      </c>
      <c r="Q46" s="46" t="n">
        <v>3194</v>
      </c>
      <c r="R46" s="46" t="n">
        <v>4083</v>
      </c>
      <c r="S46" s="46" t="n">
        <v>4686</v>
      </c>
      <c r="T46" s="46" t="n">
        <v>4841</v>
      </c>
      <c r="U46" s="46" t="n">
        <v>4898</v>
      </c>
      <c r="V46" s="46" t="n">
        <v>5551</v>
      </c>
      <c r="W46" s="46" t="n">
        <v>5181</v>
      </c>
      <c r="X46" s="46" t="n">
        <v>3939</v>
      </c>
      <c r="Y46" s="46" t="n">
        <v>5152</v>
      </c>
    </row>
    <row r="47">
      <c r="A47" s="43" t="inlineStr">
        <is>
          <t>CMD-0046</t>
        </is>
      </c>
      <c r="B47" s="46" t="n">
        <v>3358</v>
      </c>
      <c r="C47" s="46" t="n">
        <v>21657</v>
      </c>
      <c r="D47" s="46" t="n">
        <v>18703</v>
      </c>
      <c r="E47" s="46" t="n">
        <v>6237</v>
      </c>
      <c r="F47" s="46" t="n">
        <v>1482</v>
      </c>
      <c r="G47" s="46" t="n">
        <v>17818</v>
      </c>
      <c r="H47" s="46" t="n">
        <v>1475</v>
      </c>
      <c r="I47" s="46" t="n">
        <v>7942</v>
      </c>
      <c r="J47" s="46" t="n">
        <v>4836</v>
      </c>
      <c r="K47" s="46" t="n">
        <v>4431</v>
      </c>
      <c r="L47" s="46" t="n">
        <v>6334</v>
      </c>
      <c r="M47" s="46" t="n">
        <v>9462</v>
      </c>
      <c r="N47" s="46" t="n">
        <v>1669</v>
      </c>
      <c r="O47" s="46" t="n">
        <v>1688</v>
      </c>
      <c r="P47" s="46" t="n">
        <v>24675</v>
      </c>
      <c r="Q47" s="46" t="n">
        <v>8030</v>
      </c>
      <c r="R47" s="46" t="n">
        <v>19270</v>
      </c>
      <c r="S47" s="46" t="n">
        <v>28888</v>
      </c>
      <c r="T47" s="46" t="n">
        <v>5162</v>
      </c>
      <c r="U47" s="46" t="n">
        <v>2041</v>
      </c>
      <c r="V47" s="46" t="n">
        <v>11190</v>
      </c>
      <c r="W47" s="46" t="n">
        <v>2319</v>
      </c>
      <c r="X47" s="46" t="n">
        <v>4262</v>
      </c>
      <c r="Y47" s="46" t="n">
        <v>5891</v>
      </c>
    </row>
    <row r="48">
      <c r="A48" s="43" t="inlineStr">
        <is>
          <t>CMD-0047</t>
        </is>
      </c>
      <c r="B48" s="46" t="n">
        <v>16351</v>
      </c>
      <c r="C48" s="46" t="n">
        <v>14377</v>
      </c>
      <c r="D48" s="46" t="n">
        <v>15040</v>
      </c>
      <c r="E48" s="46" t="n">
        <v>18325</v>
      </c>
      <c r="F48" s="46" t="n">
        <v>16437</v>
      </c>
      <c r="G48" s="46" t="n">
        <v>15382</v>
      </c>
      <c r="H48" s="46" t="n">
        <v>17163</v>
      </c>
      <c r="I48" s="46" t="n">
        <v>19244</v>
      </c>
      <c r="J48" s="46" t="n">
        <v>18734</v>
      </c>
      <c r="K48" s="46" t="n">
        <v>19214</v>
      </c>
      <c r="L48" s="46" t="n">
        <v>14057</v>
      </c>
      <c r="M48" s="46" t="n">
        <v>19470</v>
      </c>
      <c r="N48" s="46" t="n">
        <v>18831</v>
      </c>
      <c r="O48" s="46" t="n">
        <v>17549</v>
      </c>
      <c r="P48" s="46" t="n">
        <v>16433</v>
      </c>
      <c r="Q48" s="46" t="n">
        <v>17680</v>
      </c>
      <c r="R48" s="46" t="n">
        <v>17317</v>
      </c>
      <c r="S48" s="46" t="n">
        <v>20894</v>
      </c>
      <c r="T48" s="46" t="n">
        <v>17085</v>
      </c>
      <c r="U48" s="46" t="n">
        <v>22039</v>
      </c>
      <c r="V48" s="46" t="n">
        <v>24084</v>
      </c>
      <c r="W48" s="46" t="n">
        <v>23439</v>
      </c>
      <c r="X48" s="46" t="n">
        <v>15878</v>
      </c>
      <c r="Y48" s="46" t="n">
        <v>21239</v>
      </c>
    </row>
    <row r="49">
      <c r="A49" s="43" t="inlineStr">
        <is>
          <t>CMD-0048</t>
        </is>
      </c>
      <c r="B49" s="46" t="n">
        <v>15375</v>
      </c>
      <c r="C49" s="46" t="n">
        <v>8587</v>
      </c>
      <c r="D49" s="46" t="n">
        <v>31580</v>
      </c>
      <c r="E49" s="46" t="n">
        <v>3439</v>
      </c>
      <c r="F49" s="46" t="n">
        <v>3269</v>
      </c>
      <c r="G49" s="46" t="n">
        <v>3624</v>
      </c>
      <c r="H49" s="46" t="n">
        <v>3784</v>
      </c>
      <c r="I49" s="46" t="n">
        <v>60379</v>
      </c>
      <c r="J49" s="46" t="n">
        <v>9452</v>
      </c>
      <c r="K49" s="46" t="n">
        <v>9477</v>
      </c>
      <c r="L49" s="46" t="n">
        <v>32036</v>
      </c>
      <c r="M49" s="46" t="n">
        <v>3844</v>
      </c>
      <c r="N49" s="46" t="n">
        <v>8962</v>
      </c>
      <c r="O49" s="46" t="n">
        <v>51843</v>
      </c>
      <c r="P49" s="46" t="n">
        <v>55727</v>
      </c>
      <c r="Q49" s="46" t="n">
        <v>50309</v>
      </c>
      <c r="R49" s="46" t="n">
        <v>9658</v>
      </c>
      <c r="S49" s="46" t="n">
        <v>19693</v>
      </c>
      <c r="T49" s="46" t="n">
        <v>19721</v>
      </c>
      <c r="U49" s="46" t="n">
        <v>10092</v>
      </c>
      <c r="V49" s="46" t="n">
        <v>4839</v>
      </c>
      <c r="W49" s="46" t="n">
        <v>10678</v>
      </c>
      <c r="X49" s="46" t="n">
        <v>3186</v>
      </c>
      <c r="Y49" s="46" t="n">
        <v>19706</v>
      </c>
    </row>
    <row r="50">
      <c r="A50" s="43" t="inlineStr">
        <is>
          <t>CMD-0049</t>
        </is>
      </c>
      <c r="B50" s="46" t="n">
        <v>9416</v>
      </c>
      <c r="C50" s="46" t="n">
        <v>10328</v>
      </c>
      <c r="D50" s="46" t="n">
        <v>10232</v>
      </c>
      <c r="E50" s="46" t="n">
        <v>12379</v>
      </c>
      <c r="F50" s="46" t="n">
        <v>10265</v>
      </c>
      <c r="G50" s="46" t="n">
        <v>12677</v>
      </c>
      <c r="H50" s="46" t="n">
        <v>12517</v>
      </c>
      <c r="I50" s="46" t="n">
        <v>12092</v>
      </c>
      <c r="J50" s="46" t="n">
        <v>12560</v>
      </c>
      <c r="K50" s="46" t="n">
        <v>11232</v>
      </c>
      <c r="L50" s="46" t="n">
        <v>9142</v>
      </c>
      <c r="M50" s="46" t="n">
        <v>10323</v>
      </c>
      <c r="N50" s="46" t="n">
        <v>12054</v>
      </c>
      <c r="O50" s="46" t="n">
        <v>11253</v>
      </c>
      <c r="P50" s="46" t="n">
        <v>11462</v>
      </c>
      <c r="Q50" s="46" t="n">
        <v>11637</v>
      </c>
      <c r="R50" s="46" t="n">
        <v>12852</v>
      </c>
      <c r="S50" s="46" t="n">
        <v>11689</v>
      </c>
      <c r="T50" s="46" t="n">
        <v>13338</v>
      </c>
      <c r="U50" s="46" t="n">
        <v>14814</v>
      </c>
      <c r="V50" s="46" t="n">
        <v>15314</v>
      </c>
      <c r="W50" s="46" t="n">
        <v>14373</v>
      </c>
      <c r="X50" s="46" t="n">
        <v>9738</v>
      </c>
      <c r="Y50" s="46" t="n">
        <v>13222</v>
      </c>
    </row>
    <row r="51">
      <c r="A51" s="43" t="inlineStr">
        <is>
          <t>CMD-0050</t>
        </is>
      </c>
      <c r="B51" s="46" t="n">
        <v>59896</v>
      </c>
      <c r="C51" s="46" t="n">
        <v>54922</v>
      </c>
      <c r="D51" s="46" t="n">
        <v>56115</v>
      </c>
      <c r="E51" s="46" t="n">
        <v>59549</v>
      </c>
      <c r="F51" s="46" t="n">
        <v>62908</v>
      </c>
      <c r="G51" s="46" t="n">
        <v>75054</v>
      </c>
      <c r="H51" s="46" t="n">
        <v>77486</v>
      </c>
      <c r="I51" s="46" t="n">
        <v>86172</v>
      </c>
      <c r="J51" s="46" t="n">
        <v>77838</v>
      </c>
      <c r="K51" s="46" t="n">
        <v>77981</v>
      </c>
      <c r="L51" s="46" t="n">
        <v>58507</v>
      </c>
      <c r="M51" s="46" t="n">
        <v>86411</v>
      </c>
      <c r="N51" s="46" t="n">
        <v>84263</v>
      </c>
      <c r="O51" s="46" t="n">
        <v>63526</v>
      </c>
      <c r="P51" s="46" t="n">
        <v>69990</v>
      </c>
      <c r="Q51" s="46" t="n">
        <v>72572</v>
      </c>
      <c r="R51" s="46" t="n">
        <v>96561</v>
      </c>
      <c r="S51" s="46" t="n">
        <v>108537</v>
      </c>
      <c r="T51" s="46" t="n">
        <v>101758</v>
      </c>
      <c r="U51" s="46" t="n">
        <v>87367</v>
      </c>
      <c r="V51" s="46" t="n">
        <v>116638</v>
      </c>
      <c r="W51" s="46" t="n">
        <v>109324</v>
      </c>
      <c r="X51" s="46" t="n">
        <v>79041</v>
      </c>
      <c r="Y51" s="46" t="n">
        <v>107441</v>
      </c>
    </row>
    <row r="52">
      <c r="A52" s="43" t="inlineStr">
        <is>
          <t>CMD-0051</t>
        </is>
      </c>
      <c r="B52" s="46" t="n">
        <v>133279</v>
      </c>
      <c r="C52" s="46" t="n">
        <v>126619</v>
      </c>
      <c r="D52" s="46" t="n">
        <v>71489</v>
      </c>
      <c r="E52" s="46" t="n">
        <v>97857</v>
      </c>
      <c r="F52" s="46" t="n">
        <v>135005</v>
      </c>
      <c r="G52" s="46" t="n">
        <v>140872</v>
      </c>
      <c r="H52" s="46" t="n">
        <v>142992</v>
      </c>
      <c r="I52" s="46" t="n">
        <v>189789</v>
      </c>
      <c r="J52" s="46" t="n">
        <v>52342</v>
      </c>
      <c r="K52" s="46" t="n">
        <v>210058</v>
      </c>
      <c r="L52" s="46" t="n">
        <v>50968</v>
      </c>
      <c r="M52" s="46" t="n">
        <v>158311</v>
      </c>
      <c r="N52" s="46" t="n">
        <v>156089</v>
      </c>
      <c r="O52" s="46" t="n">
        <v>133567</v>
      </c>
      <c r="P52" s="46" t="n">
        <v>146810</v>
      </c>
      <c r="Q52" s="46" t="n">
        <v>109421</v>
      </c>
      <c r="R52" s="46" t="n">
        <v>133002</v>
      </c>
      <c r="S52" s="46" t="n">
        <v>174383</v>
      </c>
      <c r="T52" s="46" t="n">
        <v>182293</v>
      </c>
      <c r="U52" s="46" t="n">
        <v>141822</v>
      </c>
      <c r="V52" s="46" t="n">
        <v>224082</v>
      </c>
      <c r="W52" s="46" t="n">
        <v>152961</v>
      </c>
      <c r="X52" s="46" t="n">
        <v>119275</v>
      </c>
      <c r="Y52" s="46" t="n">
        <v>182227</v>
      </c>
    </row>
    <row r="53">
      <c r="A53" s="43" t="inlineStr">
        <is>
          <t>CMD-0052</t>
        </is>
      </c>
      <c r="B53" s="46" t="n">
        <v>103774</v>
      </c>
      <c r="C53" s="46" t="n">
        <v>100961</v>
      </c>
      <c r="D53" s="46" t="n">
        <v>101320</v>
      </c>
      <c r="E53" s="46" t="n">
        <v>112160</v>
      </c>
      <c r="F53" s="46" t="n">
        <v>103633</v>
      </c>
      <c r="G53" s="46" t="n">
        <v>139173</v>
      </c>
      <c r="H53" s="46" t="n">
        <v>110767</v>
      </c>
      <c r="I53" s="46" t="n">
        <v>140684</v>
      </c>
      <c r="J53" s="46" t="n">
        <v>148316</v>
      </c>
      <c r="K53" s="46" t="n">
        <v>147335</v>
      </c>
      <c r="L53" s="46" t="n">
        <v>96133</v>
      </c>
      <c r="M53" s="46" t="n">
        <v>139737</v>
      </c>
      <c r="N53" s="46" t="n">
        <v>143249</v>
      </c>
      <c r="O53" s="46" t="n">
        <v>129818</v>
      </c>
      <c r="P53" s="46" t="n">
        <v>127948</v>
      </c>
      <c r="Q53" s="46" t="n">
        <v>102852</v>
      </c>
      <c r="R53" s="46" t="n">
        <v>159574</v>
      </c>
      <c r="S53" s="46" t="n">
        <v>165832</v>
      </c>
      <c r="T53" s="46" t="n">
        <v>162397</v>
      </c>
      <c r="U53" s="46" t="n">
        <v>154212</v>
      </c>
      <c r="V53" s="46" t="n">
        <v>202984</v>
      </c>
      <c r="W53" s="46" t="n">
        <v>189350</v>
      </c>
      <c r="X53" s="46" t="n">
        <v>132327</v>
      </c>
      <c r="Y53" s="46" t="n">
        <v>169228</v>
      </c>
    </row>
    <row r="54">
      <c r="A54" s="43" t="inlineStr">
        <is>
          <t>CMD-0053</t>
        </is>
      </c>
      <c r="B54" s="46" t="n">
        <v>22635</v>
      </c>
      <c r="C54" s="46" t="n">
        <v>41577</v>
      </c>
      <c r="D54" s="46" t="n">
        <v>33863</v>
      </c>
      <c r="E54" s="46" t="n">
        <v>23677</v>
      </c>
      <c r="F54" s="46" t="n">
        <v>20987</v>
      </c>
      <c r="G54" s="46" t="n">
        <v>42809</v>
      </c>
      <c r="H54" s="46" t="n">
        <v>24189</v>
      </c>
      <c r="I54" s="46" t="n">
        <v>19650</v>
      </c>
      <c r="J54" s="46" t="n">
        <v>16685</v>
      </c>
      <c r="K54" s="46" t="n">
        <v>46121</v>
      </c>
      <c r="L54" s="46" t="n">
        <v>12456</v>
      </c>
      <c r="M54" s="46" t="n">
        <v>22153</v>
      </c>
      <c r="N54" s="46" t="n">
        <v>45130</v>
      </c>
      <c r="O54" s="46" t="n">
        <v>43120</v>
      </c>
      <c r="P54" s="46" t="n">
        <v>19742</v>
      </c>
      <c r="Q54" s="46" t="n">
        <v>25660</v>
      </c>
      <c r="R54" s="46" t="n">
        <v>51992</v>
      </c>
      <c r="S54" s="46" t="n">
        <v>46147</v>
      </c>
      <c r="T54" s="46" t="n">
        <v>34065</v>
      </c>
      <c r="U54" s="46" t="n">
        <v>44777</v>
      </c>
      <c r="V54" s="46" t="n">
        <v>55364</v>
      </c>
      <c r="W54" s="46" t="n">
        <v>28898</v>
      </c>
      <c r="X54" s="46" t="n">
        <v>21367</v>
      </c>
      <c r="Y54" s="46" t="n">
        <v>63680</v>
      </c>
    </row>
    <row r="55">
      <c r="A55" s="43" t="inlineStr">
        <is>
          <t>CMD-0054</t>
        </is>
      </c>
      <c r="B55" s="46" t="n">
        <v>43276</v>
      </c>
      <c r="C55" s="46" t="n">
        <v>41515</v>
      </c>
      <c r="D55" s="46" t="n">
        <v>37735</v>
      </c>
      <c r="E55" s="46" t="n">
        <v>39669</v>
      </c>
      <c r="F55" s="46" t="n">
        <v>41158</v>
      </c>
      <c r="G55" s="46" t="n">
        <v>50562</v>
      </c>
      <c r="H55" s="46" t="n">
        <v>47194</v>
      </c>
      <c r="I55" s="46" t="n">
        <v>51605</v>
      </c>
      <c r="J55" s="46" t="n">
        <v>55801</v>
      </c>
      <c r="K55" s="46" t="n">
        <v>46689</v>
      </c>
      <c r="L55" s="46" t="n">
        <v>37364</v>
      </c>
      <c r="M55" s="46" t="n">
        <v>55633</v>
      </c>
      <c r="N55" s="46" t="n">
        <v>49825</v>
      </c>
      <c r="O55" s="46" t="n">
        <v>47554</v>
      </c>
      <c r="P55" s="46" t="n">
        <v>48579</v>
      </c>
      <c r="Q55" s="46" t="n">
        <v>46112</v>
      </c>
      <c r="R55" s="46" t="n">
        <v>54620</v>
      </c>
      <c r="S55" s="46" t="n">
        <v>57107</v>
      </c>
      <c r="T55" s="46" t="n">
        <v>50825</v>
      </c>
      <c r="U55" s="46" t="n">
        <v>55595</v>
      </c>
      <c r="V55" s="46" t="n">
        <v>66396</v>
      </c>
      <c r="W55" s="46" t="n">
        <v>67802</v>
      </c>
      <c r="X55" s="46" t="n">
        <v>46830</v>
      </c>
      <c r="Y55" s="46" t="n">
        <v>66962</v>
      </c>
    </row>
    <row r="56">
      <c r="A56" s="43" t="inlineStr">
        <is>
          <t>CMD-0055</t>
        </is>
      </c>
      <c r="B56" s="46" t="n">
        <v>76446</v>
      </c>
      <c r="C56" s="46" t="n">
        <v>74600</v>
      </c>
      <c r="D56" s="46" t="n">
        <v>81763</v>
      </c>
      <c r="E56" s="46" t="n">
        <v>89852</v>
      </c>
      <c r="F56" s="46" t="n">
        <v>86120</v>
      </c>
      <c r="G56" s="46" t="n">
        <v>102610</v>
      </c>
      <c r="H56" s="46" t="n">
        <v>98755</v>
      </c>
      <c r="I56" s="46" t="n">
        <v>117187</v>
      </c>
      <c r="J56" s="46" t="n">
        <v>113946</v>
      </c>
      <c r="K56" s="46" t="n">
        <v>105927</v>
      </c>
      <c r="L56" s="46" t="n">
        <v>83026</v>
      </c>
      <c r="M56" s="46" t="n">
        <v>119503</v>
      </c>
      <c r="N56" s="46" t="n">
        <v>105427</v>
      </c>
      <c r="O56" s="46" t="n">
        <v>101012</v>
      </c>
      <c r="P56" s="46" t="n">
        <v>98195</v>
      </c>
      <c r="Q56" s="46" t="n">
        <v>87161</v>
      </c>
      <c r="R56" s="46" t="n">
        <v>128610</v>
      </c>
      <c r="S56" s="46" t="n">
        <v>127212</v>
      </c>
      <c r="T56" s="46" t="n">
        <v>130096</v>
      </c>
      <c r="U56" s="46" t="n">
        <v>123565</v>
      </c>
      <c r="V56" s="46" t="n">
        <v>157502</v>
      </c>
      <c r="W56" s="46" t="n">
        <v>151287</v>
      </c>
      <c r="X56" s="46" t="n">
        <v>107304</v>
      </c>
      <c r="Y56" s="46" t="n">
        <v>137667</v>
      </c>
    </row>
    <row r="57">
      <c r="A57" s="43" t="inlineStr">
        <is>
          <t>CMD-0056</t>
        </is>
      </c>
      <c r="B57" s="46" t="n">
        <v>18180</v>
      </c>
      <c r="C57" s="46" t="n">
        <v>22768</v>
      </c>
      <c r="D57" s="46" t="n">
        <v>9754</v>
      </c>
      <c r="E57" s="46" t="n">
        <v>35330</v>
      </c>
      <c r="F57" s="46" t="n">
        <v>13153</v>
      </c>
      <c r="G57" s="46" t="n">
        <v>43108</v>
      </c>
      <c r="H57" s="46" t="n">
        <v>22667</v>
      </c>
      <c r="I57" s="46" t="n">
        <v>42417</v>
      </c>
      <c r="J57" s="46" t="n">
        <v>46852</v>
      </c>
      <c r="K57" s="46" t="n">
        <v>10355</v>
      </c>
      <c r="L57" s="46" t="n">
        <v>19069</v>
      </c>
      <c r="M57" s="46" t="n">
        <v>41769</v>
      </c>
      <c r="N57" s="46" t="n">
        <v>42267</v>
      </c>
      <c r="O57" s="46" t="n">
        <v>43091</v>
      </c>
      <c r="P57" s="46" t="n">
        <v>28757</v>
      </c>
      <c r="Q57" s="46" t="n">
        <v>31110</v>
      </c>
      <c r="R57" s="46" t="n">
        <v>63264</v>
      </c>
      <c r="S57" s="46" t="n">
        <v>44639</v>
      </c>
      <c r="T57" s="46" t="n">
        <v>52069</v>
      </c>
      <c r="U57" s="46" t="n">
        <v>37969</v>
      </c>
      <c r="V57" s="46" t="n">
        <v>20268</v>
      </c>
      <c r="W57" s="46" t="n">
        <v>53734</v>
      </c>
      <c r="X57" s="46" t="n">
        <v>38943</v>
      </c>
      <c r="Y57" s="46" t="n">
        <v>60101</v>
      </c>
    </row>
    <row r="58">
      <c r="A58" s="43" t="inlineStr">
        <is>
          <t>CMD-0057</t>
        </is>
      </c>
      <c r="B58" s="46" t="n">
        <v>14035</v>
      </c>
      <c r="C58" s="46" t="n">
        <v>13590</v>
      </c>
      <c r="D58" s="46" t="n">
        <v>11878</v>
      </c>
      <c r="E58" s="46" t="n">
        <v>15323</v>
      </c>
      <c r="F58" s="46" t="n">
        <v>15505</v>
      </c>
      <c r="G58" s="46" t="n">
        <v>15233</v>
      </c>
      <c r="H58" s="46" t="n">
        <v>14584</v>
      </c>
      <c r="I58" s="46" t="n">
        <v>17755</v>
      </c>
      <c r="J58" s="46" t="n">
        <v>19385</v>
      </c>
      <c r="K58" s="46" t="n">
        <v>18076</v>
      </c>
      <c r="L58" s="46" t="n">
        <v>13947</v>
      </c>
      <c r="M58" s="46" t="n">
        <v>16166</v>
      </c>
      <c r="N58" s="46" t="n">
        <v>16062</v>
      </c>
      <c r="O58" s="46" t="n">
        <v>15812</v>
      </c>
      <c r="P58" s="46" t="n">
        <v>13741</v>
      </c>
      <c r="Q58" s="46" t="n">
        <v>16015</v>
      </c>
      <c r="R58" s="46" t="n">
        <v>14716</v>
      </c>
      <c r="S58" s="46" t="n">
        <v>18821</v>
      </c>
      <c r="T58" s="46" t="n">
        <v>17328</v>
      </c>
      <c r="U58" s="46" t="n">
        <v>18616</v>
      </c>
      <c r="V58" s="46" t="n">
        <v>20474</v>
      </c>
      <c r="W58" s="46" t="n">
        <v>18043</v>
      </c>
      <c r="X58" s="46" t="n">
        <v>12784</v>
      </c>
      <c r="Y58" s="46" t="n">
        <v>18241</v>
      </c>
    </row>
    <row r="59">
      <c r="A59" s="43" t="inlineStr">
        <is>
          <t>CMD-0058</t>
        </is>
      </c>
      <c r="B59" s="46" t="n">
        <v>8628</v>
      </c>
      <c r="C59" s="46" t="n">
        <v>46273</v>
      </c>
      <c r="D59" s="46" t="n">
        <v>47139</v>
      </c>
      <c r="E59" s="46" t="n">
        <v>45167</v>
      </c>
      <c r="F59" s="46" t="n">
        <v>46943</v>
      </c>
      <c r="G59" s="46" t="n">
        <v>28948</v>
      </c>
      <c r="H59" s="46" t="n">
        <v>49531</v>
      </c>
      <c r="I59" s="46" t="n">
        <v>30313</v>
      </c>
      <c r="J59" s="46" t="n">
        <v>11721</v>
      </c>
      <c r="K59" s="46" t="n">
        <v>123692</v>
      </c>
      <c r="L59" s="46" t="n">
        <v>39715</v>
      </c>
      <c r="M59" s="46" t="n">
        <v>11260</v>
      </c>
      <c r="N59" s="46" t="n">
        <v>133613</v>
      </c>
      <c r="O59" s="46" t="n">
        <v>10647</v>
      </c>
      <c r="P59" s="46" t="n">
        <v>58066</v>
      </c>
      <c r="Q59" s="46" t="n">
        <v>164226</v>
      </c>
      <c r="R59" s="46" t="n">
        <v>64642</v>
      </c>
      <c r="S59" s="46" t="n">
        <v>153576</v>
      </c>
      <c r="T59" s="46" t="n">
        <v>143165</v>
      </c>
      <c r="U59" s="46" t="n">
        <v>60754</v>
      </c>
      <c r="V59" s="46" t="n">
        <v>77711</v>
      </c>
      <c r="W59" s="46" t="n">
        <v>172208</v>
      </c>
      <c r="X59" s="46" t="n">
        <v>27027</v>
      </c>
      <c r="Y59" s="46" t="n">
        <v>36604</v>
      </c>
    </row>
    <row r="60">
      <c r="A60" s="43" t="inlineStr">
        <is>
          <t>CMD-0059</t>
        </is>
      </c>
      <c r="B60" s="46" t="n">
        <v>91135</v>
      </c>
      <c r="C60" s="46" t="n">
        <v>88767</v>
      </c>
      <c r="D60" s="46" t="n">
        <v>82339</v>
      </c>
      <c r="E60" s="46" t="n">
        <v>89517</v>
      </c>
      <c r="F60" s="46" t="n">
        <v>83182</v>
      </c>
      <c r="G60" s="46" t="n">
        <v>106405</v>
      </c>
      <c r="H60" s="46" t="n">
        <v>90932</v>
      </c>
      <c r="I60" s="46" t="n">
        <v>114584</v>
      </c>
      <c r="J60" s="46" t="n">
        <v>125761</v>
      </c>
      <c r="K60" s="46" t="n">
        <v>124529</v>
      </c>
      <c r="L60" s="46" t="n">
        <v>81211</v>
      </c>
      <c r="M60" s="46" t="n">
        <v>125556</v>
      </c>
      <c r="N60" s="46" t="n">
        <v>118389</v>
      </c>
      <c r="O60" s="46" t="n">
        <v>115634</v>
      </c>
      <c r="P60" s="46" t="n">
        <v>110710</v>
      </c>
      <c r="Q60" s="46" t="n">
        <v>103721</v>
      </c>
      <c r="R60" s="46" t="n">
        <v>144144</v>
      </c>
      <c r="S60" s="46" t="n">
        <v>131578</v>
      </c>
      <c r="T60" s="46" t="n">
        <v>133484</v>
      </c>
      <c r="U60" s="46" t="n">
        <v>134673</v>
      </c>
      <c r="V60" s="46" t="n">
        <v>161482</v>
      </c>
      <c r="W60" s="46" t="n">
        <v>156537</v>
      </c>
      <c r="X60" s="46" t="n">
        <v>119835</v>
      </c>
      <c r="Y60" s="46" t="n">
        <v>151507</v>
      </c>
    </row>
    <row r="61">
      <c r="A61" s="43" t="inlineStr">
        <is>
          <t>CMD-0060</t>
        </is>
      </c>
      <c r="B61" s="46" t="n">
        <v>75632</v>
      </c>
      <c r="C61" s="46" t="n">
        <v>80568</v>
      </c>
      <c r="D61" s="46" t="n">
        <v>73178</v>
      </c>
      <c r="E61" s="46" t="n">
        <v>76435</v>
      </c>
      <c r="F61" s="46" t="n">
        <v>75693</v>
      </c>
      <c r="G61" s="46" t="n">
        <v>97242</v>
      </c>
      <c r="H61" s="46" t="n">
        <v>94115</v>
      </c>
      <c r="I61" s="46" t="n">
        <v>107090</v>
      </c>
      <c r="J61" s="46" t="n">
        <v>113753</v>
      </c>
      <c r="K61" s="46" t="n">
        <v>101148</v>
      </c>
      <c r="L61" s="46" t="n">
        <v>72789</v>
      </c>
      <c r="M61" s="46" t="n">
        <v>106664</v>
      </c>
      <c r="N61" s="46" t="n">
        <v>95956</v>
      </c>
      <c r="O61" s="46" t="n">
        <v>95729</v>
      </c>
      <c r="P61" s="46" t="n">
        <v>99802</v>
      </c>
      <c r="Q61" s="46" t="n">
        <v>81230</v>
      </c>
      <c r="R61" s="46" t="n">
        <v>121810</v>
      </c>
      <c r="S61" s="46" t="n">
        <v>108966</v>
      </c>
      <c r="T61" s="46" t="n">
        <v>114216</v>
      </c>
      <c r="U61" s="46" t="n">
        <v>113329</v>
      </c>
      <c r="V61" s="46" t="n">
        <v>135574</v>
      </c>
      <c r="W61" s="46" t="n">
        <v>135453</v>
      </c>
      <c r="X61" s="46" t="n">
        <v>103521</v>
      </c>
      <c r="Y61" s="46" t="n">
        <v>126731</v>
      </c>
    </row>
    <row r="62">
      <c r="A62" s="43" t="inlineStr">
        <is>
          <t>CMD-0061</t>
        </is>
      </c>
      <c r="B62" s="46" t="n">
        <v>10752</v>
      </c>
      <c r="C62" s="46" t="n">
        <v>10406</v>
      </c>
      <c r="D62" s="46" t="n">
        <v>9905</v>
      </c>
      <c r="E62" s="46" t="n">
        <v>11085</v>
      </c>
      <c r="F62" s="46" t="n">
        <v>10700</v>
      </c>
      <c r="G62" s="46" t="n">
        <v>12225</v>
      </c>
      <c r="H62" s="46" t="n">
        <v>11355</v>
      </c>
      <c r="I62" s="46" t="n">
        <v>14424</v>
      </c>
      <c r="J62" s="46" t="n">
        <v>14629</v>
      </c>
      <c r="K62" s="46" t="n">
        <v>12271</v>
      </c>
      <c r="L62" s="46" t="n">
        <v>10911</v>
      </c>
      <c r="M62" s="46" t="n">
        <v>12798</v>
      </c>
      <c r="N62" s="46" t="n">
        <v>13366</v>
      </c>
      <c r="O62" s="46" t="n">
        <v>11460</v>
      </c>
      <c r="P62" s="46" t="n">
        <v>11821</v>
      </c>
      <c r="Q62" s="46" t="n">
        <v>12313</v>
      </c>
      <c r="R62" s="46" t="n">
        <v>12834</v>
      </c>
      <c r="S62" s="46" t="n">
        <v>13493</v>
      </c>
      <c r="T62" s="46" t="n">
        <v>12592</v>
      </c>
      <c r="U62" s="46" t="n">
        <v>14741</v>
      </c>
      <c r="V62" s="46" t="n">
        <v>16564</v>
      </c>
      <c r="W62" s="46" t="n">
        <v>15736</v>
      </c>
      <c r="X62" s="46" t="n">
        <v>9775</v>
      </c>
      <c r="Y62" s="46" t="n">
        <v>14644</v>
      </c>
    </row>
    <row r="63">
      <c r="A63" s="43" t="inlineStr">
        <is>
          <t>CMD-0062</t>
        </is>
      </c>
      <c r="B63" s="46" t="n">
        <v>61312</v>
      </c>
      <c r="C63" s="46" t="n">
        <v>61119</v>
      </c>
      <c r="D63" s="46" t="n">
        <v>60953</v>
      </c>
      <c r="E63" s="46" t="n">
        <v>69144</v>
      </c>
      <c r="F63" s="46" t="n">
        <v>65189</v>
      </c>
      <c r="G63" s="46" t="n">
        <v>74296</v>
      </c>
      <c r="H63" s="46" t="n">
        <v>67829</v>
      </c>
      <c r="I63" s="46" t="n">
        <v>82531</v>
      </c>
      <c r="J63" s="46" t="n">
        <v>87459</v>
      </c>
      <c r="K63" s="46" t="n">
        <v>82797</v>
      </c>
      <c r="L63" s="46" t="n">
        <v>62553</v>
      </c>
      <c r="M63" s="46" t="n">
        <v>83761</v>
      </c>
      <c r="N63" s="46" t="n">
        <v>81666</v>
      </c>
      <c r="O63" s="46" t="n">
        <v>79759</v>
      </c>
      <c r="P63" s="46" t="n">
        <v>78557</v>
      </c>
      <c r="Q63" s="46" t="n">
        <v>66016</v>
      </c>
      <c r="R63" s="46" t="n">
        <v>81865</v>
      </c>
      <c r="S63" s="46" t="n">
        <v>87572</v>
      </c>
      <c r="T63" s="46" t="n">
        <v>83627</v>
      </c>
      <c r="U63" s="46" t="n">
        <v>94721</v>
      </c>
      <c r="V63" s="46" t="n">
        <v>101741</v>
      </c>
      <c r="W63" s="46" t="n">
        <v>109322</v>
      </c>
      <c r="X63" s="46" t="n">
        <v>71950</v>
      </c>
      <c r="Y63" s="46" t="n">
        <v>107074</v>
      </c>
    </row>
    <row r="64">
      <c r="A64" s="43" t="inlineStr">
        <is>
          <t>CMD-0063</t>
        </is>
      </c>
      <c r="B64" s="46" t="n">
        <v>11149</v>
      </c>
      <c r="C64" s="46" t="n">
        <v>11936</v>
      </c>
      <c r="D64" s="46" t="n">
        <v>11093</v>
      </c>
      <c r="E64" s="46" t="n">
        <v>11637</v>
      </c>
      <c r="F64" s="46" t="n">
        <v>8980</v>
      </c>
      <c r="G64" s="46" t="n">
        <v>11852</v>
      </c>
      <c r="H64" s="46" t="n">
        <v>12943</v>
      </c>
      <c r="I64" s="46" t="n">
        <v>12255</v>
      </c>
      <c r="J64" s="46" t="n">
        <v>13029</v>
      </c>
      <c r="K64" s="46" t="n">
        <v>12564</v>
      </c>
      <c r="L64" s="46" t="n">
        <v>9831</v>
      </c>
      <c r="M64" s="46" t="n">
        <v>11630</v>
      </c>
      <c r="N64" s="46" t="n">
        <v>12871</v>
      </c>
      <c r="O64" s="46" t="n">
        <v>11985</v>
      </c>
      <c r="P64" s="46" t="n">
        <v>11344</v>
      </c>
      <c r="Q64" s="46" t="n">
        <v>11552</v>
      </c>
      <c r="R64" s="46" t="n">
        <v>13336</v>
      </c>
      <c r="S64" s="46" t="n">
        <v>12094</v>
      </c>
      <c r="T64" s="46" t="n">
        <v>13076</v>
      </c>
      <c r="U64" s="46" t="n">
        <v>13082</v>
      </c>
      <c r="V64" s="46" t="n">
        <v>17448</v>
      </c>
      <c r="W64" s="46" t="n">
        <v>13196</v>
      </c>
      <c r="X64" s="46" t="n">
        <v>10247</v>
      </c>
      <c r="Y64" s="46" t="n">
        <v>13572</v>
      </c>
    </row>
    <row r="65">
      <c r="A65" s="43" t="inlineStr">
        <is>
          <t>CMD-0064</t>
        </is>
      </c>
      <c r="B65" s="46" t="n">
        <v>15198</v>
      </c>
      <c r="C65" s="46" t="n">
        <v>13902</v>
      </c>
      <c r="D65" s="46" t="n">
        <v>13043</v>
      </c>
      <c r="E65" s="46" t="n">
        <v>13555</v>
      </c>
      <c r="F65" s="46" t="n">
        <v>15434</v>
      </c>
      <c r="G65" s="46" t="n">
        <v>15759</v>
      </c>
      <c r="H65" s="46" t="n">
        <v>14801</v>
      </c>
      <c r="I65" s="46" t="n">
        <v>18632</v>
      </c>
      <c r="J65" s="46" t="n">
        <v>19749</v>
      </c>
      <c r="K65" s="46" t="n">
        <v>18710</v>
      </c>
      <c r="L65" s="46" t="n">
        <v>12661</v>
      </c>
      <c r="M65" s="46" t="n">
        <v>16958</v>
      </c>
      <c r="N65" s="46" t="n">
        <v>16737</v>
      </c>
      <c r="O65" s="46" t="n">
        <v>14573</v>
      </c>
      <c r="P65" s="46" t="n">
        <v>15843</v>
      </c>
      <c r="Q65" s="46" t="n">
        <v>15802</v>
      </c>
      <c r="R65" s="46" t="n">
        <v>14350</v>
      </c>
      <c r="S65" s="46" t="n">
        <v>17639</v>
      </c>
      <c r="T65" s="46" t="n">
        <v>16375</v>
      </c>
      <c r="U65" s="46" t="n">
        <v>19561</v>
      </c>
      <c r="V65" s="46" t="n">
        <v>19610</v>
      </c>
      <c r="W65" s="46" t="n">
        <v>17365</v>
      </c>
      <c r="X65" s="46" t="n">
        <v>13550</v>
      </c>
      <c r="Y65" s="46" t="n">
        <v>20124</v>
      </c>
    </row>
    <row r="66">
      <c r="A66" s="43" t="inlineStr">
        <is>
          <t>CMD-0065</t>
        </is>
      </c>
      <c r="B66" s="46" t="n">
        <v>75760</v>
      </c>
      <c r="C66" s="46" t="n">
        <v>55473</v>
      </c>
      <c r="D66" s="46" t="n">
        <v>97156</v>
      </c>
      <c r="E66" s="46" t="n">
        <v>93980</v>
      </c>
      <c r="F66" s="46" t="n">
        <v>117309</v>
      </c>
      <c r="G66" s="46" t="n">
        <v>107487</v>
      </c>
      <c r="H66" s="46" t="n">
        <v>99546</v>
      </c>
      <c r="I66" s="46" t="n">
        <v>74413</v>
      </c>
      <c r="J66" s="46" t="n">
        <v>166977</v>
      </c>
      <c r="K66" s="46" t="n">
        <v>127551</v>
      </c>
      <c r="L66" s="46" t="n">
        <v>99106</v>
      </c>
      <c r="M66" s="46" t="n">
        <v>114662</v>
      </c>
      <c r="N66" s="46" t="n">
        <v>111598</v>
      </c>
      <c r="O66" s="46" t="n">
        <v>114023</v>
      </c>
      <c r="P66" s="46" t="n">
        <v>86760</v>
      </c>
      <c r="Q66" s="46" t="n">
        <v>78859</v>
      </c>
      <c r="R66" s="46" t="n">
        <v>192779</v>
      </c>
      <c r="S66" s="46" t="n">
        <v>151379</v>
      </c>
      <c r="T66" s="46" t="n">
        <v>112723</v>
      </c>
      <c r="U66" s="46" t="n">
        <v>88162</v>
      </c>
      <c r="V66" s="46" t="n">
        <v>114389</v>
      </c>
      <c r="W66" s="46" t="n">
        <v>171077</v>
      </c>
      <c r="X66" s="46" t="n">
        <v>86395</v>
      </c>
      <c r="Y66" s="46" t="n">
        <v>113698</v>
      </c>
    </row>
    <row r="67">
      <c r="A67" s="43" t="inlineStr">
        <is>
          <t>CMD-0066</t>
        </is>
      </c>
      <c r="B67" s="46" t="n">
        <v>7813</v>
      </c>
      <c r="C67" s="46" t="n">
        <v>8794</v>
      </c>
      <c r="D67" s="46" t="n">
        <v>8415</v>
      </c>
      <c r="E67" s="46" t="n">
        <v>8698</v>
      </c>
      <c r="F67" s="46" t="n">
        <v>7195</v>
      </c>
      <c r="G67" s="46" t="n">
        <v>9052</v>
      </c>
      <c r="H67" s="46" t="n">
        <v>9036</v>
      </c>
      <c r="I67" s="46" t="n">
        <v>9949</v>
      </c>
      <c r="J67" s="46" t="n">
        <v>9016</v>
      </c>
      <c r="K67" s="46" t="n">
        <v>8343</v>
      </c>
      <c r="L67" s="46" t="n">
        <v>6894</v>
      </c>
      <c r="M67" s="46" t="n">
        <v>7758</v>
      </c>
      <c r="N67" s="46" t="n">
        <v>9203</v>
      </c>
      <c r="O67" s="46" t="n">
        <v>8900</v>
      </c>
      <c r="P67" s="46" t="n">
        <v>8858</v>
      </c>
      <c r="Q67" s="46" t="n">
        <v>7984</v>
      </c>
      <c r="R67" s="46" t="n">
        <v>8990</v>
      </c>
      <c r="S67" s="46" t="n">
        <v>8295</v>
      </c>
      <c r="T67" s="46" t="n">
        <v>9732</v>
      </c>
      <c r="U67" s="46" t="n">
        <v>10431</v>
      </c>
      <c r="V67" s="46" t="n">
        <v>13507</v>
      </c>
      <c r="W67" s="46" t="n">
        <v>10044</v>
      </c>
      <c r="X67" s="46" t="n">
        <v>7960</v>
      </c>
      <c r="Y67" s="46" t="n">
        <v>9413</v>
      </c>
    </row>
    <row r="68">
      <c r="A68" s="43" t="inlineStr">
        <is>
          <t>CMD-0067</t>
        </is>
      </c>
      <c r="B68" s="46" t="n">
        <v>3173</v>
      </c>
      <c r="C68" s="46" t="n">
        <v>2753</v>
      </c>
      <c r="D68" s="46" t="n">
        <v>2795</v>
      </c>
      <c r="E68" s="46" t="n">
        <v>3407</v>
      </c>
      <c r="F68" s="46" t="n">
        <v>3477</v>
      </c>
      <c r="G68" s="46" t="n">
        <v>3731</v>
      </c>
      <c r="H68" s="46" t="n">
        <v>3131</v>
      </c>
      <c r="I68" s="46" t="n">
        <v>4310</v>
      </c>
      <c r="J68" s="46" t="n">
        <v>4051</v>
      </c>
      <c r="K68" s="46" t="n">
        <v>4171</v>
      </c>
      <c r="L68" s="46" t="n">
        <v>3242</v>
      </c>
      <c r="M68" s="46" t="n">
        <v>3718</v>
      </c>
      <c r="N68" s="46" t="n">
        <v>3406</v>
      </c>
      <c r="O68" s="46" t="n">
        <v>3621</v>
      </c>
      <c r="P68" s="46" t="n">
        <v>3144</v>
      </c>
      <c r="Q68" s="46" t="n">
        <v>3513</v>
      </c>
      <c r="R68" s="46" t="n">
        <v>3355</v>
      </c>
      <c r="S68" s="46" t="n">
        <v>4486</v>
      </c>
      <c r="T68" s="46" t="n">
        <v>3852</v>
      </c>
      <c r="U68" s="46" t="n">
        <v>4593</v>
      </c>
      <c r="V68" s="46" t="n">
        <v>4384</v>
      </c>
      <c r="W68" s="46" t="n">
        <v>4287</v>
      </c>
      <c r="X68" s="46" t="n">
        <v>3132</v>
      </c>
      <c r="Y68" s="46" t="n">
        <v>4581</v>
      </c>
    </row>
    <row r="69">
      <c r="A69" s="43" t="inlineStr">
        <is>
          <t>CMD-0068</t>
        </is>
      </c>
      <c r="B69" s="46" t="n">
        <v>24173</v>
      </c>
      <c r="C69" s="46" t="n">
        <v>24907</v>
      </c>
      <c r="D69" s="46" t="n">
        <v>18016</v>
      </c>
      <c r="E69" s="46" t="n">
        <v>16481</v>
      </c>
      <c r="F69" s="46" t="n">
        <v>14258</v>
      </c>
      <c r="G69" s="46" t="n">
        <v>34076</v>
      </c>
      <c r="H69" s="46" t="n">
        <v>33610</v>
      </c>
      <c r="I69" s="46" t="n">
        <v>39240</v>
      </c>
      <c r="J69" s="46" t="n">
        <v>41942</v>
      </c>
      <c r="K69" s="46" t="n">
        <v>25758</v>
      </c>
      <c r="L69" s="46" t="n">
        <v>34876</v>
      </c>
      <c r="M69" s="46" t="n">
        <v>23009</v>
      </c>
      <c r="N69" s="46" t="n">
        <v>37674</v>
      </c>
      <c r="O69" s="46" t="n">
        <v>25886</v>
      </c>
      <c r="P69" s="46" t="n">
        <v>19061</v>
      </c>
      <c r="Q69" s="46" t="n">
        <v>21550</v>
      </c>
      <c r="R69" s="46" t="n">
        <v>43070</v>
      </c>
      <c r="S69" s="46" t="n">
        <v>52754</v>
      </c>
      <c r="T69" s="46" t="n">
        <v>41785</v>
      </c>
      <c r="U69" s="46" t="n">
        <v>7302</v>
      </c>
      <c r="V69" s="46" t="n">
        <v>55241</v>
      </c>
      <c r="W69" s="46" t="n">
        <v>14010</v>
      </c>
      <c r="X69" s="46" t="n">
        <v>50851</v>
      </c>
      <c r="Y69" s="46" t="n">
        <v>45920</v>
      </c>
    </row>
    <row r="70">
      <c r="A70" s="43" t="inlineStr">
        <is>
          <t>CMD-0069</t>
        </is>
      </c>
      <c r="B70" s="46" t="n">
        <v>7870</v>
      </c>
      <c r="C70" s="46" t="n">
        <v>8089</v>
      </c>
      <c r="D70" s="46" t="n">
        <v>7126</v>
      </c>
      <c r="E70" s="46" t="n">
        <v>8053</v>
      </c>
      <c r="F70" s="46" t="n">
        <v>7681</v>
      </c>
      <c r="G70" s="46" t="n">
        <v>8525</v>
      </c>
      <c r="H70" s="46" t="n">
        <v>8222</v>
      </c>
      <c r="I70" s="46" t="n">
        <v>9642</v>
      </c>
      <c r="J70" s="46" t="n">
        <v>7956</v>
      </c>
      <c r="K70" s="46" t="n">
        <v>9098</v>
      </c>
      <c r="L70" s="46" t="n">
        <v>6498</v>
      </c>
      <c r="M70" s="46" t="n">
        <v>9736</v>
      </c>
      <c r="N70" s="46" t="n">
        <v>9211</v>
      </c>
      <c r="O70" s="46" t="n">
        <v>8489</v>
      </c>
      <c r="P70" s="46" t="n">
        <v>8308</v>
      </c>
      <c r="Q70" s="46" t="n">
        <v>8514</v>
      </c>
      <c r="R70" s="46" t="n">
        <v>8221</v>
      </c>
      <c r="S70" s="46" t="n">
        <v>9784</v>
      </c>
      <c r="T70" s="46" t="n">
        <v>9557</v>
      </c>
      <c r="U70" s="46" t="n">
        <v>10420</v>
      </c>
      <c r="V70" s="46" t="n">
        <v>11436</v>
      </c>
      <c r="W70" s="46" t="n">
        <v>10721</v>
      </c>
      <c r="X70" s="46" t="n">
        <v>7255</v>
      </c>
      <c r="Y70" s="46" t="n">
        <v>9362</v>
      </c>
    </row>
    <row r="71">
      <c r="A71" s="43" t="inlineStr">
        <is>
          <t>CMD-0070</t>
        </is>
      </c>
      <c r="B71" s="46" t="n">
        <v>28712</v>
      </c>
      <c r="C71" s="46" t="n">
        <v>29183</v>
      </c>
      <c r="D71" s="46" t="n">
        <v>24277</v>
      </c>
      <c r="E71" s="46" t="n">
        <v>30013</v>
      </c>
      <c r="F71" s="46" t="n">
        <v>28496</v>
      </c>
      <c r="G71" s="46" t="n">
        <v>32416</v>
      </c>
      <c r="H71" s="46" t="n">
        <v>30792</v>
      </c>
      <c r="I71" s="46" t="n">
        <v>32914</v>
      </c>
      <c r="J71" s="46" t="n">
        <v>36241</v>
      </c>
      <c r="K71" s="46" t="n">
        <v>35236</v>
      </c>
      <c r="L71" s="46" t="n">
        <v>27203</v>
      </c>
      <c r="M71" s="46" t="n">
        <v>34554</v>
      </c>
      <c r="N71" s="46" t="n">
        <v>31359</v>
      </c>
      <c r="O71" s="46" t="n">
        <v>30563</v>
      </c>
      <c r="P71" s="46" t="n">
        <v>29871</v>
      </c>
      <c r="Q71" s="46" t="n">
        <v>30064</v>
      </c>
      <c r="R71" s="46" t="n">
        <v>35464</v>
      </c>
      <c r="S71" s="46" t="n">
        <v>34563</v>
      </c>
      <c r="T71" s="46" t="n">
        <v>36484</v>
      </c>
      <c r="U71" s="46" t="n">
        <v>39441</v>
      </c>
      <c r="V71" s="46" t="n">
        <v>40432</v>
      </c>
      <c r="W71" s="46" t="n">
        <v>42725</v>
      </c>
      <c r="X71" s="46" t="n">
        <v>27852</v>
      </c>
      <c r="Y71" s="46" t="n">
        <v>39385</v>
      </c>
    </row>
    <row r="72">
      <c r="A72" s="43" t="inlineStr">
        <is>
          <t>CMD-0071</t>
        </is>
      </c>
      <c r="B72" s="46" t="n">
        <v>14737</v>
      </c>
      <c r="C72" s="46" t="n">
        <v>17211</v>
      </c>
      <c r="D72" s="46" t="n">
        <v>15548</v>
      </c>
      <c r="E72" s="46" t="n">
        <v>16590</v>
      </c>
      <c r="F72" s="46" t="n">
        <v>18908</v>
      </c>
      <c r="G72" s="46" t="n">
        <v>18344</v>
      </c>
      <c r="H72" s="46" t="n">
        <v>19057</v>
      </c>
      <c r="I72" s="46" t="n">
        <v>23071</v>
      </c>
      <c r="J72" s="46" t="n">
        <v>21216</v>
      </c>
      <c r="K72" s="46" t="n">
        <v>21772</v>
      </c>
      <c r="L72" s="46" t="n">
        <v>15629</v>
      </c>
      <c r="M72" s="46" t="n">
        <v>21171</v>
      </c>
      <c r="N72" s="46" t="n">
        <v>19705</v>
      </c>
      <c r="O72" s="46" t="n">
        <v>20179</v>
      </c>
      <c r="P72" s="46" t="n">
        <v>20530</v>
      </c>
      <c r="Q72" s="46" t="n">
        <v>17938</v>
      </c>
      <c r="R72" s="46" t="n">
        <v>21633</v>
      </c>
      <c r="S72" s="46" t="n">
        <v>26627</v>
      </c>
      <c r="T72" s="46" t="n">
        <v>26674</v>
      </c>
      <c r="U72" s="46" t="n">
        <v>23209</v>
      </c>
      <c r="V72" s="46" t="n">
        <v>26199</v>
      </c>
      <c r="W72" s="46" t="n">
        <v>26456</v>
      </c>
      <c r="X72" s="46" t="n">
        <v>18608</v>
      </c>
      <c r="Y72" s="46" t="n">
        <v>28679</v>
      </c>
    </row>
    <row r="73">
      <c r="A73" s="43" t="inlineStr">
        <is>
          <t>CMD-0072</t>
        </is>
      </c>
      <c r="B73" s="46" t="n">
        <v>10362</v>
      </c>
      <c r="C73" s="46" t="n">
        <v>11821</v>
      </c>
      <c r="D73" s="46" t="n">
        <v>10228</v>
      </c>
      <c r="E73" s="46" t="n">
        <v>11836</v>
      </c>
      <c r="F73" s="46" t="n">
        <v>11341</v>
      </c>
      <c r="G73" s="46" t="n">
        <v>11178</v>
      </c>
      <c r="H73" s="46" t="n">
        <v>10508</v>
      </c>
      <c r="I73" s="46" t="n">
        <v>13957</v>
      </c>
      <c r="J73" s="46" t="n">
        <v>14117</v>
      </c>
      <c r="K73" s="46" t="n">
        <v>13089</v>
      </c>
      <c r="L73" s="46" t="n">
        <v>9839</v>
      </c>
      <c r="M73" s="46" t="n">
        <v>12113</v>
      </c>
      <c r="N73" s="46" t="n">
        <v>12454</v>
      </c>
      <c r="O73" s="46" t="n">
        <v>10513</v>
      </c>
      <c r="P73" s="46" t="n">
        <v>11286</v>
      </c>
      <c r="Q73" s="46" t="n">
        <v>11566</v>
      </c>
      <c r="R73" s="46" t="n">
        <v>10823</v>
      </c>
      <c r="S73" s="46" t="n">
        <v>11510</v>
      </c>
      <c r="T73" s="46" t="n">
        <v>12556</v>
      </c>
      <c r="U73" s="46" t="n">
        <v>12972</v>
      </c>
      <c r="V73" s="46" t="n">
        <v>13469</v>
      </c>
      <c r="W73" s="46" t="n">
        <v>12993</v>
      </c>
      <c r="X73" s="46" t="n">
        <v>10177</v>
      </c>
      <c r="Y73" s="46" t="n">
        <v>13797</v>
      </c>
    </row>
    <row r="74">
      <c r="A74" s="43" t="inlineStr">
        <is>
          <t>CMD-0073</t>
        </is>
      </c>
      <c r="B74" s="46" t="n">
        <v>48291</v>
      </c>
      <c r="C74" s="46" t="n">
        <v>10332</v>
      </c>
      <c r="D74" s="46" t="n">
        <v>9357</v>
      </c>
      <c r="E74" s="46" t="n">
        <v>53042</v>
      </c>
      <c r="F74" s="46" t="n">
        <v>10009</v>
      </c>
      <c r="G74" s="46" t="n">
        <v>181563</v>
      </c>
      <c r="H74" s="46" t="n">
        <v>125829</v>
      </c>
      <c r="I74" s="46" t="n">
        <v>68202</v>
      </c>
      <c r="J74" s="46" t="n">
        <v>194523</v>
      </c>
      <c r="K74" s="46" t="n">
        <v>170097</v>
      </c>
      <c r="L74" s="46" t="n">
        <v>99719</v>
      </c>
      <c r="M74" s="46" t="n">
        <v>66219</v>
      </c>
      <c r="N74" s="46" t="n">
        <v>32301</v>
      </c>
      <c r="O74" s="46" t="n">
        <v>122758</v>
      </c>
      <c r="P74" s="46" t="n">
        <v>11292</v>
      </c>
      <c r="Q74" s="46" t="n">
        <v>57648</v>
      </c>
      <c r="R74" s="46" t="n">
        <v>64811</v>
      </c>
      <c r="S74" s="46" t="n">
        <v>217563</v>
      </c>
      <c r="T74" s="46" t="n">
        <v>70453</v>
      </c>
      <c r="U74" s="46" t="n">
        <v>13945</v>
      </c>
      <c r="V74" s="46" t="n">
        <v>15298</v>
      </c>
      <c r="W74" s="46" t="n">
        <v>87368</v>
      </c>
      <c r="X74" s="46" t="n">
        <v>53318</v>
      </c>
      <c r="Y74" s="46" t="n">
        <v>35634</v>
      </c>
    </row>
    <row r="75">
      <c r="A75" s="43" t="inlineStr">
        <is>
          <t>CMD-0074</t>
        </is>
      </c>
      <c r="B75" s="46" t="n">
        <v>42989</v>
      </c>
      <c r="C75" s="46" t="n">
        <v>45407</v>
      </c>
      <c r="D75" s="46" t="n">
        <v>38780</v>
      </c>
      <c r="E75" s="46" t="n">
        <v>42509</v>
      </c>
      <c r="F75" s="46" t="n">
        <v>42832</v>
      </c>
      <c r="G75" s="46" t="n">
        <v>51586</v>
      </c>
      <c r="H75" s="46" t="n">
        <v>47100</v>
      </c>
      <c r="I75" s="46" t="n">
        <v>60563</v>
      </c>
      <c r="J75" s="46" t="n">
        <v>64746</v>
      </c>
      <c r="K75" s="46" t="n">
        <v>57764</v>
      </c>
      <c r="L75" s="46" t="n">
        <v>43423</v>
      </c>
      <c r="M75" s="46" t="n">
        <v>64214</v>
      </c>
      <c r="N75" s="46" t="n">
        <v>59606</v>
      </c>
      <c r="O75" s="46" t="n">
        <v>59782</v>
      </c>
      <c r="P75" s="46" t="n">
        <v>56429</v>
      </c>
      <c r="Q75" s="46" t="n">
        <v>43025</v>
      </c>
      <c r="R75" s="46" t="n">
        <v>69337</v>
      </c>
      <c r="S75" s="46" t="n">
        <v>75751</v>
      </c>
      <c r="T75" s="46" t="n">
        <v>71371</v>
      </c>
      <c r="U75" s="46" t="n">
        <v>66772</v>
      </c>
      <c r="V75" s="46" t="n">
        <v>77802</v>
      </c>
      <c r="W75" s="46" t="n">
        <v>82117</v>
      </c>
      <c r="X75" s="46" t="n">
        <v>59825</v>
      </c>
      <c r="Y75" s="46" t="n">
        <v>82689</v>
      </c>
    </row>
    <row r="76">
      <c r="A76" s="43" t="inlineStr">
        <is>
          <t>CMD-0075</t>
        </is>
      </c>
      <c r="B76" s="46" t="n">
        <v>70473</v>
      </c>
      <c r="C76" s="46" t="n">
        <v>79179</v>
      </c>
      <c r="D76" s="46" t="n">
        <v>80348</v>
      </c>
      <c r="E76" s="46" t="n">
        <v>82354</v>
      </c>
      <c r="F76" s="46" t="n">
        <v>91713</v>
      </c>
      <c r="G76" s="46" t="n">
        <v>95375</v>
      </c>
      <c r="H76" s="46" t="n">
        <v>83910</v>
      </c>
      <c r="I76" s="46" t="n">
        <v>108419</v>
      </c>
      <c r="J76" s="46" t="n">
        <v>122026</v>
      </c>
      <c r="K76" s="46" t="n">
        <v>96459</v>
      </c>
      <c r="L76" s="46" t="n">
        <v>75238</v>
      </c>
      <c r="M76" s="46" t="n">
        <v>111121</v>
      </c>
      <c r="N76" s="46" t="n">
        <v>105095</v>
      </c>
      <c r="O76" s="46" t="n">
        <v>102091</v>
      </c>
      <c r="P76" s="46" t="n">
        <v>107466</v>
      </c>
      <c r="Q76" s="46" t="n">
        <v>86291</v>
      </c>
      <c r="R76" s="46" t="n">
        <v>115081</v>
      </c>
      <c r="S76" s="46" t="n">
        <v>116177</v>
      </c>
      <c r="T76" s="46" t="n">
        <v>125919</v>
      </c>
      <c r="U76" s="46" t="n">
        <v>114460</v>
      </c>
      <c r="V76" s="46" t="n">
        <v>143981</v>
      </c>
      <c r="W76" s="46" t="n">
        <v>145269</v>
      </c>
      <c r="X76" s="46" t="n">
        <v>106985</v>
      </c>
      <c r="Y76" s="46" t="n">
        <v>136919</v>
      </c>
    </row>
    <row r="77">
      <c r="A77" s="43" t="inlineStr">
        <is>
          <t>CMD-0076</t>
        </is>
      </c>
      <c r="B77" s="46" t="n">
        <v>88480</v>
      </c>
      <c r="C77" s="46" t="n">
        <v>88723</v>
      </c>
      <c r="D77" s="46" t="n">
        <v>92894</v>
      </c>
      <c r="E77" s="46" t="n">
        <v>91834</v>
      </c>
      <c r="F77" s="46" t="n">
        <v>94377</v>
      </c>
      <c r="G77" s="46" t="n">
        <v>119329</v>
      </c>
      <c r="H77" s="46" t="n">
        <v>111789</v>
      </c>
      <c r="I77" s="46" t="n">
        <v>127547</v>
      </c>
      <c r="J77" s="46" t="n">
        <v>121563</v>
      </c>
      <c r="K77" s="46" t="n">
        <v>111237</v>
      </c>
      <c r="L77" s="46" t="n">
        <v>88914</v>
      </c>
      <c r="M77" s="46" t="n">
        <v>130130</v>
      </c>
      <c r="N77" s="46" t="n">
        <v>121436</v>
      </c>
      <c r="O77" s="46" t="n">
        <v>119020</v>
      </c>
      <c r="P77" s="46" t="n">
        <v>120577</v>
      </c>
      <c r="Q77" s="46" t="n">
        <v>102612</v>
      </c>
      <c r="R77" s="46" t="n">
        <v>136866</v>
      </c>
      <c r="S77" s="46" t="n">
        <v>151884</v>
      </c>
      <c r="T77" s="46" t="n">
        <v>146546</v>
      </c>
      <c r="U77" s="46" t="n">
        <v>133366</v>
      </c>
      <c r="V77" s="46" t="n">
        <v>155189</v>
      </c>
      <c r="W77" s="46" t="n">
        <v>148933</v>
      </c>
      <c r="X77" s="46" t="n">
        <v>115618</v>
      </c>
      <c r="Y77" s="46" t="n">
        <v>153271</v>
      </c>
    </row>
    <row r="78">
      <c r="A78" s="43" t="inlineStr">
        <is>
          <t>CMD-0077</t>
        </is>
      </c>
      <c r="B78" s="46" t="n">
        <v>3263</v>
      </c>
      <c r="C78" s="46" t="n">
        <v>3060</v>
      </c>
      <c r="D78" s="46" t="n">
        <v>3204</v>
      </c>
      <c r="E78" s="46" t="n">
        <v>3140</v>
      </c>
      <c r="F78" s="46" t="n">
        <v>3331</v>
      </c>
      <c r="G78" s="46" t="n">
        <v>4103</v>
      </c>
      <c r="H78" s="46" t="n">
        <v>3852</v>
      </c>
      <c r="I78" s="46" t="n">
        <v>4463</v>
      </c>
      <c r="J78" s="46" t="n">
        <v>4994</v>
      </c>
      <c r="K78" s="46" t="n">
        <v>4354</v>
      </c>
      <c r="L78" s="46" t="n">
        <v>3158</v>
      </c>
      <c r="M78" s="46" t="n">
        <v>4558</v>
      </c>
      <c r="N78" s="46" t="n">
        <v>4146</v>
      </c>
      <c r="O78" s="46" t="n">
        <v>4042</v>
      </c>
      <c r="P78" s="46" t="n">
        <v>4265</v>
      </c>
      <c r="Q78" s="46" t="n">
        <v>3977</v>
      </c>
      <c r="R78" s="46" t="n">
        <v>4985</v>
      </c>
      <c r="S78" s="46" t="n">
        <v>5417</v>
      </c>
      <c r="T78" s="46" t="n">
        <v>5080</v>
      </c>
      <c r="U78" s="46" t="n">
        <v>5186</v>
      </c>
      <c r="V78" s="46" t="n">
        <v>5618</v>
      </c>
      <c r="W78" s="46" t="n">
        <v>5569</v>
      </c>
      <c r="X78" s="46" t="n">
        <v>3957</v>
      </c>
      <c r="Y78" s="46" t="n">
        <v>5977</v>
      </c>
    </row>
    <row r="79">
      <c r="A79" s="43" t="inlineStr">
        <is>
          <t>CMD-0078</t>
        </is>
      </c>
      <c r="B79" s="46" t="n">
        <v>2461</v>
      </c>
      <c r="C79" s="46" t="n">
        <v>2632</v>
      </c>
      <c r="D79" s="46" t="n">
        <v>2344</v>
      </c>
      <c r="E79" s="46" t="n">
        <v>1275</v>
      </c>
      <c r="F79" s="46" t="n">
        <v>2538</v>
      </c>
      <c r="G79" s="46" t="n">
        <v>7496</v>
      </c>
      <c r="H79" s="46" t="n">
        <v>649</v>
      </c>
      <c r="I79" s="46" t="n">
        <v>7084</v>
      </c>
      <c r="J79" s="46" t="n">
        <v>8447</v>
      </c>
      <c r="K79" s="46" t="n">
        <v>3231</v>
      </c>
      <c r="L79" s="46" t="n">
        <v>512</v>
      </c>
      <c r="M79" s="46" t="n">
        <v>8793</v>
      </c>
      <c r="N79" s="46" t="n">
        <v>7349</v>
      </c>
      <c r="O79" s="46" t="n">
        <v>1682</v>
      </c>
      <c r="P79" s="46" t="n">
        <v>7018</v>
      </c>
      <c r="Q79" s="46" t="n">
        <v>6224</v>
      </c>
      <c r="R79" s="46" t="n">
        <v>8551</v>
      </c>
      <c r="S79" s="46" t="n">
        <v>4490</v>
      </c>
      <c r="T79" s="46" t="n">
        <v>2090</v>
      </c>
      <c r="U79" s="46" t="n">
        <v>2018</v>
      </c>
      <c r="V79" s="46" t="n">
        <v>14365</v>
      </c>
      <c r="W79" s="46" t="n">
        <v>934</v>
      </c>
      <c r="X79" s="46" t="n">
        <v>10536</v>
      </c>
      <c r="Y79" s="46" t="n">
        <v>5155</v>
      </c>
    </row>
    <row r="80">
      <c r="A80" s="43" t="inlineStr">
        <is>
          <t>CMD-0079</t>
        </is>
      </c>
      <c r="B80" s="46" t="n">
        <v>4669</v>
      </c>
      <c r="C80" s="46" t="n">
        <v>1393</v>
      </c>
      <c r="D80" s="46" t="n">
        <v>1374</v>
      </c>
      <c r="E80" s="46" t="n">
        <v>1343</v>
      </c>
      <c r="F80" s="46" t="n">
        <v>717</v>
      </c>
      <c r="G80" s="46" t="n">
        <v>3522</v>
      </c>
      <c r="H80" s="46" t="n">
        <v>3990</v>
      </c>
      <c r="I80" s="46" t="n">
        <v>352</v>
      </c>
      <c r="J80" s="46" t="n">
        <v>5507</v>
      </c>
      <c r="K80" s="46" t="n">
        <v>771</v>
      </c>
      <c r="L80" s="46" t="n">
        <v>1274</v>
      </c>
      <c r="M80" s="46" t="n">
        <v>1537</v>
      </c>
      <c r="N80" s="46" t="n">
        <v>782</v>
      </c>
      <c r="O80" s="46" t="n">
        <v>716</v>
      </c>
      <c r="P80" s="46" t="n">
        <v>3106</v>
      </c>
      <c r="Q80" s="46" t="n">
        <v>1443</v>
      </c>
      <c r="R80" s="46" t="n">
        <v>312</v>
      </c>
      <c r="S80" s="46" t="n">
        <v>1721</v>
      </c>
      <c r="T80" s="46" t="n">
        <v>1559</v>
      </c>
      <c r="U80" s="46" t="n">
        <v>911</v>
      </c>
      <c r="V80" s="46" t="n">
        <v>6043</v>
      </c>
      <c r="W80" s="46" t="n">
        <v>982</v>
      </c>
      <c r="X80" s="46" t="n">
        <v>1397</v>
      </c>
      <c r="Y80" s="46" t="n">
        <v>1798</v>
      </c>
    </row>
    <row r="81">
      <c r="A81" s="43" t="inlineStr">
        <is>
          <t>CMD-0080</t>
        </is>
      </c>
      <c r="B81" s="46" t="n">
        <v>3484</v>
      </c>
      <c r="C81" s="46" t="n">
        <v>3045</v>
      </c>
      <c r="D81" s="46" t="n">
        <v>7649</v>
      </c>
      <c r="E81" s="46" t="n">
        <v>608</v>
      </c>
      <c r="F81" s="46" t="n">
        <v>731</v>
      </c>
      <c r="G81" s="46" t="n">
        <v>858</v>
      </c>
      <c r="H81" s="46" t="n">
        <v>1829</v>
      </c>
      <c r="I81" s="46" t="n">
        <v>9590</v>
      </c>
      <c r="J81" s="46" t="n">
        <v>13430</v>
      </c>
      <c r="K81" s="46" t="n">
        <v>4393</v>
      </c>
      <c r="L81" s="46" t="n">
        <v>7287</v>
      </c>
      <c r="M81" s="46" t="n">
        <v>9925</v>
      </c>
      <c r="N81" s="46" t="n">
        <v>4432</v>
      </c>
      <c r="O81" s="46" t="n">
        <v>4172</v>
      </c>
      <c r="P81" s="46" t="n">
        <v>776</v>
      </c>
      <c r="Q81" s="46" t="n">
        <v>11991</v>
      </c>
      <c r="R81" s="46" t="n">
        <v>14765</v>
      </c>
      <c r="S81" s="46" t="n">
        <v>2669</v>
      </c>
      <c r="T81" s="46" t="n">
        <v>1043</v>
      </c>
      <c r="U81" s="46" t="n">
        <v>1048</v>
      </c>
      <c r="V81" s="46" t="n">
        <v>5728</v>
      </c>
      <c r="W81" s="46" t="n">
        <v>1143</v>
      </c>
      <c r="X81" s="46" t="n">
        <v>840</v>
      </c>
      <c r="Y81" s="46" t="n">
        <v>1205</v>
      </c>
    </row>
    <row r="82">
      <c r="A82" s="43" t="inlineStr">
        <is>
          <t>CMD-0081</t>
        </is>
      </c>
      <c r="B82" s="46" t="n">
        <v>445</v>
      </c>
      <c r="C82" s="46" t="n">
        <v>335</v>
      </c>
      <c r="D82" s="46" t="n">
        <v>370</v>
      </c>
      <c r="E82" s="46" t="n">
        <v>410</v>
      </c>
      <c r="F82" s="46" t="n">
        <v>441</v>
      </c>
      <c r="G82" s="46" t="n">
        <v>455</v>
      </c>
      <c r="H82" s="46" t="n">
        <v>384</v>
      </c>
      <c r="I82" s="46" t="n">
        <v>536</v>
      </c>
      <c r="J82" s="46" t="n">
        <v>529</v>
      </c>
      <c r="K82" s="46" t="n">
        <v>495</v>
      </c>
      <c r="L82" s="46" t="n">
        <v>376</v>
      </c>
      <c r="M82" s="46" t="n">
        <v>460</v>
      </c>
      <c r="N82" s="46" t="n">
        <v>458</v>
      </c>
      <c r="O82" s="46" t="n">
        <v>427</v>
      </c>
      <c r="P82" s="46" t="n">
        <v>385</v>
      </c>
      <c r="Q82" s="46" t="n">
        <v>444</v>
      </c>
      <c r="R82" s="46" t="n">
        <v>416</v>
      </c>
      <c r="S82" s="46" t="n">
        <v>536</v>
      </c>
      <c r="T82" s="46" t="n">
        <v>460</v>
      </c>
      <c r="U82" s="46" t="n">
        <v>509</v>
      </c>
      <c r="V82" s="46" t="n">
        <v>568</v>
      </c>
      <c r="W82" s="46" t="n">
        <v>572</v>
      </c>
      <c r="X82" s="46" t="n">
        <v>364</v>
      </c>
      <c r="Y82" s="46" t="n">
        <v>534</v>
      </c>
    </row>
    <row r="83">
      <c r="A83" s="43" t="inlineStr">
        <is>
          <t>CMD-0082</t>
        </is>
      </c>
      <c r="B83" s="46" t="n">
        <v>5597</v>
      </c>
      <c r="C83" s="46" t="n">
        <v>5861</v>
      </c>
      <c r="D83" s="46" t="n">
        <v>5565</v>
      </c>
      <c r="E83" s="46" t="n">
        <v>6224</v>
      </c>
      <c r="F83" s="46" t="n">
        <v>5882</v>
      </c>
      <c r="G83" s="46" t="n">
        <v>7588</v>
      </c>
      <c r="H83" s="46" t="n">
        <v>6432</v>
      </c>
      <c r="I83" s="46" t="n">
        <v>7523</v>
      </c>
      <c r="J83" s="46" t="n">
        <v>8476</v>
      </c>
      <c r="K83" s="46" t="n">
        <v>6968</v>
      </c>
      <c r="L83" s="46" t="n">
        <v>5349</v>
      </c>
      <c r="M83" s="46" t="n">
        <v>8490</v>
      </c>
      <c r="N83" s="46" t="n">
        <v>7407</v>
      </c>
      <c r="O83" s="46" t="n">
        <v>6680</v>
      </c>
      <c r="P83" s="46" t="n">
        <v>6655</v>
      </c>
      <c r="Q83" s="46" t="n">
        <v>6638</v>
      </c>
      <c r="R83" s="46" t="n">
        <v>8464</v>
      </c>
      <c r="S83" s="46" t="n">
        <v>9362</v>
      </c>
      <c r="T83" s="46" t="n">
        <v>7793</v>
      </c>
      <c r="U83" s="46" t="n">
        <v>8677</v>
      </c>
      <c r="V83" s="46" t="n">
        <v>10239</v>
      </c>
      <c r="W83" s="46" t="n">
        <v>10930</v>
      </c>
      <c r="X83" s="46" t="n">
        <v>7766</v>
      </c>
      <c r="Y83" s="46" t="n">
        <v>10522</v>
      </c>
    </row>
    <row r="84">
      <c r="A84" s="43" t="inlineStr">
        <is>
          <t>CMD-0083</t>
        </is>
      </c>
      <c r="B84" s="46" t="n">
        <v>1017</v>
      </c>
      <c r="C84" s="46" t="n">
        <v>1124</v>
      </c>
      <c r="D84" s="46" t="n">
        <v>1078</v>
      </c>
      <c r="E84" s="46" t="n">
        <v>1100</v>
      </c>
      <c r="F84" s="46" t="n">
        <v>1160</v>
      </c>
      <c r="G84" s="46" t="n">
        <v>1233</v>
      </c>
      <c r="H84" s="46" t="n">
        <v>1121</v>
      </c>
      <c r="I84" s="46" t="n">
        <v>1385</v>
      </c>
      <c r="J84" s="46" t="n">
        <v>1327</v>
      </c>
      <c r="K84" s="46" t="n">
        <v>1339</v>
      </c>
      <c r="L84" s="46" t="n">
        <v>1008</v>
      </c>
      <c r="M84" s="46" t="n">
        <v>1265</v>
      </c>
      <c r="N84" s="46" t="n">
        <v>1375</v>
      </c>
      <c r="O84" s="46" t="n">
        <v>1093</v>
      </c>
      <c r="P84" s="46" t="n">
        <v>1213</v>
      </c>
      <c r="Q84" s="46" t="n">
        <v>1205</v>
      </c>
      <c r="R84" s="46" t="n">
        <v>1206</v>
      </c>
      <c r="S84" s="46" t="n">
        <v>1249</v>
      </c>
      <c r="T84" s="46" t="n">
        <v>1360</v>
      </c>
      <c r="U84" s="46" t="n">
        <v>1410</v>
      </c>
      <c r="V84" s="46" t="n">
        <v>1484</v>
      </c>
      <c r="W84" s="46" t="n">
        <v>1447</v>
      </c>
      <c r="X84" s="46" t="n">
        <v>1018</v>
      </c>
      <c r="Y84" s="46" t="n">
        <v>1368</v>
      </c>
    </row>
    <row r="85">
      <c r="A85" s="43" t="inlineStr">
        <is>
          <t>CMD-0084</t>
        </is>
      </c>
      <c r="B85" s="46" t="n">
        <v>625</v>
      </c>
      <c r="C85" s="46" t="n">
        <v>660</v>
      </c>
      <c r="D85" s="46" t="n">
        <v>655</v>
      </c>
      <c r="E85" s="46" t="n">
        <v>646</v>
      </c>
      <c r="F85" s="46" t="n">
        <v>530</v>
      </c>
      <c r="G85" s="46" t="n">
        <v>721</v>
      </c>
      <c r="H85" s="46" t="n">
        <v>643</v>
      </c>
      <c r="I85" s="46" t="n">
        <v>718</v>
      </c>
      <c r="J85" s="46" t="n">
        <v>673</v>
      </c>
      <c r="K85" s="46" t="n">
        <v>652</v>
      </c>
      <c r="L85" s="46" t="n">
        <v>493</v>
      </c>
      <c r="M85" s="46" t="n">
        <v>601</v>
      </c>
      <c r="N85" s="46" t="n">
        <v>767</v>
      </c>
      <c r="O85" s="46" t="n">
        <v>650</v>
      </c>
      <c r="P85" s="46" t="n">
        <v>703</v>
      </c>
      <c r="Q85" s="46" t="n">
        <v>577</v>
      </c>
      <c r="R85" s="46" t="n">
        <v>715</v>
      </c>
      <c r="S85" s="46" t="n">
        <v>659</v>
      </c>
      <c r="T85" s="46" t="n">
        <v>758</v>
      </c>
      <c r="U85" s="46" t="n">
        <v>757</v>
      </c>
      <c r="V85" s="46" t="n">
        <v>895</v>
      </c>
      <c r="W85" s="46" t="n">
        <v>812</v>
      </c>
      <c r="X85" s="46" t="n">
        <v>573</v>
      </c>
      <c r="Y85" s="46" t="n">
        <v>676</v>
      </c>
    </row>
    <row r="86">
      <c r="A86" s="43" t="inlineStr">
        <is>
          <t>CMD-0085</t>
        </is>
      </c>
      <c r="B86" s="46" t="n">
        <v>812</v>
      </c>
      <c r="C86" s="46" t="n">
        <v>722</v>
      </c>
      <c r="D86" s="46" t="n">
        <v>668</v>
      </c>
      <c r="E86" s="46" t="n">
        <v>844</v>
      </c>
      <c r="F86" s="46" t="n">
        <v>917</v>
      </c>
      <c r="G86" s="46" t="n">
        <v>849</v>
      </c>
      <c r="H86" s="46" t="n">
        <v>791</v>
      </c>
      <c r="I86" s="46" t="n">
        <v>1125</v>
      </c>
      <c r="J86" s="46" t="n">
        <v>1035</v>
      </c>
      <c r="K86" s="46" t="n">
        <v>997</v>
      </c>
      <c r="L86" s="46" t="n">
        <v>764</v>
      </c>
      <c r="M86" s="46" t="n">
        <v>1001</v>
      </c>
      <c r="N86" s="46" t="n">
        <v>935</v>
      </c>
      <c r="O86" s="46" t="n">
        <v>876</v>
      </c>
      <c r="P86" s="46" t="n">
        <v>784</v>
      </c>
      <c r="Q86" s="46" t="n">
        <v>943</v>
      </c>
      <c r="R86" s="46" t="n">
        <v>850</v>
      </c>
      <c r="S86" s="46" t="n">
        <v>1034</v>
      </c>
      <c r="T86" s="46" t="n">
        <v>959</v>
      </c>
      <c r="U86" s="46" t="n">
        <v>1253</v>
      </c>
      <c r="V86" s="46" t="n">
        <v>1125</v>
      </c>
      <c r="W86" s="46" t="n">
        <v>1139</v>
      </c>
      <c r="X86" s="46" t="n">
        <v>745</v>
      </c>
      <c r="Y86" s="46" t="n">
        <v>982</v>
      </c>
    </row>
    <row r="87">
      <c r="A87" s="43" t="inlineStr">
        <is>
          <t>CMD-0086</t>
        </is>
      </c>
      <c r="B87" s="46" t="n">
        <v>601</v>
      </c>
      <c r="C87" s="46" t="n">
        <v>610</v>
      </c>
      <c r="D87" s="46" t="n">
        <v>581</v>
      </c>
      <c r="E87" s="46" t="n">
        <v>736</v>
      </c>
      <c r="F87" s="46" t="n">
        <v>504</v>
      </c>
      <c r="G87" s="46" t="n">
        <v>671</v>
      </c>
      <c r="H87" s="46" t="n">
        <v>704</v>
      </c>
      <c r="I87" s="46" t="n">
        <v>720</v>
      </c>
      <c r="J87" s="46" t="n">
        <v>665</v>
      </c>
      <c r="K87" s="46" t="n">
        <v>668</v>
      </c>
      <c r="L87" s="46" t="n">
        <v>505</v>
      </c>
      <c r="M87" s="46" t="n">
        <v>670</v>
      </c>
      <c r="N87" s="46" t="n">
        <v>707</v>
      </c>
      <c r="O87" s="46" t="n">
        <v>687</v>
      </c>
      <c r="P87" s="46" t="n">
        <v>647</v>
      </c>
      <c r="Q87" s="46" t="n">
        <v>621</v>
      </c>
      <c r="R87" s="46" t="n">
        <v>735</v>
      </c>
      <c r="S87" s="46" t="n">
        <v>604</v>
      </c>
      <c r="T87" s="46" t="n">
        <v>793</v>
      </c>
      <c r="U87" s="46" t="n">
        <v>865</v>
      </c>
      <c r="V87" s="46" t="n">
        <v>939</v>
      </c>
      <c r="W87" s="46" t="n">
        <v>721</v>
      </c>
      <c r="X87" s="46" t="n">
        <v>542</v>
      </c>
      <c r="Y87" s="46" t="n">
        <v>661</v>
      </c>
    </row>
    <row r="88">
      <c r="A88" s="43" t="inlineStr">
        <is>
          <t>CMD-0087</t>
        </is>
      </c>
      <c r="B88" s="46" t="n">
        <v>80</v>
      </c>
      <c r="C88" s="46" t="n">
        <v>83</v>
      </c>
      <c r="D88" s="46" t="n">
        <v>191</v>
      </c>
      <c r="E88" s="46" t="n">
        <v>1162</v>
      </c>
      <c r="F88" s="46" t="n">
        <v>205</v>
      </c>
      <c r="G88" s="46" t="n">
        <v>1282</v>
      </c>
      <c r="H88" s="46" t="n">
        <v>85</v>
      </c>
      <c r="I88" s="46" t="n">
        <v>526</v>
      </c>
      <c r="J88" s="46" t="n">
        <v>280</v>
      </c>
      <c r="K88" s="46" t="n">
        <v>1068</v>
      </c>
      <c r="L88" s="46" t="n">
        <v>189</v>
      </c>
      <c r="M88" s="46" t="n">
        <v>228</v>
      </c>
      <c r="N88" s="46" t="n">
        <v>226</v>
      </c>
      <c r="O88" s="46" t="n">
        <v>205</v>
      </c>
      <c r="P88" s="46" t="n">
        <v>406</v>
      </c>
      <c r="Q88" s="46" t="n">
        <v>93</v>
      </c>
      <c r="R88" s="46" t="n">
        <v>417</v>
      </c>
      <c r="S88" s="46" t="n">
        <v>535</v>
      </c>
      <c r="T88" s="46" t="n">
        <v>447</v>
      </c>
      <c r="U88" s="46" t="n">
        <v>118</v>
      </c>
      <c r="V88" s="46" t="n">
        <v>1328</v>
      </c>
      <c r="W88" s="46" t="n">
        <v>1307</v>
      </c>
      <c r="X88" s="46" t="n">
        <v>392</v>
      </c>
      <c r="Y88" s="46" t="n">
        <v>1167</v>
      </c>
    </row>
    <row r="89">
      <c r="A89" s="43" t="inlineStr">
        <is>
          <t>CMD-0088</t>
        </is>
      </c>
      <c r="B89" s="46" t="n">
        <v>338</v>
      </c>
      <c r="C89" s="46" t="n">
        <v>319</v>
      </c>
      <c r="D89" s="46" t="n">
        <v>332</v>
      </c>
      <c r="E89" s="46" t="n">
        <v>268</v>
      </c>
      <c r="F89" s="46" t="n">
        <v>314</v>
      </c>
      <c r="G89" s="46" t="n">
        <v>141</v>
      </c>
      <c r="H89" s="46" t="n">
        <v>324</v>
      </c>
      <c r="I89" s="46" t="n">
        <v>236</v>
      </c>
      <c r="J89" s="46" t="n">
        <v>348</v>
      </c>
      <c r="K89" s="46" t="n">
        <v>344</v>
      </c>
      <c r="L89" s="46" t="n">
        <v>258</v>
      </c>
      <c r="M89" s="46" t="n">
        <v>328</v>
      </c>
      <c r="N89" s="46" t="n">
        <v>196</v>
      </c>
      <c r="O89" s="46" t="n">
        <v>237</v>
      </c>
      <c r="P89" s="46" t="n">
        <v>314</v>
      </c>
      <c r="Q89" s="46" t="n">
        <v>331</v>
      </c>
      <c r="R89" s="46" t="n">
        <v>383</v>
      </c>
      <c r="S89" s="46" t="n">
        <v>182</v>
      </c>
      <c r="T89" s="46" t="n">
        <v>495</v>
      </c>
      <c r="U89" s="46" t="n">
        <v>375</v>
      </c>
      <c r="V89" s="46" t="n">
        <v>637</v>
      </c>
      <c r="W89" s="46" t="n">
        <v>457</v>
      </c>
      <c r="X89" s="46" t="n">
        <v>369</v>
      </c>
      <c r="Y89" s="46" t="n">
        <v>424</v>
      </c>
    </row>
    <row r="90">
      <c r="A90" s="43" t="inlineStr">
        <is>
          <t>CMD-0089</t>
        </is>
      </c>
      <c r="B90" s="46" t="n">
        <v>409</v>
      </c>
      <c r="C90" s="46" t="n">
        <v>377</v>
      </c>
      <c r="D90" s="46" t="n">
        <v>379</v>
      </c>
      <c r="E90" s="46" t="n">
        <v>399</v>
      </c>
      <c r="F90" s="46" t="n">
        <v>396</v>
      </c>
      <c r="G90" s="46" t="n">
        <v>441</v>
      </c>
      <c r="H90" s="46" t="n">
        <v>407</v>
      </c>
      <c r="I90" s="46" t="n">
        <v>525</v>
      </c>
      <c r="J90" s="46" t="n">
        <v>539</v>
      </c>
      <c r="K90" s="46" t="n">
        <v>550</v>
      </c>
      <c r="L90" s="46" t="n">
        <v>349</v>
      </c>
      <c r="M90" s="46" t="n">
        <v>512</v>
      </c>
      <c r="N90" s="46" t="n">
        <v>473</v>
      </c>
      <c r="O90" s="46" t="n">
        <v>416</v>
      </c>
      <c r="P90" s="46" t="n">
        <v>384</v>
      </c>
      <c r="Q90" s="46" t="n">
        <v>454</v>
      </c>
      <c r="R90" s="46" t="n">
        <v>439</v>
      </c>
      <c r="S90" s="46" t="n">
        <v>537</v>
      </c>
      <c r="T90" s="46" t="n">
        <v>456</v>
      </c>
      <c r="U90" s="46" t="n">
        <v>541</v>
      </c>
      <c r="V90" s="46" t="n">
        <v>535</v>
      </c>
      <c r="W90" s="46" t="n">
        <v>559</v>
      </c>
      <c r="X90" s="46" t="n">
        <v>388</v>
      </c>
      <c r="Y90" s="46" t="n">
        <v>555</v>
      </c>
    </row>
    <row r="91">
      <c r="A91" s="43" t="inlineStr">
        <is>
          <t>CMD-0090</t>
        </is>
      </c>
      <c r="B91" s="46" t="n">
        <v>3133</v>
      </c>
      <c r="C91" s="46" t="n">
        <v>3470</v>
      </c>
      <c r="D91" s="46" t="n">
        <v>3524</v>
      </c>
      <c r="E91" s="46" t="n">
        <v>3348</v>
      </c>
      <c r="F91" s="46" t="n">
        <v>3571</v>
      </c>
      <c r="G91" s="46" t="n">
        <v>3810</v>
      </c>
      <c r="H91" s="46" t="n">
        <v>4138</v>
      </c>
      <c r="I91" s="46" t="n">
        <v>4433</v>
      </c>
      <c r="J91" s="46" t="n">
        <v>4933</v>
      </c>
      <c r="K91" s="46" t="n">
        <v>4264</v>
      </c>
      <c r="L91" s="46" t="n">
        <v>2880</v>
      </c>
      <c r="M91" s="46" t="n">
        <v>4587</v>
      </c>
      <c r="N91" s="46" t="n">
        <v>4239</v>
      </c>
      <c r="O91" s="46" t="n">
        <v>4124</v>
      </c>
      <c r="P91" s="46" t="n">
        <v>3790</v>
      </c>
      <c r="Q91" s="46" t="n">
        <v>3145</v>
      </c>
      <c r="R91" s="46" t="n">
        <v>4731</v>
      </c>
      <c r="S91" s="46" t="n">
        <v>5023</v>
      </c>
      <c r="T91" s="46" t="n">
        <v>5106</v>
      </c>
      <c r="U91" s="46" t="n">
        <v>4784</v>
      </c>
      <c r="V91" s="46" t="n">
        <v>5725</v>
      </c>
      <c r="W91" s="46" t="n">
        <v>5645</v>
      </c>
      <c r="X91" s="46" t="n">
        <v>3917</v>
      </c>
      <c r="Y91" s="46" t="n">
        <v>5712</v>
      </c>
    </row>
    <row r="92">
      <c r="A92" s="43" t="inlineStr">
        <is>
          <t>CMD-0091</t>
        </is>
      </c>
      <c r="B92" s="46" t="n">
        <v>825</v>
      </c>
      <c r="C92" s="46" t="n">
        <v>744</v>
      </c>
      <c r="D92" s="46" t="n">
        <v>703</v>
      </c>
      <c r="E92" s="46" t="n">
        <v>800</v>
      </c>
      <c r="F92" s="46" t="n">
        <v>937</v>
      </c>
      <c r="G92" s="46" t="n">
        <v>872</v>
      </c>
      <c r="H92" s="46" t="n">
        <v>778</v>
      </c>
      <c r="I92" s="46" t="n">
        <v>1031</v>
      </c>
      <c r="J92" s="46" t="n">
        <v>1083</v>
      </c>
      <c r="K92" s="46" t="n">
        <v>1002</v>
      </c>
      <c r="L92" s="46" t="n">
        <v>767</v>
      </c>
      <c r="M92" s="46" t="n">
        <v>971</v>
      </c>
      <c r="N92" s="46" t="n">
        <v>946</v>
      </c>
      <c r="O92" s="46" t="n">
        <v>842</v>
      </c>
      <c r="P92" s="46" t="n">
        <v>767</v>
      </c>
      <c r="Q92" s="46" t="n">
        <v>900</v>
      </c>
      <c r="R92" s="46" t="n">
        <v>826</v>
      </c>
      <c r="S92" s="46" t="n">
        <v>1114</v>
      </c>
      <c r="T92" s="46" t="n">
        <v>992</v>
      </c>
      <c r="U92" s="46" t="n">
        <v>1095</v>
      </c>
      <c r="V92" s="46" t="n">
        <v>1153</v>
      </c>
      <c r="W92" s="46" t="n">
        <v>1104</v>
      </c>
      <c r="X92" s="46" t="n">
        <v>746</v>
      </c>
      <c r="Y92" s="46" t="n">
        <v>1133</v>
      </c>
    </row>
    <row r="93">
      <c r="A93" s="43" t="inlineStr">
        <is>
          <t>CMD-0092</t>
        </is>
      </c>
      <c r="B93" s="46" t="n">
        <v>286</v>
      </c>
      <c r="C93" s="46" t="n">
        <v>310</v>
      </c>
      <c r="D93" s="46" t="n">
        <v>281</v>
      </c>
      <c r="E93" s="46" t="n">
        <v>353</v>
      </c>
      <c r="F93" s="46" t="n">
        <v>266</v>
      </c>
      <c r="G93" s="46" t="n">
        <v>318</v>
      </c>
      <c r="H93" s="46" t="n">
        <v>361</v>
      </c>
      <c r="I93" s="46" t="n">
        <v>360</v>
      </c>
      <c r="J93" s="46" t="n">
        <v>339</v>
      </c>
      <c r="K93" s="46" t="n">
        <v>317</v>
      </c>
      <c r="L93" s="46" t="n">
        <v>268</v>
      </c>
      <c r="M93" s="46" t="n">
        <v>295</v>
      </c>
      <c r="N93" s="46" t="n">
        <v>354</v>
      </c>
      <c r="O93" s="46" t="n">
        <v>325</v>
      </c>
      <c r="P93" s="46" t="n">
        <v>326</v>
      </c>
      <c r="Q93" s="46" t="n">
        <v>300</v>
      </c>
      <c r="R93" s="46" t="n">
        <v>366</v>
      </c>
      <c r="S93" s="46" t="n">
        <v>291</v>
      </c>
      <c r="T93" s="46" t="n">
        <v>349</v>
      </c>
      <c r="U93" s="46" t="n">
        <v>396</v>
      </c>
      <c r="V93" s="46" t="n">
        <v>443</v>
      </c>
      <c r="W93" s="46" t="n">
        <v>401</v>
      </c>
      <c r="X93" s="46" t="n">
        <v>305</v>
      </c>
      <c r="Y93" s="46" t="n">
        <v>398</v>
      </c>
    </row>
    <row r="94">
      <c r="A94" s="43" t="inlineStr">
        <is>
          <t>CMD-0093</t>
        </is>
      </c>
      <c r="B94" s="46" t="n">
        <v>613</v>
      </c>
      <c r="C94" s="46" t="n">
        <v>644</v>
      </c>
      <c r="D94" s="46" t="n">
        <v>621</v>
      </c>
      <c r="E94" s="46" t="n">
        <v>652</v>
      </c>
      <c r="F94" s="46" t="n">
        <v>558</v>
      </c>
      <c r="G94" s="46" t="n">
        <v>651</v>
      </c>
      <c r="H94" s="46" t="n">
        <v>671</v>
      </c>
      <c r="I94" s="46" t="n">
        <v>684</v>
      </c>
      <c r="J94" s="46" t="n">
        <v>698</v>
      </c>
      <c r="K94" s="46" t="n">
        <v>613</v>
      </c>
      <c r="L94" s="46" t="n">
        <v>480</v>
      </c>
      <c r="M94" s="46" t="n">
        <v>652</v>
      </c>
      <c r="N94" s="46" t="n">
        <v>714</v>
      </c>
      <c r="O94" s="46" t="n">
        <v>671</v>
      </c>
      <c r="P94" s="46" t="n">
        <v>652</v>
      </c>
      <c r="Q94" s="46" t="n">
        <v>609</v>
      </c>
      <c r="R94" s="46" t="n">
        <v>694</v>
      </c>
      <c r="S94" s="46" t="n">
        <v>623</v>
      </c>
      <c r="T94" s="46" t="n">
        <v>696</v>
      </c>
      <c r="U94" s="46" t="n">
        <v>830</v>
      </c>
      <c r="V94" s="46" t="n">
        <v>851</v>
      </c>
      <c r="W94" s="46" t="n">
        <v>829</v>
      </c>
      <c r="X94" s="46" t="n">
        <v>532</v>
      </c>
      <c r="Y94" s="46" t="n">
        <v>708</v>
      </c>
    </row>
    <row r="95">
      <c r="A95" s="43" t="inlineStr">
        <is>
          <t>CMD-0094</t>
        </is>
      </c>
      <c r="B95" s="46" t="n">
        <v>443</v>
      </c>
      <c r="C95" s="46" t="n">
        <v>392</v>
      </c>
      <c r="D95" s="46" t="n">
        <v>371</v>
      </c>
      <c r="E95" s="46" t="n">
        <v>388</v>
      </c>
      <c r="F95" s="46" t="n">
        <v>456</v>
      </c>
      <c r="G95" s="46" t="n">
        <v>423</v>
      </c>
      <c r="H95" s="46" t="n">
        <v>408</v>
      </c>
      <c r="I95" s="46" t="n">
        <v>495</v>
      </c>
      <c r="J95" s="46" t="n">
        <v>560</v>
      </c>
      <c r="K95" s="46" t="n">
        <v>510</v>
      </c>
      <c r="L95" s="46" t="n">
        <v>400</v>
      </c>
      <c r="M95" s="46" t="n">
        <v>467</v>
      </c>
      <c r="N95" s="46" t="n">
        <v>441</v>
      </c>
      <c r="O95" s="46" t="n">
        <v>389</v>
      </c>
      <c r="P95" s="46" t="n">
        <v>416</v>
      </c>
      <c r="Q95" s="46" t="n">
        <v>478</v>
      </c>
      <c r="R95" s="46" t="n">
        <v>437</v>
      </c>
      <c r="S95" s="46" t="n">
        <v>519</v>
      </c>
      <c r="T95" s="46" t="n">
        <v>457</v>
      </c>
      <c r="U95" s="46" t="n">
        <v>545</v>
      </c>
      <c r="V95" s="46" t="n">
        <v>556</v>
      </c>
      <c r="W95" s="46" t="n">
        <v>560</v>
      </c>
      <c r="X95" s="46" t="n">
        <v>380</v>
      </c>
      <c r="Y95" s="46" t="n">
        <v>549</v>
      </c>
    </row>
    <row r="96">
      <c r="A96" s="43" t="inlineStr">
        <is>
          <t>CMD-0095</t>
        </is>
      </c>
      <c r="B96" s="46" t="n">
        <v>299</v>
      </c>
      <c r="C96" s="46" t="n">
        <v>305</v>
      </c>
      <c r="D96" s="46" t="n">
        <v>295</v>
      </c>
      <c r="E96" s="46" t="n">
        <v>320</v>
      </c>
      <c r="F96" s="46" t="n">
        <v>277</v>
      </c>
      <c r="G96" s="46" t="n">
        <v>337</v>
      </c>
      <c r="H96" s="46" t="n">
        <v>330</v>
      </c>
      <c r="I96" s="46" t="n">
        <v>332</v>
      </c>
      <c r="J96" s="46" t="n">
        <v>346</v>
      </c>
      <c r="K96" s="46" t="n">
        <v>329</v>
      </c>
      <c r="L96" s="46" t="n">
        <v>280</v>
      </c>
      <c r="M96" s="46" t="n">
        <v>301</v>
      </c>
      <c r="N96" s="46" t="n">
        <v>378</v>
      </c>
      <c r="O96" s="46" t="n">
        <v>333</v>
      </c>
      <c r="P96" s="46" t="n">
        <v>304</v>
      </c>
      <c r="Q96" s="46" t="n">
        <v>288</v>
      </c>
      <c r="R96" s="46" t="n">
        <v>356</v>
      </c>
      <c r="S96" s="46" t="n">
        <v>318</v>
      </c>
      <c r="T96" s="46" t="n">
        <v>352</v>
      </c>
      <c r="U96" s="46" t="n">
        <v>349</v>
      </c>
      <c r="V96" s="46" t="n">
        <v>439</v>
      </c>
      <c r="W96" s="46" t="n">
        <v>381</v>
      </c>
      <c r="X96" s="46" t="n">
        <v>290</v>
      </c>
      <c r="Y96" s="46" t="n">
        <v>373</v>
      </c>
    </row>
    <row r="97">
      <c r="A97" s="43" t="inlineStr">
        <is>
          <t>CMD-0096</t>
        </is>
      </c>
      <c r="B97" s="46" t="n">
        <v>793</v>
      </c>
      <c r="C97" s="46" t="n">
        <v>791</v>
      </c>
      <c r="D97" s="46" t="n">
        <v>707</v>
      </c>
      <c r="E97" s="46" t="n">
        <v>849</v>
      </c>
      <c r="F97" s="46" t="n">
        <v>852</v>
      </c>
      <c r="G97" s="46" t="n">
        <v>859</v>
      </c>
      <c r="H97" s="46" t="n">
        <v>803</v>
      </c>
      <c r="I97" s="46" t="n">
        <v>1064</v>
      </c>
      <c r="J97" s="46" t="n">
        <v>1056</v>
      </c>
      <c r="K97" s="46" t="n">
        <v>939</v>
      </c>
      <c r="L97" s="46" t="n">
        <v>787</v>
      </c>
      <c r="M97" s="46" t="n">
        <v>911</v>
      </c>
      <c r="N97" s="46" t="n">
        <v>849</v>
      </c>
      <c r="O97" s="46" t="n">
        <v>764</v>
      </c>
      <c r="P97" s="46" t="n">
        <v>874</v>
      </c>
      <c r="Q97" s="46" t="n">
        <v>971</v>
      </c>
      <c r="R97" s="46" t="n">
        <v>831</v>
      </c>
      <c r="S97" s="46" t="n">
        <v>1060</v>
      </c>
      <c r="T97" s="46" t="n">
        <v>931</v>
      </c>
      <c r="U97" s="46" t="n">
        <v>1047</v>
      </c>
      <c r="V97" s="46" t="n">
        <v>1120</v>
      </c>
      <c r="W97" s="46" t="n">
        <v>1113</v>
      </c>
      <c r="X97" s="46" t="n">
        <v>739</v>
      </c>
      <c r="Y97" s="46" t="n">
        <v>1073</v>
      </c>
    </row>
    <row r="98">
      <c r="A98" s="43" t="inlineStr">
        <is>
          <t>CMD-0097</t>
        </is>
      </c>
      <c r="B98" s="46" t="n">
        <v>410</v>
      </c>
      <c r="C98" s="46" t="n">
        <v>400</v>
      </c>
      <c r="D98" s="46" t="n">
        <v>347</v>
      </c>
      <c r="E98" s="46" t="n">
        <v>397</v>
      </c>
      <c r="F98" s="46" t="n">
        <v>466</v>
      </c>
      <c r="G98" s="46" t="n">
        <v>445</v>
      </c>
      <c r="H98" s="46" t="n">
        <v>449</v>
      </c>
      <c r="I98" s="46" t="n">
        <v>531</v>
      </c>
      <c r="J98" s="46" t="n">
        <v>551</v>
      </c>
      <c r="K98" s="46" t="n">
        <v>516</v>
      </c>
      <c r="L98" s="46" t="n">
        <v>362</v>
      </c>
      <c r="M98" s="46" t="n">
        <v>492</v>
      </c>
      <c r="N98" s="46" t="n">
        <v>434</v>
      </c>
      <c r="O98" s="46" t="n">
        <v>383</v>
      </c>
      <c r="P98" s="46" t="n">
        <v>419</v>
      </c>
      <c r="Q98" s="46" t="n">
        <v>474</v>
      </c>
      <c r="R98" s="46" t="n">
        <v>452</v>
      </c>
      <c r="S98" s="46" t="n">
        <v>548</v>
      </c>
      <c r="T98" s="46" t="n">
        <v>465</v>
      </c>
      <c r="U98" s="46" t="n">
        <v>554</v>
      </c>
      <c r="V98" s="46" t="n">
        <v>571</v>
      </c>
      <c r="W98" s="46" t="n">
        <v>568</v>
      </c>
      <c r="X98" s="46" t="n">
        <v>377</v>
      </c>
      <c r="Y98" s="46" t="n">
        <v>547</v>
      </c>
    </row>
    <row r="99">
      <c r="A99" s="43" t="inlineStr">
        <is>
          <t>CMD-0098</t>
        </is>
      </c>
      <c r="B99" s="46" t="n">
        <v>309</v>
      </c>
      <c r="C99" s="46" t="n">
        <v>339</v>
      </c>
      <c r="D99" s="46" t="n">
        <v>310</v>
      </c>
      <c r="E99" s="46" t="n">
        <v>349</v>
      </c>
      <c r="F99" s="46" t="n">
        <v>299</v>
      </c>
      <c r="G99" s="46" t="n">
        <v>316</v>
      </c>
      <c r="H99" s="46" t="n">
        <v>371</v>
      </c>
      <c r="I99" s="46" t="n">
        <v>356</v>
      </c>
      <c r="J99" s="46" t="n">
        <v>316</v>
      </c>
      <c r="K99" s="46" t="n">
        <v>333</v>
      </c>
      <c r="L99" s="46" t="n">
        <v>269</v>
      </c>
      <c r="M99" s="46" t="n">
        <v>291</v>
      </c>
      <c r="N99" s="46" t="n">
        <v>351</v>
      </c>
      <c r="O99" s="46" t="n">
        <v>288</v>
      </c>
      <c r="P99" s="46" t="n">
        <v>355</v>
      </c>
      <c r="Q99" s="46" t="n">
        <v>294</v>
      </c>
      <c r="R99" s="46" t="n">
        <v>355</v>
      </c>
      <c r="S99" s="46" t="n">
        <v>334</v>
      </c>
      <c r="T99" s="46" t="n">
        <v>368</v>
      </c>
      <c r="U99" s="46" t="n">
        <v>359</v>
      </c>
      <c r="V99" s="46" t="n">
        <v>404</v>
      </c>
      <c r="W99" s="46" t="n">
        <v>398</v>
      </c>
      <c r="X99" s="46" t="n">
        <v>293</v>
      </c>
      <c r="Y99" s="46" t="n">
        <v>362</v>
      </c>
    </row>
    <row r="100">
      <c r="A100" s="43" t="inlineStr">
        <is>
          <t>CMD-0099</t>
        </is>
      </c>
      <c r="B100" s="46" t="n">
        <v>695</v>
      </c>
      <c r="C100" s="46" t="n">
        <v>765</v>
      </c>
      <c r="D100" s="46" t="n">
        <v>528</v>
      </c>
      <c r="E100" s="46" t="n">
        <v>480</v>
      </c>
      <c r="F100" s="46" t="n">
        <v>309</v>
      </c>
      <c r="G100" s="46" t="n">
        <v>736</v>
      </c>
      <c r="H100" s="46" t="n">
        <v>672</v>
      </c>
      <c r="I100" s="46" t="n">
        <v>679</v>
      </c>
      <c r="J100" s="46" t="n">
        <v>713</v>
      </c>
      <c r="K100" s="46" t="n">
        <v>653</v>
      </c>
      <c r="L100" s="46" t="n">
        <v>466</v>
      </c>
      <c r="M100" s="46" t="n">
        <v>733</v>
      </c>
      <c r="N100" s="46" t="n">
        <v>477</v>
      </c>
      <c r="O100" s="46" t="n">
        <v>473</v>
      </c>
      <c r="P100" s="46" t="n">
        <v>453</v>
      </c>
      <c r="Q100" s="46" t="n">
        <v>547</v>
      </c>
      <c r="R100" s="46" t="n">
        <v>816</v>
      </c>
      <c r="S100" s="46" t="n">
        <v>523</v>
      </c>
      <c r="T100" s="46" t="n">
        <v>761</v>
      </c>
      <c r="U100" s="46" t="n">
        <v>934</v>
      </c>
      <c r="V100" s="46" t="n">
        <v>1266</v>
      </c>
      <c r="W100" s="46" t="n">
        <v>926</v>
      </c>
      <c r="X100" s="46" t="n">
        <v>498</v>
      </c>
      <c r="Y100" s="46" t="n">
        <v>479</v>
      </c>
    </row>
    <row r="101">
      <c r="A101" s="43" t="inlineStr">
        <is>
          <t>CMD-0100</t>
        </is>
      </c>
      <c r="B101" s="46" t="n">
        <v>4014</v>
      </c>
      <c r="C101" s="46" t="n">
        <v>5461</v>
      </c>
      <c r="D101" s="46" t="n">
        <v>5346</v>
      </c>
      <c r="E101" s="46" t="n">
        <v>4454</v>
      </c>
      <c r="F101" s="46" t="n">
        <v>6654</v>
      </c>
      <c r="G101" s="46" t="n">
        <v>4325</v>
      </c>
      <c r="H101" s="46" t="n">
        <v>3680</v>
      </c>
      <c r="I101" s="46" t="n">
        <v>9226</v>
      </c>
      <c r="J101" s="46" t="n">
        <v>7735</v>
      </c>
      <c r="K101" s="46" t="n">
        <v>1309</v>
      </c>
      <c r="L101" s="46" t="n">
        <v>4122</v>
      </c>
      <c r="M101" s="46" t="n">
        <v>8886</v>
      </c>
      <c r="N101" s="46" t="n">
        <v>10572</v>
      </c>
      <c r="O101" s="46" t="n">
        <v>8007</v>
      </c>
      <c r="P101" s="46" t="n">
        <v>7174</v>
      </c>
      <c r="Q101" s="46" t="n">
        <v>8091</v>
      </c>
      <c r="R101" s="46" t="n">
        <v>10871</v>
      </c>
      <c r="S101" s="46" t="n">
        <v>12080</v>
      </c>
      <c r="T101" s="46" t="n">
        <v>4740</v>
      </c>
      <c r="U101" s="46" t="n">
        <v>7820</v>
      </c>
      <c r="V101" s="46" t="n">
        <v>4258</v>
      </c>
      <c r="W101" s="46" t="n">
        <v>13391</v>
      </c>
      <c r="X101" s="46" t="n">
        <v>5098</v>
      </c>
      <c r="Y101" s="46" t="n">
        <v>5797</v>
      </c>
    </row>
    <row r="102">
      <c r="A102" s="43" t="inlineStr">
        <is>
          <t>CMD-0101</t>
        </is>
      </c>
      <c r="B102" s="46" t="n">
        <v>3380</v>
      </c>
      <c r="C102" s="46" t="n">
        <v>763</v>
      </c>
      <c r="D102" s="46" t="n">
        <v>2028</v>
      </c>
      <c r="E102" s="46" t="n">
        <v>2639</v>
      </c>
      <c r="F102" s="46" t="n">
        <v>2455</v>
      </c>
      <c r="G102" s="46" t="n">
        <v>3812</v>
      </c>
      <c r="H102" s="46" t="n">
        <v>4177</v>
      </c>
      <c r="I102" s="46" t="n">
        <v>3488</v>
      </c>
      <c r="J102" s="46" t="n">
        <v>4370</v>
      </c>
      <c r="K102" s="46" t="n">
        <v>3826</v>
      </c>
      <c r="L102" s="46" t="n">
        <v>3354</v>
      </c>
      <c r="M102" s="46" t="n">
        <v>4672</v>
      </c>
      <c r="N102" s="46" t="n">
        <v>5303</v>
      </c>
      <c r="O102" s="46" t="n">
        <v>4471</v>
      </c>
      <c r="P102" s="46" t="n">
        <v>2445</v>
      </c>
      <c r="Q102" s="46" t="n">
        <v>3187</v>
      </c>
      <c r="R102" s="46" t="n">
        <v>5346</v>
      </c>
      <c r="S102" s="46" t="n">
        <v>4412</v>
      </c>
      <c r="T102" s="46" t="n">
        <v>795</v>
      </c>
      <c r="U102" s="46" t="n">
        <v>6713</v>
      </c>
      <c r="V102" s="46" t="n">
        <v>5566</v>
      </c>
      <c r="W102" s="46" t="n">
        <v>5291</v>
      </c>
      <c r="X102" s="46" t="n">
        <v>3780</v>
      </c>
      <c r="Y102" s="46" t="n">
        <v>3198</v>
      </c>
    </row>
    <row r="103">
      <c r="A103" s="43" t="inlineStr">
        <is>
          <t>CMD-0102</t>
        </is>
      </c>
      <c r="B103" s="46" t="n">
        <v>2048</v>
      </c>
      <c r="C103" s="46" t="n">
        <v>2201</v>
      </c>
      <c r="D103" s="46" t="n">
        <v>1971</v>
      </c>
      <c r="E103" s="46" t="n">
        <v>2364</v>
      </c>
      <c r="F103" s="46" t="n">
        <v>1968</v>
      </c>
      <c r="G103" s="46" t="n">
        <v>2427</v>
      </c>
      <c r="H103" s="46" t="n">
        <v>2432</v>
      </c>
      <c r="I103" s="46" t="n">
        <v>2462</v>
      </c>
      <c r="J103" s="46" t="n">
        <v>2459</v>
      </c>
      <c r="K103" s="46" t="n">
        <v>2433</v>
      </c>
      <c r="L103" s="46" t="n">
        <v>1940</v>
      </c>
      <c r="M103" s="46" t="n">
        <v>2153</v>
      </c>
      <c r="N103" s="46" t="n">
        <v>2462</v>
      </c>
      <c r="O103" s="46" t="n">
        <v>2226</v>
      </c>
      <c r="P103" s="46" t="n">
        <v>2530</v>
      </c>
      <c r="Q103" s="46" t="n">
        <v>2184</v>
      </c>
      <c r="R103" s="46" t="n">
        <v>2635</v>
      </c>
      <c r="S103" s="46" t="n">
        <v>2129</v>
      </c>
      <c r="T103" s="46" t="n">
        <v>2621</v>
      </c>
      <c r="U103" s="46" t="n">
        <v>2857</v>
      </c>
      <c r="V103" s="46" t="n">
        <v>2934</v>
      </c>
      <c r="W103" s="46" t="n">
        <v>2685</v>
      </c>
      <c r="X103" s="46" t="n">
        <v>1793</v>
      </c>
      <c r="Y103" s="46" t="n">
        <v>2967</v>
      </c>
    </row>
    <row r="104">
      <c r="A104" s="43" t="inlineStr">
        <is>
          <t>CMD-0103</t>
        </is>
      </c>
      <c r="B104" s="46" t="n">
        <v>969</v>
      </c>
      <c r="C104" s="46" t="n">
        <v>624</v>
      </c>
      <c r="D104" s="46" t="n">
        <v>729</v>
      </c>
      <c r="E104" s="46" t="n">
        <v>671</v>
      </c>
      <c r="F104" s="46" t="n">
        <v>857</v>
      </c>
      <c r="G104" s="46" t="n">
        <v>829</v>
      </c>
      <c r="H104" s="46" t="n">
        <v>1165</v>
      </c>
      <c r="I104" s="46" t="n">
        <v>1103</v>
      </c>
      <c r="J104" s="46" t="n">
        <v>1064</v>
      </c>
      <c r="K104" s="46" t="n">
        <v>965</v>
      </c>
      <c r="L104" s="46" t="n">
        <v>591</v>
      </c>
      <c r="M104" s="46" t="n">
        <v>687</v>
      </c>
      <c r="N104" s="46" t="n">
        <v>864</v>
      </c>
      <c r="O104" s="46" t="n">
        <v>1159</v>
      </c>
      <c r="P104" s="46" t="n">
        <v>956</v>
      </c>
      <c r="Q104" s="46" t="n">
        <v>744</v>
      </c>
      <c r="R104" s="46" t="n">
        <v>659</v>
      </c>
      <c r="S104" s="46" t="n">
        <v>987</v>
      </c>
      <c r="T104" s="46" t="n">
        <v>1237</v>
      </c>
      <c r="U104" s="46" t="n">
        <v>1469</v>
      </c>
      <c r="V104" s="46" t="n">
        <v>990</v>
      </c>
      <c r="W104" s="46" t="n">
        <v>892</v>
      </c>
      <c r="X104" s="46" t="n">
        <v>873</v>
      </c>
      <c r="Y104" s="46" t="n">
        <v>823</v>
      </c>
    </row>
    <row r="105">
      <c r="A105" s="43" t="inlineStr">
        <is>
          <t>CMD-0104</t>
        </is>
      </c>
      <c r="B105" s="46" t="n">
        <v>827</v>
      </c>
      <c r="C105" s="46" t="n">
        <v>822</v>
      </c>
      <c r="D105" s="46" t="n">
        <v>706</v>
      </c>
      <c r="E105" s="46" t="n">
        <v>817</v>
      </c>
      <c r="F105" s="46" t="n">
        <v>872</v>
      </c>
      <c r="G105" s="46" t="n">
        <v>921</v>
      </c>
      <c r="H105" s="46" t="n">
        <v>814</v>
      </c>
      <c r="I105" s="46" t="n">
        <v>957</v>
      </c>
      <c r="J105" s="46" t="n">
        <v>991</v>
      </c>
      <c r="K105" s="46" t="n">
        <v>1029</v>
      </c>
      <c r="L105" s="46" t="n">
        <v>751</v>
      </c>
      <c r="M105" s="46" t="n">
        <v>920</v>
      </c>
      <c r="N105" s="46" t="n">
        <v>854</v>
      </c>
      <c r="O105" s="46" t="n">
        <v>844</v>
      </c>
      <c r="P105" s="46" t="n">
        <v>805</v>
      </c>
      <c r="Q105" s="46" t="n">
        <v>935</v>
      </c>
      <c r="R105" s="46" t="n">
        <v>867</v>
      </c>
      <c r="S105" s="46" t="n">
        <v>1029</v>
      </c>
      <c r="T105" s="46" t="n">
        <v>877</v>
      </c>
      <c r="U105" s="46" t="n">
        <v>1085</v>
      </c>
      <c r="V105" s="46" t="n">
        <v>1133</v>
      </c>
      <c r="W105" s="46" t="n">
        <v>1120</v>
      </c>
      <c r="X105" s="46" t="n">
        <v>684</v>
      </c>
      <c r="Y105" s="46" t="n">
        <v>1131</v>
      </c>
    </row>
    <row r="106">
      <c r="A106" s="43" t="inlineStr">
        <is>
          <t>CMD-0105</t>
        </is>
      </c>
      <c r="B106" s="46" t="n">
        <v>469</v>
      </c>
      <c r="C106" s="46" t="n">
        <v>403</v>
      </c>
      <c r="D106" s="46" t="n">
        <v>178</v>
      </c>
      <c r="E106" s="46" t="n">
        <v>559</v>
      </c>
      <c r="F106" s="46" t="n">
        <v>814</v>
      </c>
      <c r="G106" s="46" t="n">
        <v>835</v>
      </c>
      <c r="H106" s="46" t="n">
        <v>412</v>
      </c>
      <c r="I106" s="46" t="n">
        <v>545</v>
      </c>
      <c r="J106" s="46" t="n">
        <v>667</v>
      </c>
      <c r="K106" s="46" t="n">
        <v>310</v>
      </c>
      <c r="L106" s="46" t="n">
        <v>311</v>
      </c>
      <c r="M106" s="46" t="n">
        <v>589</v>
      </c>
      <c r="N106" s="46" t="n">
        <v>506</v>
      </c>
      <c r="O106" s="46" t="n">
        <v>346</v>
      </c>
      <c r="P106" s="46" t="n">
        <v>403</v>
      </c>
      <c r="Q106" s="46" t="n">
        <v>271</v>
      </c>
      <c r="R106" s="46" t="n">
        <v>375</v>
      </c>
      <c r="S106" s="46" t="n">
        <v>751</v>
      </c>
      <c r="T106" s="46" t="n">
        <v>372</v>
      </c>
      <c r="U106" s="46" t="n">
        <v>426</v>
      </c>
      <c r="V106" s="46" t="n">
        <v>482</v>
      </c>
      <c r="W106" s="46" t="n">
        <v>328</v>
      </c>
      <c r="X106" s="46" t="n">
        <v>468</v>
      </c>
      <c r="Y106" s="46" t="n">
        <v>258</v>
      </c>
    </row>
    <row r="107">
      <c r="A107" s="43" t="inlineStr">
        <is>
          <t>CMD-0106</t>
        </is>
      </c>
      <c r="B107" s="46" t="n">
        <v>280</v>
      </c>
      <c r="C107" s="46" t="n">
        <v>325</v>
      </c>
      <c r="D107" s="46" t="n">
        <v>265</v>
      </c>
      <c r="E107" s="46" t="n">
        <v>361</v>
      </c>
      <c r="F107" s="46" t="n">
        <v>294</v>
      </c>
      <c r="G107" s="46" t="n">
        <v>331</v>
      </c>
      <c r="H107" s="46" t="n">
        <v>364</v>
      </c>
      <c r="I107" s="46" t="n">
        <v>360</v>
      </c>
      <c r="J107" s="46" t="n">
        <v>353</v>
      </c>
      <c r="K107" s="46" t="n">
        <v>350</v>
      </c>
      <c r="L107" s="46" t="n">
        <v>294</v>
      </c>
      <c r="M107" s="46" t="n">
        <v>316</v>
      </c>
      <c r="N107" s="46" t="n">
        <v>392</v>
      </c>
      <c r="O107" s="46" t="n">
        <v>341</v>
      </c>
      <c r="P107" s="46" t="n">
        <v>355</v>
      </c>
      <c r="Q107" s="46" t="n">
        <v>300</v>
      </c>
      <c r="R107" s="46" t="n">
        <v>364</v>
      </c>
      <c r="S107" s="46" t="n">
        <v>356</v>
      </c>
      <c r="T107" s="46" t="n">
        <v>358</v>
      </c>
      <c r="U107" s="46" t="n">
        <v>361</v>
      </c>
      <c r="V107" s="46" t="n">
        <v>498</v>
      </c>
      <c r="W107" s="46" t="n">
        <v>348</v>
      </c>
      <c r="X107" s="46" t="n">
        <v>297</v>
      </c>
      <c r="Y107" s="46" t="n">
        <v>359</v>
      </c>
    </row>
    <row r="108">
      <c r="A108" s="43" t="inlineStr">
        <is>
          <t>CMD-0107</t>
        </is>
      </c>
      <c r="B108" s="46" t="n">
        <v>831</v>
      </c>
      <c r="C108" s="46" t="n">
        <v>1533</v>
      </c>
      <c r="D108" s="46" t="n">
        <v>144</v>
      </c>
      <c r="E108" s="46" t="n">
        <v>759</v>
      </c>
      <c r="F108" s="46" t="n">
        <v>870</v>
      </c>
      <c r="G108" s="46" t="n">
        <v>451</v>
      </c>
      <c r="H108" s="46" t="n">
        <v>150</v>
      </c>
      <c r="I108" s="46" t="n">
        <v>1076</v>
      </c>
      <c r="J108" s="46" t="n">
        <v>2399</v>
      </c>
      <c r="K108" s="46" t="n">
        <v>449</v>
      </c>
      <c r="L108" s="46" t="n">
        <v>2203</v>
      </c>
      <c r="M108" s="46" t="n">
        <v>1994</v>
      </c>
      <c r="N108" s="46" t="n">
        <v>536</v>
      </c>
      <c r="O108" s="46" t="n">
        <v>834</v>
      </c>
      <c r="P108" s="46" t="n">
        <v>383</v>
      </c>
      <c r="Q108" s="46" t="n">
        <v>913</v>
      </c>
      <c r="R108" s="46" t="n">
        <v>2396</v>
      </c>
      <c r="S108" s="46" t="n">
        <v>518</v>
      </c>
      <c r="T108" s="46" t="n">
        <v>497</v>
      </c>
      <c r="U108" s="46" t="n">
        <v>2454</v>
      </c>
      <c r="V108" s="46" t="n">
        <v>224</v>
      </c>
      <c r="W108" s="46" t="n">
        <v>3432</v>
      </c>
      <c r="X108" s="46" t="n">
        <v>1824</v>
      </c>
      <c r="Y108" s="46" t="n">
        <v>1080</v>
      </c>
    </row>
    <row r="109">
      <c r="A109" s="43" t="inlineStr">
        <is>
          <t>CMD-0108</t>
        </is>
      </c>
      <c r="B109" s="46" t="n">
        <v>451</v>
      </c>
      <c r="C109" s="46" t="n">
        <v>362</v>
      </c>
      <c r="D109" s="46" t="n">
        <v>336</v>
      </c>
      <c r="E109" s="46" t="n">
        <v>424</v>
      </c>
      <c r="F109" s="46" t="n">
        <v>427</v>
      </c>
      <c r="G109" s="46" t="n">
        <v>433</v>
      </c>
      <c r="H109" s="46" t="n">
        <v>419</v>
      </c>
      <c r="I109" s="46" t="n">
        <v>489</v>
      </c>
      <c r="J109" s="46" t="n">
        <v>487</v>
      </c>
      <c r="K109" s="46" t="n">
        <v>473</v>
      </c>
      <c r="L109" s="46" t="n">
        <v>390</v>
      </c>
      <c r="M109" s="46" t="n">
        <v>468</v>
      </c>
      <c r="N109" s="46" t="n">
        <v>440</v>
      </c>
      <c r="O109" s="46" t="n">
        <v>373</v>
      </c>
      <c r="P109" s="46" t="n">
        <v>425</v>
      </c>
      <c r="Q109" s="46" t="n">
        <v>428</v>
      </c>
      <c r="R109" s="46" t="n">
        <v>441</v>
      </c>
      <c r="S109" s="46" t="n">
        <v>527</v>
      </c>
      <c r="T109" s="46" t="n">
        <v>474</v>
      </c>
      <c r="U109" s="46" t="n">
        <v>538</v>
      </c>
      <c r="V109" s="46" t="n">
        <v>566</v>
      </c>
      <c r="W109" s="46" t="n">
        <v>486</v>
      </c>
      <c r="X109" s="46" t="n">
        <v>363</v>
      </c>
      <c r="Y109" s="46" t="n">
        <v>545</v>
      </c>
    </row>
    <row r="110">
      <c r="A110" s="43" t="inlineStr">
        <is>
          <t>CMD-0109</t>
        </is>
      </c>
      <c r="B110" s="46" t="n">
        <v>3468</v>
      </c>
      <c r="C110" s="46" t="n">
        <v>4744</v>
      </c>
      <c r="D110" s="46" t="n">
        <v>6341</v>
      </c>
      <c r="E110" s="46" t="n">
        <v>6378</v>
      </c>
      <c r="F110" s="46" t="n">
        <v>7938</v>
      </c>
      <c r="G110" s="46" t="n">
        <v>5407</v>
      </c>
      <c r="H110" s="46" t="n">
        <v>6252</v>
      </c>
      <c r="I110" s="46" t="n">
        <v>8198</v>
      </c>
      <c r="J110" s="46" t="n">
        <v>11615</v>
      </c>
      <c r="K110" s="46" t="n">
        <v>4541</v>
      </c>
      <c r="L110" s="46" t="n">
        <v>4996</v>
      </c>
      <c r="M110" s="46" t="n">
        <v>4778</v>
      </c>
      <c r="N110" s="46" t="n">
        <v>7849</v>
      </c>
      <c r="O110" s="46" t="n">
        <v>2812</v>
      </c>
      <c r="P110" s="46" t="n">
        <v>3663</v>
      </c>
      <c r="Q110" s="46" t="n">
        <v>5933</v>
      </c>
      <c r="R110" s="46" t="n">
        <v>4734</v>
      </c>
      <c r="S110" s="46" t="n">
        <v>9476</v>
      </c>
      <c r="T110" s="46" t="n">
        <v>5701</v>
      </c>
      <c r="U110" s="46" t="n">
        <v>1573</v>
      </c>
      <c r="V110" s="46" t="n">
        <v>7129</v>
      </c>
      <c r="W110" s="46" t="n">
        <v>13394</v>
      </c>
      <c r="X110" s="46" t="n">
        <v>7773</v>
      </c>
      <c r="Y110" s="46" t="n">
        <v>11202</v>
      </c>
    </row>
    <row r="111">
      <c r="A111" s="43" t="inlineStr">
        <is>
          <t>CMD-0110</t>
        </is>
      </c>
      <c r="B111" s="46" t="n">
        <v>7273</v>
      </c>
      <c r="C111" s="46" t="n">
        <v>5638</v>
      </c>
      <c r="D111" s="46" t="n">
        <v>6121</v>
      </c>
      <c r="E111" s="46" t="n">
        <v>3342</v>
      </c>
      <c r="F111" s="46" t="n">
        <v>7470</v>
      </c>
      <c r="G111" s="46" t="n">
        <v>8354</v>
      </c>
      <c r="H111" s="46" t="n">
        <v>5782</v>
      </c>
      <c r="I111" s="46" t="n">
        <v>7937</v>
      </c>
      <c r="J111" s="46" t="n">
        <v>10477</v>
      </c>
      <c r="K111" s="46" t="n">
        <v>6652</v>
      </c>
      <c r="L111" s="46" t="n">
        <v>3753</v>
      </c>
      <c r="M111" s="46" t="n">
        <v>8737</v>
      </c>
      <c r="N111" s="46" t="n">
        <v>6500</v>
      </c>
      <c r="O111" s="46" t="n">
        <v>7142</v>
      </c>
      <c r="P111" s="46" t="n">
        <v>5966</v>
      </c>
      <c r="Q111" s="46" t="n">
        <v>3881</v>
      </c>
      <c r="R111" s="46" t="n">
        <v>7094</v>
      </c>
      <c r="S111" s="46" t="n">
        <v>9491</v>
      </c>
      <c r="T111" s="46" t="n">
        <v>6172</v>
      </c>
      <c r="U111" s="46" t="n">
        <v>11029</v>
      </c>
      <c r="V111" s="46" t="n">
        <v>5319</v>
      </c>
      <c r="W111" s="46" t="n">
        <v>7738</v>
      </c>
      <c r="X111" s="46" t="n">
        <v>7199</v>
      </c>
      <c r="Y111" s="46" t="n">
        <v>9699</v>
      </c>
    </row>
    <row r="112">
      <c r="A112" s="43" t="inlineStr">
        <is>
          <t>CMD-0111</t>
        </is>
      </c>
      <c r="B112" s="46" t="n">
        <v>869</v>
      </c>
      <c r="C112" s="46" t="n">
        <v>768</v>
      </c>
      <c r="D112" s="46" t="n">
        <v>785</v>
      </c>
      <c r="E112" s="46" t="n">
        <v>793</v>
      </c>
      <c r="F112" s="46" t="n">
        <v>897</v>
      </c>
      <c r="G112" s="46" t="n">
        <v>853</v>
      </c>
      <c r="H112" s="46" t="n">
        <v>849</v>
      </c>
      <c r="I112" s="46" t="n">
        <v>1016</v>
      </c>
      <c r="J112" s="46" t="n">
        <v>1027</v>
      </c>
      <c r="K112" s="46" t="n">
        <v>1001</v>
      </c>
      <c r="L112" s="46" t="n">
        <v>718</v>
      </c>
      <c r="M112" s="46" t="n">
        <v>924</v>
      </c>
      <c r="N112" s="46" t="n">
        <v>841</v>
      </c>
      <c r="O112" s="46" t="n">
        <v>820</v>
      </c>
      <c r="P112" s="46" t="n">
        <v>819</v>
      </c>
      <c r="Q112" s="46" t="n">
        <v>933</v>
      </c>
      <c r="R112" s="46" t="n">
        <v>835</v>
      </c>
      <c r="S112" s="46" t="n">
        <v>1008</v>
      </c>
      <c r="T112" s="46" t="n">
        <v>931</v>
      </c>
      <c r="U112" s="46" t="n">
        <v>1082</v>
      </c>
      <c r="V112" s="46" t="n">
        <v>1063</v>
      </c>
      <c r="W112" s="46" t="n">
        <v>1175</v>
      </c>
      <c r="X112" s="46" t="n">
        <v>745</v>
      </c>
      <c r="Y112" s="46" t="n">
        <v>1211</v>
      </c>
    </row>
    <row r="113">
      <c r="A113" s="43" t="inlineStr">
        <is>
          <t>CMD-0112</t>
        </is>
      </c>
      <c r="B113" s="46" t="n">
        <v>575</v>
      </c>
      <c r="C113" s="46" t="n">
        <v>608</v>
      </c>
      <c r="D113" s="46" t="n">
        <v>580</v>
      </c>
      <c r="E113" s="46" t="n">
        <v>645</v>
      </c>
      <c r="F113" s="46" t="n">
        <v>572</v>
      </c>
      <c r="G113" s="46" t="n">
        <v>643</v>
      </c>
      <c r="H113" s="46" t="n">
        <v>687</v>
      </c>
      <c r="I113" s="46" t="n">
        <v>737</v>
      </c>
      <c r="J113" s="46" t="n">
        <v>681</v>
      </c>
      <c r="K113" s="46" t="n">
        <v>668</v>
      </c>
      <c r="L113" s="46" t="n">
        <v>515</v>
      </c>
      <c r="M113" s="46" t="n">
        <v>651</v>
      </c>
      <c r="N113" s="46" t="n">
        <v>758</v>
      </c>
      <c r="O113" s="46" t="n">
        <v>639</v>
      </c>
      <c r="P113" s="46" t="n">
        <v>625</v>
      </c>
      <c r="Q113" s="46" t="n">
        <v>600</v>
      </c>
      <c r="R113" s="46" t="n">
        <v>772</v>
      </c>
      <c r="S113" s="46" t="n">
        <v>633</v>
      </c>
      <c r="T113" s="46" t="n">
        <v>789</v>
      </c>
      <c r="U113" s="46" t="n">
        <v>733</v>
      </c>
      <c r="V113" s="46" t="n">
        <v>886</v>
      </c>
      <c r="W113" s="46" t="n">
        <v>811</v>
      </c>
      <c r="X113" s="46" t="n">
        <v>573</v>
      </c>
      <c r="Y113" s="46" t="n">
        <v>725</v>
      </c>
    </row>
    <row r="114">
      <c r="A114" s="43" t="inlineStr">
        <is>
          <t>CMD-0113</t>
        </is>
      </c>
      <c r="B114" s="46" t="n">
        <v>318</v>
      </c>
      <c r="C114" s="46" t="n">
        <v>320</v>
      </c>
      <c r="D114" s="46" t="n">
        <v>296</v>
      </c>
      <c r="E114" s="46" t="n">
        <v>332</v>
      </c>
      <c r="F114" s="46" t="n">
        <v>265</v>
      </c>
      <c r="G114" s="46" t="n">
        <v>333</v>
      </c>
      <c r="H114" s="46" t="n">
        <v>365</v>
      </c>
      <c r="I114" s="46" t="n">
        <v>353</v>
      </c>
      <c r="J114" s="46" t="n">
        <v>363</v>
      </c>
      <c r="K114" s="46" t="n">
        <v>317</v>
      </c>
      <c r="L114" s="46" t="n">
        <v>268</v>
      </c>
      <c r="M114" s="46" t="n">
        <v>322</v>
      </c>
      <c r="N114" s="46" t="n">
        <v>360</v>
      </c>
      <c r="O114" s="46" t="n">
        <v>320</v>
      </c>
      <c r="P114" s="46" t="n">
        <v>297</v>
      </c>
      <c r="Q114" s="46" t="n">
        <v>296</v>
      </c>
      <c r="R114" s="46" t="n">
        <v>371</v>
      </c>
      <c r="S114" s="46" t="n">
        <v>330</v>
      </c>
      <c r="T114" s="46" t="n">
        <v>366</v>
      </c>
      <c r="U114" s="46" t="n">
        <v>408</v>
      </c>
      <c r="V114" s="46" t="n">
        <v>423</v>
      </c>
      <c r="W114" s="46" t="n">
        <v>394</v>
      </c>
      <c r="X114" s="46" t="n">
        <v>305</v>
      </c>
      <c r="Y114" s="46" t="n">
        <v>399</v>
      </c>
    </row>
    <row r="115">
      <c r="A115" s="43" t="inlineStr">
        <is>
          <t>CMD-0114</t>
        </is>
      </c>
      <c r="B115" s="46" t="n">
        <v>6822</v>
      </c>
      <c r="C115" s="46" t="n">
        <v>5831</v>
      </c>
      <c r="D115" s="46" t="n">
        <v>5885</v>
      </c>
      <c r="E115" s="46" t="n">
        <v>6383</v>
      </c>
      <c r="F115" s="46" t="n">
        <v>6754</v>
      </c>
      <c r="G115" s="46" t="n">
        <v>7369</v>
      </c>
      <c r="H115" s="46" t="n">
        <v>7186</v>
      </c>
      <c r="I115" s="46" t="n">
        <v>7925</v>
      </c>
      <c r="J115" s="46" t="n">
        <v>8931</v>
      </c>
      <c r="K115" s="46" t="n">
        <v>7454</v>
      </c>
      <c r="L115" s="46" t="n">
        <v>6163</v>
      </c>
      <c r="M115" s="46" t="n">
        <v>7849</v>
      </c>
      <c r="N115" s="46" t="n">
        <v>8294</v>
      </c>
      <c r="O115" s="46" t="n">
        <v>7119</v>
      </c>
      <c r="P115" s="46" t="n">
        <v>7285</v>
      </c>
      <c r="Q115" s="46" t="n">
        <v>7287</v>
      </c>
      <c r="R115" s="46" t="n">
        <v>9284</v>
      </c>
      <c r="S115" s="46" t="n">
        <v>9298</v>
      </c>
      <c r="T115" s="46" t="n">
        <v>8391</v>
      </c>
      <c r="U115" s="46" t="n">
        <v>9697</v>
      </c>
      <c r="V115" s="46" t="n">
        <v>11337</v>
      </c>
      <c r="W115" s="46" t="n">
        <v>10298</v>
      </c>
      <c r="X115" s="46" t="n">
        <v>8529</v>
      </c>
      <c r="Y115" s="46" t="n">
        <v>11213</v>
      </c>
    </row>
    <row r="116">
      <c r="A116" s="43" t="inlineStr">
        <is>
          <t>CMD-0115</t>
        </is>
      </c>
      <c r="B116" s="46" t="n">
        <v>660</v>
      </c>
      <c r="C116" s="46" t="n">
        <v>732</v>
      </c>
      <c r="D116" s="46" t="n">
        <v>123</v>
      </c>
      <c r="E116" s="46" t="n">
        <v>2396</v>
      </c>
      <c r="F116" s="46" t="n">
        <v>1696</v>
      </c>
      <c r="G116" s="46" t="n">
        <v>1842</v>
      </c>
      <c r="H116" s="46" t="n">
        <v>2098</v>
      </c>
      <c r="I116" s="46" t="n">
        <v>2559</v>
      </c>
      <c r="J116" s="46" t="n">
        <v>2429</v>
      </c>
      <c r="K116" s="46" t="n">
        <v>1743</v>
      </c>
      <c r="L116" s="46" t="n">
        <v>705</v>
      </c>
      <c r="M116" s="46" t="n">
        <v>394</v>
      </c>
      <c r="N116" s="46" t="n">
        <v>2392</v>
      </c>
      <c r="O116" s="46" t="n">
        <v>732</v>
      </c>
      <c r="P116" s="46" t="n">
        <v>142</v>
      </c>
      <c r="Q116" s="46" t="n">
        <v>1606</v>
      </c>
      <c r="R116" s="46" t="n">
        <v>802</v>
      </c>
      <c r="S116" s="46" t="n">
        <v>1858</v>
      </c>
      <c r="T116" s="46" t="n">
        <v>819</v>
      </c>
      <c r="U116" s="46" t="n">
        <v>186</v>
      </c>
      <c r="V116" s="46" t="n">
        <v>202</v>
      </c>
      <c r="W116" s="46" t="n">
        <v>2023</v>
      </c>
      <c r="X116" s="46" t="n">
        <v>129</v>
      </c>
      <c r="Y116" s="46" t="n">
        <v>2645</v>
      </c>
    </row>
    <row r="117">
      <c r="A117" s="43" t="inlineStr">
        <is>
          <t>CMD-0116</t>
        </is>
      </c>
      <c r="B117" s="46" t="n">
        <v>2452</v>
      </c>
      <c r="C117" s="46" t="n">
        <v>2451</v>
      </c>
      <c r="D117" s="46" t="n">
        <v>2401</v>
      </c>
      <c r="E117" s="46" t="n">
        <v>2717</v>
      </c>
      <c r="F117" s="46" t="n">
        <v>1988</v>
      </c>
      <c r="G117" s="46" t="n">
        <v>2680</v>
      </c>
      <c r="H117" s="46" t="n">
        <v>2557</v>
      </c>
      <c r="I117" s="46" t="n">
        <v>2839</v>
      </c>
      <c r="J117" s="46" t="n">
        <v>2538</v>
      </c>
      <c r="K117" s="46" t="n">
        <v>2712</v>
      </c>
      <c r="L117" s="46" t="n">
        <v>2362</v>
      </c>
      <c r="M117" s="46" t="n">
        <v>2412</v>
      </c>
      <c r="N117" s="46" t="n">
        <v>2672</v>
      </c>
      <c r="O117" s="46" t="n">
        <v>2377</v>
      </c>
      <c r="P117" s="46" t="n">
        <v>2488</v>
      </c>
      <c r="Q117" s="46" t="n">
        <v>2502</v>
      </c>
      <c r="R117" s="46" t="n">
        <v>2849</v>
      </c>
      <c r="S117" s="46" t="n">
        <v>2339</v>
      </c>
      <c r="T117" s="46" t="n">
        <v>2906</v>
      </c>
      <c r="U117" s="46" t="n">
        <v>2999</v>
      </c>
      <c r="V117" s="46" t="n">
        <v>3672</v>
      </c>
      <c r="W117" s="46" t="n">
        <v>3007</v>
      </c>
      <c r="X117" s="46" t="n">
        <v>2301</v>
      </c>
      <c r="Y117" s="46" t="n">
        <v>2942</v>
      </c>
    </row>
  </sheetData>
  <autoFilter ref="A1:Y117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3C2B7"/>
    <outlinePr summaryBelow="1" summaryRight="1"/>
    <pageSetUpPr/>
  </sheetPr>
  <dimension ref="A1:E1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6" customWidth="1" min="4" max="4"/>
    <col width="14" customWidth="1" min="5" max="5"/>
  </cols>
  <sheetData>
    <row r="1">
      <c r="A1" s="8" t="inlineStr">
        <is>
          <t>sku</t>
        </is>
      </c>
      <c r="B1" s="8" t="inlineStr">
        <is>
          <t>on_hand_qty</t>
        </is>
      </c>
      <c r="C1" s="8" t="inlineStr">
        <is>
          <t>on_order_qty</t>
        </is>
      </c>
      <c r="D1" s="8" t="inlineStr">
        <is>
          <t>oldest_lot_expiry</t>
        </is>
      </c>
      <c r="E1" s="8" t="inlineStr">
        <is>
          <t>snapshot_date</t>
        </is>
      </c>
    </row>
    <row r="2">
      <c r="A2" s="43" t="inlineStr">
        <is>
          <t>CMD-0001</t>
        </is>
      </c>
      <c r="B2" s="46" t="n">
        <v>1932</v>
      </c>
      <c r="C2" s="46" t="n">
        <v>24121</v>
      </c>
      <c r="D2" s="47" t="n"/>
      <c r="E2" s="47" t="n">
        <v>46295</v>
      </c>
    </row>
    <row r="3">
      <c r="A3" s="43" t="inlineStr">
        <is>
          <t>CMD-0002</t>
        </is>
      </c>
      <c r="B3" s="46" t="n">
        <v>13678</v>
      </c>
      <c r="C3" s="46" t="n">
        <v>30024</v>
      </c>
      <c r="D3" s="47" t="n"/>
      <c r="E3" s="47" t="n">
        <v>46295</v>
      </c>
    </row>
    <row r="4">
      <c r="A4" s="43" t="inlineStr">
        <is>
          <t>CMD-0003</t>
        </is>
      </c>
      <c r="B4" s="46" t="n">
        <v>4175</v>
      </c>
      <c r="C4" s="46" t="n">
        <v>29319</v>
      </c>
      <c r="D4" s="47" t="n"/>
      <c r="E4" s="47" t="n">
        <v>46295</v>
      </c>
    </row>
    <row r="5">
      <c r="A5" s="43" t="inlineStr">
        <is>
          <t>CMD-0004</t>
        </is>
      </c>
      <c r="B5" s="46" t="n">
        <v>6222</v>
      </c>
      <c r="C5" s="46" t="n">
        <v>9711</v>
      </c>
      <c r="D5" s="47" t="n"/>
      <c r="E5" s="47" t="n">
        <v>46295</v>
      </c>
    </row>
    <row r="6">
      <c r="A6" s="43" t="inlineStr">
        <is>
          <t>CMD-0005</t>
        </is>
      </c>
      <c r="B6" s="46" t="n">
        <v>1198</v>
      </c>
      <c r="C6" s="46" t="n">
        <v>13897</v>
      </c>
      <c r="D6" s="47" t="n"/>
      <c r="E6" s="47" t="n">
        <v>46295</v>
      </c>
    </row>
    <row r="7">
      <c r="A7" s="43" t="inlineStr">
        <is>
          <t>CMD-0006</t>
        </is>
      </c>
      <c r="B7" s="46" t="n">
        <v>831</v>
      </c>
      <c r="C7" s="46" t="n">
        <v>3636</v>
      </c>
      <c r="D7" s="47" t="n"/>
      <c r="E7" s="47" t="n">
        <v>46295</v>
      </c>
    </row>
    <row r="8">
      <c r="A8" s="43" t="inlineStr">
        <is>
          <t>CMD-0007</t>
        </is>
      </c>
      <c r="B8" s="46" t="n">
        <v>4152</v>
      </c>
      <c r="C8" s="46" t="n">
        <v>17287</v>
      </c>
      <c r="D8" s="47" t="n"/>
      <c r="E8" s="47" t="n">
        <v>46295</v>
      </c>
    </row>
    <row r="9">
      <c r="A9" s="43" t="inlineStr">
        <is>
          <t>CMD-0008</t>
        </is>
      </c>
      <c r="B9" s="46" t="n">
        <v>2463</v>
      </c>
      <c r="C9" s="46" t="n">
        <v>5541</v>
      </c>
      <c r="D9" s="47" t="n"/>
      <c r="E9" s="47" t="n">
        <v>46295</v>
      </c>
    </row>
    <row r="10">
      <c r="A10" s="43" t="inlineStr">
        <is>
          <t>CMD-0009</t>
        </is>
      </c>
      <c r="B10" s="46" t="n">
        <v>11572</v>
      </c>
      <c r="C10" s="46" t="n">
        <v>29605</v>
      </c>
      <c r="D10" s="47" t="n"/>
      <c r="E10" s="47" t="n">
        <v>46295</v>
      </c>
    </row>
    <row r="11">
      <c r="A11" s="43" t="inlineStr">
        <is>
          <t>CMD-0010</t>
        </is>
      </c>
      <c r="B11" s="46" t="n">
        <v>6085</v>
      </c>
      <c r="C11" s="46" t="n">
        <v>17552</v>
      </c>
      <c r="D11" s="47" t="n"/>
      <c r="E11" s="47" t="n">
        <v>46295</v>
      </c>
    </row>
    <row r="12">
      <c r="A12" s="43" t="inlineStr">
        <is>
          <t>CMD-0011</t>
        </is>
      </c>
      <c r="B12" s="46" t="n">
        <v>3477</v>
      </c>
      <c r="C12" s="46" t="n">
        <v>9576</v>
      </c>
      <c r="D12" s="47" t="n"/>
      <c r="E12" s="47" t="n">
        <v>46295</v>
      </c>
    </row>
    <row r="13">
      <c r="A13" s="43" t="inlineStr">
        <is>
          <t>CMD-0012</t>
        </is>
      </c>
      <c r="B13" s="46" t="n">
        <v>281</v>
      </c>
      <c r="C13" s="46" t="n">
        <v>2458</v>
      </c>
      <c r="D13" s="47" t="n"/>
      <c r="E13" s="47" t="n">
        <v>46295</v>
      </c>
    </row>
    <row r="14">
      <c r="A14" s="43" t="inlineStr">
        <is>
          <t>CMD-0013</t>
        </is>
      </c>
      <c r="B14" s="46" t="n">
        <v>1266</v>
      </c>
      <c r="C14" s="46" t="n">
        <v>3608</v>
      </c>
      <c r="D14" s="47" t="n"/>
      <c r="E14" s="47" t="n">
        <v>46295</v>
      </c>
    </row>
    <row r="15">
      <c r="A15" s="43" t="inlineStr">
        <is>
          <t>CMD-0014</t>
        </is>
      </c>
      <c r="B15" s="46" t="n">
        <v>7977</v>
      </c>
      <c r="C15" s="46" t="n">
        <v>18896</v>
      </c>
      <c r="D15" s="47" t="n"/>
      <c r="E15" s="47" t="n">
        <v>46295</v>
      </c>
    </row>
    <row r="16">
      <c r="A16" s="43" t="inlineStr">
        <is>
          <t>CMD-0015</t>
        </is>
      </c>
      <c r="B16" s="46" t="n">
        <v>3291</v>
      </c>
      <c r="C16" s="46" t="n">
        <v>15730</v>
      </c>
      <c r="D16" s="47" t="n"/>
      <c r="E16" s="47" t="n">
        <v>46295</v>
      </c>
    </row>
    <row r="17">
      <c r="A17" s="43" t="inlineStr">
        <is>
          <t>CMD-0016</t>
        </is>
      </c>
      <c r="B17" s="46" t="n">
        <v>9871</v>
      </c>
      <c r="C17" s="46" t="n">
        <v>22158</v>
      </c>
      <c r="D17" s="47" t="n"/>
      <c r="E17" s="47" t="n">
        <v>46295</v>
      </c>
    </row>
    <row r="18">
      <c r="A18" s="43" t="inlineStr">
        <is>
          <t>CMD-0017</t>
        </is>
      </c>
      <c r="B18" s="46" t="n">
        <v>6211</v>
      </c>
      <c r="C18" s="46" t="n">
        <v>21234</v>
      </c>
      <c r="D18" s="47" t="n"/>
      <c r="E18" s="47" t="n">
        <v>46295</v>
      </c>
    </row>
    <row r="19">
      <c r="A19" s="43" t="inlineStr">
        <is>
          <t>CMD-0018</t>
        </is>
      </c>
      <c r="B19" s="46" t="n">
        <v>8143</v>
      </c>
      <c r="C19" s="46" t="n">
        <v>14484</v>
      </c>
      <c r="D19" s="47" t="n"/>
      <c r="E19" s="47" t="n">
        <v>46295</v>
      </c>
    </row>
    <row r="20">
      <c r="A20" s="43" t="inlineStr">
        <is>
          <t>CMD-0019</t>
        </is>
      </c>
      <c r="B20" s="46" t="n">
        <v>687</v>
      </c>
      <c r="C20" s="46" t="n">
        <v>1667</v>
      </c>
      <c r="D20" s="47" t="n"/>
      <c r="E20" s="47" t="n">
        <v>46295</v>
      </c>
    </row>
    <row r="21">
      <c r="A21" s="43" t="inlineStr">
        <is>
          <t>CMD-0020</t>
        </is>
      </c>
      <c r="B21" s="46" t="n">
        <v>5790</v>
      </c>
      <c r="C21" s="46" t="n">
        <v>7934</v>
      </c>
      <c r="D21" s="47" t="n"/>
      <c r="E21" s="47" t="n">
        <v>46295</v>
      </c>
    </row>
    <row r="22">
      <c r="A22" s="43" t="inlineStr">
        <is>
          <t>CMD-0021</t>
        </is>
      </c>
      <c r="B22" s="46" t="n">
        <v>943</v>
      </c>
      <c r="C22" s="46" t="n">
        <v>2748</v>
      </c>
      <c r="D22" s="47" t="n"/>
      <c r="E22" s="47" t="n">
        <v>46295</v>
      </c>
    </row>
    <row r="23">
      <c r="A23" s="43" t="inlineStr">
        <is>
          <t>CMD-0022</t>
        </is>
      </c>
      <c r="B23" s="46" t="n">
        <v>6406</v>
      </c>
      <c r="C23" s="46" t="n">
        <v>6715</v>
      </c>
      <c r="D23" s="47" t="n"/>
      <c r="E23" s="47" t="n">
        <v>46295</v>
      </c>
    </row>
    <row r="24">
      <c r="A24" s="43" t="inlineStr">
        <is>
          <t>CMD-0023</t>
        </is>
      </c>
      <c r="B24" s="46" t="n">
        <v>25520</v>
      </c>
      <c r="C24" s="46" t="n">
        <v>9186</v>
      </c>
      <c r="D24" s="47" t="n"/>
      <c r="E24" s="47" t="n">
        <v>46295</v>
      </c>
    </row>
    <row r="25">
      <c r="A25" s="43" t="inlineStr">
        <is>
          <t>CMD-0024</t>
        </is>
      </c>
      <c r="B25" s="46" t="n">
        <v>9800</v>
      </c>
      <c r="C25" s="46" t="n">
        <v>9633</v>
      </c>
      <c r="D25" s="47" t="n"/>
      <c r="E25" s="47" t="n">
        <v>46295</v>
      </c>
    </row>
    <row r="26">
      <c r="A26" s="43" t="inlineStr">
        <is>
          <t>CMD-0025</t>
        </is>
      </c>
      <c r="B26" s="46" t="n">
        <v>6297</v>
      </c>
      <c r="C26" s="46" t="n">
        <v>2166</v>
      </c>
      <c r="D26" s="47" t="n"/>
      <c r="E26" s="47" t="n">
        <v>46295</v>
      </c>
    </row>
    <row r="27">
      <c r="A27" s="43" t="inlineStr">
        <is>
          <t>CMD-0026</t>
        </is>
      </c>
      <c r="B27" s="46" t="n">
        <v>14917</v>
      </c>
      <c r="C27" s="46" t="n">
        <v>16065</v>
      </c>
      <c r="D27" s="47" t="n"/>
      <c r="E27" s="47" t="n">
        <v>46295</v>
      </c>
    </row>
    <row r="28">
      <c r="A28" s="43" t="inlineStr">
        <is>
          <t>CMD-0027</t>
        </is>
      </c>
      <c r="B28" s="46" t="n">
        <v>31204</v>
      </c>
      <c r="C28" s="46" t="n">
        <v>14290</v>
      </c>
      <c r="D28" s="47" t="n"/>
      <c r="E28" s="47" t="n">
        <v>46295</v>
      </c>
    </row>
    <row r="29">
      <c r="A29" s="43" t="inlineStr">
        <is>
          <t>CMD-0028</t>
        </is>
      </c>
      <c r="B29" s="46" t="n">
        <v>2933</v>
      </c>
      <c r="C29" s="46" t="n">
        <v>10011</v>
      </c>
      <c r="D29" s="47" t="n"/>
      <c r="E29" s="47" t="n">
        <v>46295</v>
      </c>
    </row>
    <row r="30">
      <c r="A30" s="43" t="inlineStr">
        <is>
          <t>CMD-0029</t>
        </is>
      </c>
      <c r="B30" s="46" t="n">
        <v>4610</v>
      </c>
      <c r="C30" s="46" t="n">
        <v>13060</v>
      </c>
      <c r="D30" s="47" t="n"/>
      <c r="E30" s="47" t="n">
        <v>46295</v>
      </c>
    </row>
    <row r="31">
      <c r="A31" s="43" t="inlineStr">
        <is>
          <t>CMD-0030</t>
        </is>
      </c>
      <c r="B31" s="46" t="n">
        <v>12782</v>
      </c>
      <c r="C31" s="46" t="n">
        <v>21504</v>
      </c>
      <c r="D31" s="47" t="n"/>
      <c r="E31" s="47" t="n">
        <v>46295</v>
      </c>
    </row>
    <row r="32">
      <c r="A32" s="43" t="inlineStr">
        <is>
          <t>CMD-0031</t>
        </is>
      </c>
      <c r="B32" s="46" t="n">
        <v>414</v>
      </c>
      <c r="C32" s="46" t="n">
        <v>596</v>
      </c>
      <c r="D32" s="47" t="n"/>
      <c r="E32" s="47" t="n">
        <v>46295</v>
      </c>
    </row>
    <row r="33">
      <c r="A33" s="43" t="inlineStr">
        <is>
          <t>CMD-0032</t>
        </is>
      </c>
      <c r="B33" s="46" t="n">
        <v>2896</v>
      </c>
      <c r="C33" s="46" t="n">
        <v>1005</v>
      </c>
      <c r="D33" s="47" t="n"/>
      <c r="E33" s="47" t="n">
        <v>46295</v>
      </c>
    </row>
    <row r="34">
      <c r="A34" s="43" t="inlineStr">
        <is>
          <t>CMD-0033</t>
        </is>
      </c>
      <c r="B34" s="46" t="n">
        <v>6049</v>
      </c>
      <c r="C34" s="46" t="n">
        <v>6939</v>
      </c>
      <c r="D34" s="47" t="n"/>
      <c r="E34" s="47" t="n">
        <v>46295</v>
      </c>
    </row>
    <row r="35">
      <c r="A35" s="43" t="inlineStr">
        <is>
          <t>CMD-0034</t>
        </is>
      </c>
      <c r="B35" s="46" t="n">
        <v>796</v>
      </c>
      <c r="C35" s="46" t="n">
        <v>601</v>
      </c>
      <c r="D35" s="47" t="n"/>
      <c r="E35" s="47" t="n">
        <v>46295</v>
      </c>
    </row>
    <row r="36">
      <c r="A36" s="43" t="inlineStr">
        <is>
          <t>CMD-0035</t>
        </is>
      </c>
      <c r="B36" s="46" t="n">
        <v>898</v>
      </c>
      <c r="C36" s="46" t="n">
        <v>699</v>
      </c>
      <c r="D36" s="47" t="n"/>
      <c r="E36" s="47" t="n">
        <v>46295</v>
      </c>
    </row>
    <row r="37">
      <c r="A37" s="43" t="inlineStr">
        <is>
          <t>CMD-0036</t>
        </is>
      </c>
      <c r="B37" s="46" t="n">
        <v>2876</v>
      </c>
      <c r="C37" s="46" t="n">
        <v>1053</v>
      </c>
      <c r="D37" s="47" t="n"/>
      <c r="E37" s="47" t="n">
        <v>46295</v>
      </c>
    </row>
    <row r="38">
      <c r="A38" s="43" t="inlineStr">
        <is>
          <t>CMD-0037</t>
        </is>
      </c>
      <c r="B38" s="46" t="n">
        <v>486</v>
      </c>
      <c r="C38" s="46" t="n">
        <v>982</v>
      </c>
      <c r="D38" s="47" t="n"/>
      <c r="E38" s="47" t="n">
        <v>46295</v>
      </c>
    </row>
    <row r="39">
      <c r="A39" s="43" t="inlineStr">
        <is>
          <t>CMD-0038</t>
        </is>
      </c>
      <c r="B39" s="46" t="n">
        <v>860</v>
      </c>
      <c r="C39" s="46" t="n">
        <v>957</v>
      </c>
      <c r="D39" s="47" t="n"/>
      <c r="E39" s="47" t="n">
        <v>46295</v>
      </c>
    </row>
    <row r="40">
      <c r="A40" s="43" t="inlineStr">
        <is>
          <t>CMD-0039</t>
        </is>
      </c>
      <c r="B40" s="46" t="n">
        <v>494</v>
      </c>
      <c r="C40" s="46" t="n">
        <v>623</v>
      </c>
      <c r="D40" s="47" t="n"/>
      <c r="E40" s="47" t="n">
        <v>46295</v>
      </c>
    </row>
    <row r="41">
      <c r="A41" s="43" t="inlineStr">
        <is>
          <t>CMD-0040</t>
        </is>
      </c>
      <c r="B41" s="46" t="n">
        <v>348</v>
      </c>
      <c r="C41" s="46" t="n">
        <v>615</v>
      </c>
      <c r="D41" s="47" t="n"/>
      <c r="E41" s="47" t="n">
        <v>46295</v>
      </c>
    </row>
    <row r="42">
      <c r="A42" s="43" t="inlineStr">
        <is>
          <t>CMD-0041</t>
        </is>
      </c>
      <c r="B42" s="46" t="n">
        <v>318</v>
      </c>
      <c r="C42" s="46" t="n">
        <v>2247</v>
      </c>
      <c r="D42" s="47" t="n">
        <v>46356</v>
      </c>
      <c r="E42" s="47" t="n">
        <v>46295</v>
      </c>
    </row>
    <row r="43">
      <c r="A43" s="43" t="inlineStr">
        <is>
          <t>CMD-0042</t>
        </is>
      </c>
      <c r="B43" s="46" t="n">
        <v>1227</v>
      </c>
      <c r="C43" s="46" t="n">
        <v>2135</v>
      </c>
      <c r="D43" s="47" t="n">
        <v>46356</v>
      </c>
      <c r="E43" s="47" t="n">
        <v>46295</v>
      </c>
    </row>
    <row r="44">
      <c r="A44" s="43" t="inlineStr">
        <is>
          <t>CMD-0043</t>
        </is>
      </c>
      <c r="B44" s="46" t="n">
        <v>26788</v>
      </c>
      <c r="C44" s="46" t="n">
        <v>23892</v>
      </c>
      <c r="D44" s="47" t="n">
        <v>46537</v>
      </c>
      <c r="E44" s="47" t="n">
        <v>46295</v>
      </c>
    </row>
    <row r="45">
      <c r="A45" s="43" t="inlineStr">
        <is>
          <t>CMD-0044</t>
        </is>
      </c>
      <c r="B45" s="46" t="n">
        <v>13454</v>
      </c>
      <c r="C45" s="46" t="n">
        <v>30220</v>
      </c>
      <c r="D45" s="47" t="n">
        <v>46386</v>
      </c>
      <c r="E45" s="47" t="n">
        <v>46295</v>
      </c>
    </row>
    <row r="46">
      <c r="A46" s="43" t="inlineStr">
        <is>
          <t>CMD-0045</t>
        </is>
      </c>
      <c r="B46" s="46" t="n">
        <v>2428</v>
      </c>
      <c r="C46" s="46" t="n">
        <v>14859</v>
      </c>
      <c r="D46" s="47" t="n">
        <v>46660</v>
      </c>
      <c r="E46" s="47" t="n">
        <v>46295</v>
      </c>
    </row>
    <row r="47">
      <c r="A47" s="43" t="inlineStr">
        <is>
          <t>CMD-0046</t>
        </is>
      </c>
      <c r="B47" s="46" t="n">
        <v>23409</v>
      </c>
      <c r="C47" s="46" t="n">
        <v>36774</v>
      </c>
      <c r="D47" s="47" t="n">
        <v>46629</v>
      </c>
      <c r="E47" s="47" t="n">
        <v>46295</v>
      </c>
    </row>
    <row r="48">
      <c r="A48" s="43" t="inlineStr">
        <is>
          <t>CMD-0047</t>
        </is>
      </c>
      <c r="B48" s="46" t="n">
        <v>133127</v>
      </c>
      <c r="C48" s="46" t="n">
        <v>22682</v>
      </c>
      <c r="D48" s="47" t="n"/>
      <c r="E48" s="47" t="n">
        <v>46295</v>
      </c>
    </row>
    <row r="49">
      <c r="A49" s="43" t="inlineStr">
        <is>
          <t>CMD-0048</t>
        </is>
      </c>
      <c r="B49" s="46" t="n">
        <v>166418</v>
      </c>
      <c r="C49" s="46" t="n">
        <v>22533</v>
      </c>
      <c r="D49" s="47" t="n"/>
      <c r="E49" s="47" t="n">
        <v>46295</v>
      </c>
    </row>
    <row r="50">
      <c r="A50" s="43" t="inlineStr">
        <is>
          <t>CMD-0049</t>
        </is>
      </c>
      <c r="B50" s="46" t="n">
        <v>46663</v>
      </c>
      <c r="C50" s="46" t="n">
        <v>45034</v>
      </c>
      <c r="D50" s="47" t="n"/>
      <c r="E50" s="47" t="n">
        <v>46295</v>
      </c>
    </row>
    <row r="51">
      <c r="A51" s="43" t="inlineStr">
        <is>
          <t>CMD-0050</t>
        </is>
      </c>
      <c r="B51" s="46" t="n">
        <v>69862</v>
      </c>
      <c r="C51" s="46" t="n">
        <v>79109</v>
      </c>
      <c r="D51" s="47" t="n"/>
      <c r="E51" s="47" t="n">
        <v>46295</v>
      </c>
    </row>
    <row r="52">
      <c r="A52" s="43" t="inlineStr">
        <is>
          <t>CMD-0051</t>
        </is>
      </c>
      <c r="B52" s="46" t="n">
        <v>808736</v>
      </c>
      <c r="C52" s="46" t="n">
        <v>257065</v>
      </c>
      <c r="D52" s="47" t="n"/>
      <c r="E52" s="47" t="n">
        <v>46295</v>
      </c>
    </row>
    <row r="53">
      <c r="A53" s="43" t="inlineStr">
        <is>
          <t>CMD-0052</t>
        </is>
      </c>
      <c r="B53" s="46" t="n">
        <v>450917</v>
      </c>
      <c r="C53" s="46" t="n">
        <v>140136</v>
      </c>
      <c r="D53" s="47" t="n"/>
      <c r="E53" s="47" t="n">
        <v>46295</v>
      </c>
    </row>
    <row r="54">
      <c r="A54" s="43" t="inlineStr">
        <is>
          <t>CMD-0053</t>
        </is>
      </c>
      <c r="B54" s="46" t="n">
        <v>227999</v>
      </c>
      <c r="C54" s="46" t="n">
        <v>41967</v>
      </c>
      <c r="D54" s="47" t="n"/>
      <c r="E54" s="47" t="n">
        <v>46295</v>
      </c>
    </row>
    <row r="55">
      <c r="A55" s="43" t="inlineStr">
        <is>
          <t>CMD-0054</t>
        </is>
      </c>
      <c r="B55" s="46" t="n">
        <v>48656</v>
      </c>
      <c r="C55" s="46" t="n">
        <v>55485</v>
      </c>
      <c r="D55" s="47" t="n"/>
      <c r="E55" s="47" t="n">
        <v>46295</v>
      </c>
    </row>
    <row r="56">
      <c r="A56" s="43" t="inlineStr">
        <is>
          <t>CMD-0055</t>
        </is>
      </c>
      <c r="B56" s="46" t="n">
        <v>877262</v>
      </c>
      <c r="C56" s="46" t="n">
        <v>107993</v>
      </c>
      <c r="D56" s="47" t="n"/>
      <c r="E56" s="47" t="n">
        <v>46295</v>
      </c>
    </row>
    <row r="57">
      <c r="A57" s="43" t="inlineStr">
        <is>
          <t>CMD-0056</t>
        </is>
      </c>
      <c r="B57" s="46" t="n">
        <v>44286</v>
      </c>
      <c r="C57" s="46" t="n">
        <v>53006</v>
      </c>
      <c r="D57" s="47" t="n"/>
      <c r="E57" s="47" t="n">
        <v>46295</v>
      </c>
    </row>
    <row r="58">
      <c r="A58" s="43" t="inlineStr">
        <is>
          <t>CMD-0057</t>
        </is>
      </c>
      <c r="B58" s="46" t="n">
        <v>49650</v>
      </c>
      <c r="C58" s="46" t="n">
        <v>43844</v>
      </c>
      <c r="D58" s="47" t="n"/>
      <c r="E58" s="47" t="n">
        <v>46295</v>
      </c>
    </row>
    <row r="59">
      <c r="A59" s="43" t="inlineStr">
        <is>
          <t>CMD-0058</t>
        </is>
      </c>
      <c r="B59" s="46" t="n">
        <v>665799</v>
      </c>
      <c r="C59" s="46" t="n">
        <v>69455</v>
      </c>
      <c r="D59" s="47" t="n"/>
      <c r="E59" s="47" t="n">
        <v>46295</v>
      </c>
    </row>
    <row r="60">
      <c r="A60" s="43" t="inlineStr">
        <is>
          <t>CMD-0059</t>
        </is>
      </c>
      <c r="B60" s="46" t="n">
        <v>430655</v>
      </c>
      <c r="C60" s="46" t="n">
        <v>223305</v>
      </c>
      <c r="D60" s="47" t="n"/>
      <c r="E60" s="47" t="n">
        <v>46295</v>
      </c>
    </row>
    <row r="61">
      <c r="A61" s="43" t="inlineStr">
        <is>
          <t>CMD-0060</t>
        </is>
      </c>
      <c r="B61" s="46" t="n">
        <v>498985</v>
      </c>
      <c r="C61" s="46" t="n">
        <v>431685</v>
      </c>
      <c r="D61" s="47" t="n"/>
      <c r="E61" s="47" t="n">
        <v>46295</v>
      </c>
    </row>
    <row r="62">
      <c r="A62" s="43" t="inlineStr">
        <is>
          <t>CMD-0061</t>
        </is>
      </c>
      <c r="B62" s="46" t="n">
        <v>80285</v>
      </c>
      <c r="C62" s="46" t="n">
        <v>68876</v>
      </c>
      <c r="D62" s="47" t="n"/>
      <c r="E62" s="47" t="n">
        <v>46295</v>
      </c>
    </row>
    <row r="63">
      <c r="A63" s="43" t="inlineStr">
        <is>
          <t>CMD-0062</t>
        </is>
      </c>
      <c r="B63" s="46" t="n">
        <v>597039</v>
      </c>
      <c r="C63" s="46" t="n">
        <v>80654</v>
      </c>
      <c r="D63" s="47" t="n"/>
      <c r="E63" s="47" t="n">
        <v>46295</v>
      </c>
    </row>
    <row r="64">
      <c r="A64" s="43" t="inlineStr">
        <is>
          <t>CMD-0063</t>
        </is>
      </c>
      <c r="B64" s="46" t="n">
        <v>90963</v>
      </c>
      <c r="C64" s="46" t="n">
        <v>82146</v>
      </c>
      <c r="D64" s="47" t="n"/>
      <c r="E64" s="47" t="n">
        <v>46295</v>
      </c>
    </row>
    <row r="65">
      <c r="A65" s="43" t="inlineStr">
        <is>
          <t>CMD-0064</t>
        </is>
      </c>
      <c r="B65" s="46" t="n">
        <v>114529</v>
      </c>
      <c r="C65" s="46" t="n">
        <v>88408</v>
      </c>
      <c r="D65" s="47" t="n"/>
      <c r="E65" s="47" t="n">
        <v>46295</v>
      </c>
    </row>
    <row r="66">
      <c r="A66" s="43" t="inlineStr">
        <is>
          <t>CMD-0065</t>
        </is>
      </c>
      <c r="B66" s="46" t="n">
        <v>553417</v>
      </c>
      <c r="C66" s="46" t="n">
        <v>127389</v>
      </c>
      <c r="D66" s="47" t="n"/>
      <c r="E66" s="47" t="n">
        <v>46295</v>
      </c>
    </row>
    <row r="67">
      <c r="A67" s="43" t="inlineStr">
        <is>
          <t>CMD-0066</t>
        </is>
      </c>
      <c r="B67" s="46" t="n">
        <v>8385</v>
      </c>
      <c r="C67" s="46" t="n">
        <v>54321</v>
      </c>
      <c r="D67" s="47" t="n"/>
      <c r="E67" s="47" t="n">
        <v>46295</v>
      </c>
    </row>
    <row r="68">
      <c r="A68" s="43" t="inlineStr">
        <is>
          <t>CMD-0067</t>
        </is>
      </c>
      <c r="B68" s="46" t="n">
        <v>4232</v>
      </c>
      <c r="C68" s="46" t="n">
        <v>15753</v>
      </c>
      <c r="D68" s="47" t="n"/>
      <c r="E68" s="47" t="n">
        <v>46295</v>
      </c>
    </row>
    <row r="69">
      <c r="A69" s="43" t="inlineStr">
        <is>
          <t>CMD-0068</t>
        </is>
      </c>
      <c r="B69" s="46" t="n">
        <v>125348</v>
      </c>
      <c r="C69" s="46" t="n">
        <v>45987</v>
      </c>
      <c r="D69" s="47" t="n"/>
      <c r="E69" s="47" t="n">
        <v>46295</v>
      </c>
    </row>
    <row r="70">
      <c r="A70" s="43" t="inlineStr">
        <is>
          <t>CMD-0069</t>
        </is>
      </c>
      <c r="B70" s="46" t="n">
        <v>36969</v>
      </c>
      <c r="C70" s="46" t="n">
        <v>52711</v>
      </c>
      <c r="D70" s="47" t="n"/>
      <c r="E70" s="47" t="n">
        <v>46295</v>
      </c>
    </row>
    <row r="71">
      <c r="A71" s="43" t="inlineStr">
        <is>
          <t>CMD-0070</t>
        </is>
      </c>
      <c r="B71" s="46" t="n">
        <v>137374</v>
      </c>
      <c r="C71" s="46" t="n">
        <v>43976</v>
      </c>
      <c r="D71" s="47" t="n"/>
      <c r="E71" s="47" t="n">
        <v>46295</v>
      </c>
    </row>
    <row r="72">
      <c r="A72" s="43" t="inlineStr">
        <is>
          <t>CMD-0071</t>
        </is>
      </c>
      <c r="B72" s="46" t="n">
        <v>95698</v>
      </c>
      <c r="C72" s="46" t="n">
        <v>97848</v>
      </c>
      <c r="D72" s="47" t="n"/>
      <c r="E72" s="47" t="n">
        <v>46295</v>
      </c>
    </row>
    <row r="73">
      <c r="A73" s="43" t="inlineStr">
        <is>
          <t>CMD-0072</t>
        </is>
      </c>
      <c r="B73" s="46" t="n">
        <v>48470</v>
      </c>
      <c r="C73" s="46" t="n">
        <v>78504</v>
      </c>
      <c r="D73" s="47" t="n"/>
      <c r="E73" s="47" t="n">
        <v>46295</v>
      </c>
    </row>
    <row r="74">
      <c r="A74" s="43" t="inlineStr">
        <is>
          <t>CMD-0073</t>
        </is>
      </c>
      <c r="B74" s="46" t="n">
        <v>280502</v>
      </c>
      <c r="C74" s="46" t="n">
        <v>453903</v>
      </c>
      <c r="D74" s="47" t="n"/>
      <c r="E74" s="47" t="n">
        <v>46295</v>
      </c>
    </row>
    <row r="75">
      <c r="A75" s="43" t="inlineStr">
        <is>
          <t>CMD-0074</t>
        </is>
      </c>
      <c r="B75" s="46" t="n">
        <v>234456</v>
      </c>
      <c r="C75" s="46" t="n">
        <v>55477</v>
      </c>
      <c r="D75" s="47" t="n"/>
      <c r="E75" s="47" t="n">
        <v>46295</v>
      </c>
    </row>
    <row r="76">
      <c r="A76" s="43" t="inlineStr">
        <is>
          <t>CMD-0075</t>
        </is>
      </c>
      <c r="B76" s="46" t="n">
        <v>825307</v>
      </c>
      <c r="C76" s="46" t="n">
        <v>370254</v>
      </c>
      <c r="D76" s="47" t="n"/>
      <c r="E76" s="47" t="n">
        <v>46295</v>
      </c>
    </row>
    <row r="77">
      <c r="A77" s="43" t="inlineStr">
        <is>
          <t>CMD-0076</t>
        </is>
      </c>
      <c r="B77" s="46" t="n">
        <v>863462</v>
      </c>
      <c r="C77" s="46" t="n">
        <v>462041</v>
      </c>
      <c r="D77" s="47" t="n"/>
      <c r="E77" s="47" t="n">
        <v>46295</v>
      </c>
    </row>
    <row r="78">
      <c r="A78" s="43" t="inlineStr">
        <is>
          <t>CMD-0077</t>
        </is>
      </c>
      <c r="B78" s="46" t="n">
        <v>5302</v>
      </c>
      <c r="C78" s="46" t="n">
        <v>4727</v>
      </c>
      <c r="D78" s="47" t="n"/>
      <c r="E78" s="47" t="n">
        <v>46295</v>
      </c>
    </row>
    <row r="79">
      <c r="A79" s="43" t="inlineStr">
        <is>
          <t>CMD-0078</t>
        </is>
      </c>
      <c r="B79" s="46" t="n">
        <v>9386</v>
      </c>
      <c r="C79" s="46" t="n">
        <v>4764</v>
      </c>
      <c r="D79" s="47" t="n"/>
      <c r="E79" s="47" t="n">
        <v>46295</v>
      </c>
    </row>
    <row r="80">
      <c r="A80" s="43" t="inlineStr">
        <is>
          <t>CMD-0079</t>
        </is>
      </c>
      <c r="B80" s="46" t="n">
        <v>3677</v>
      </c>
      <c r="C80" s="46" t="n">
        <v>1979</v>
      </c>
      <c r="D80" s="47" t="n"/>
      <c r="E80" s="47" t="n">
        <v>46295</v>
      </c>
    </row>
    <row r="81">
      <c r="A81" s="43" t="inlineStr">
        <is>
          <t>CMD-0080</t>
        </is>
      </c>
      <c r="B81" s="46" t="n">
        <v>20139</v>
      </c>
      <c r="C81" s="46" t="n">
        <v>4863</v>
      </c>
      <c r="D81" s="47" t="n"/>
      <c r="E81" s="47" t="n">
        <v>46295</v>
      </c>
    </row>
    <row r="82">
      <c r="A82" s="43" t="inlineStr">
        <is>
          <t>CMD-0081</t>
        </is>
      </c>
      <c r="B82" s="46" t="n">
        <v>189</v>
      </c>
      <c r="C82" s="46" t="n">
        <v>2354</v>
      </c>
      <c r="D82" s="47" t="n"/>
      <c r="E82" s="47" t="n">
        <v>46295</v>
      </c>
    </row>
    <row r="83">
      <c r="A83" s="43" t="inlineStr">
        <is>
          <t>CMD-0082</t>
        </is>
      </c>
      <c r="B83" s="46" t="n">
        <v>20222</v>
      </c>
      <c r="C83" s="46" t="n">
        <v>8120</v>
      </c>
      <c r="D83" s="47" t="n"/>
      <c r="E83" s="47" t="n">
        <v>46295</v>
      </c>
    </row>
    <row r="84">
      <c r="A84" s="43" t="inlineStr">
        <is>
          <t>CMD-0083</t>
        </is>
      </c>
      <c r="B84" s="46" t="n">
        <v>781</v>
      </c>
      <c r="C84" s="46" t="n">
        <v>7444</v>
      </c>
      <c r="D84" s="47" t="n"/>
      <c r="E84" s="47" t="n">
        <v>46295</v>
      </c>
    </row>
    <row r="85">
      <c r="A85" s="43" t="inlineStr">
        <is>
          <t>CMD-0084</t>
        </is>
      </c>
      <c r="B85" s="46" t="n">
        <v>3093</v>
      </c>
      <c r="C85" s="46" t="n">
        <v>4036</v>
      </c>
      <c r="D85" s="47" t="n"/>
      <c r="E85" s="47" t="n">
        <v>46295</v>
      </c>
    </row>
    <row r="86">
      <c r="A86" s="43" t="inlineStr">
        <is>
          <t>CMD-0085</t>
        </is>
      </c>
      <c r="B86" s="46" t="n">
        <v>398</v>
      </c>
      <c r="C86" s="46" t="n">
        <v>965</v>
      </c>
      <c r="D86" s="47" t="n"/>
      <c r="E86" s="47" t="n">
        <v>46295</v>
      </c>
    </row>
    <row r="87">
      <c r="A87" s="43" t="inlineStr">
        <is>
          <t>CMD-0086</t>
        </is>
      </c>
      <c r="B87" s="46" t="n">
        <v>2053</v>
      </c>
      <c r="C87" s="46" t="n">
        <v>0</v>
      </c>
      <c r="D87" s="47" t="n"/>
      <c r="E87" s="47" t="n">
        <v>46295</v>
      </c>
    </row>
    <row r="88">
      <c r="A88" s="43" t="inlineStr">
        <is>
          <t>CMD-0087</t>
        </is>
      </c>
      <c r="B88" s="46" t="n">
        <v>2053</v>
      </c>
      <c r="C88" s="46" t="n">
        <v>2775</v>
      </c>
      <c r="D88" s="47" t="n"/>
      <c r="E88" s="47" t="n">
        <v>46295</v>
      </c>
    </row>
    <row r="89">
      <c r="A89" s="43" t="inlineStr">
        <is>
          <t>CMD-0088</t>
        </is>
      </c>
      <c r="B89" s="46" t="n">
        <v>452</v>
      </c>
      <c r="C89" s="46" t="n">
        <v>1843</v>
      </c>
      <c r="D89" s="47" t="n"/>
      <c r="E89" s="47" t="n">
        <v>46295</v>
      </c>
    </row>
    <row r="90">
      <c r="A90" s="43" t="inlineStr">
        <is>
          <t>CMD-0089</t>
        </is>
      </c>
      <c r="B90" s="46" t="n">
        <v>245</v>
      </c>
      <c r="C90" s="46" t="n">
        <v>565</v>
      </c>
      <c r="D90" s="47" t="n"/>
      <c r="E90" s="47" t="n">
        <v>46295</v>
      </c>
    </row>
    <row r="91">
      <c r="A91" s="43" t="inlineStr">
        <is>
          <t>CMD-0090</t>
        </is>
      </c>
      <c r="B91" s="46" t="n">
        <v>4914</v>
      </c>
      <c r="C91" s="46" t="n">
        <v>4272</v>
      </c>
      <c r="D91" s="47" t="n"/>
      <c r="E91" s="47" t="n">
        <v>46295</v>
      </c>
    </row>
    <row r="92">
      <c r="A92" s="43" t="inlineStr">
        <is>
          <t>CMD-0091</t>
        </is>
      </c>
      <c r="B92" s="46" t="n">
        <v>1153</v>
      </c>
      <c r="C92" s="46" t="n">
        <v>2581</v>
      </c>
      <c r="D92" s="47" t="n"/>
      <c r="E92" s="47" t="n">
        <v>46295</v>
      </c>
    </row>
    <row r="93">
      <c r="A93" s="43" t="inlineStr">
        <is>
          <t>CMD-0092</t>
        </is>
      </c>
      <c r="B93" s="46" t="n">
        <v>436</v>
      </c>
      <c r="C93" s="46" t="n">
        <v>1036</v>
      </c>
      <c r="D93" s="47" t="n"/>
      <c r="E93" s="47" t="n">
        <v>46295</v>
      </c>
    </row>
    <row r="94">
      <c r="A94" s="43" t="inlineStr">
        <is>
          <t>CMD-0093</t>
        </is>
      </c>
      <c r="B94" s="46" t="n">
        <v>399</v>
      </c>
      <c r="C94" s="46" t="n">
        <v>1691</v>
      </c>
      <c r="D94" s="47" t="n"/>
      <c r="E94" s="47" t="n">
        <v>46295</v>
      </c>
    </row>
    <row r="95">
      <c r="A95" s="43" t="inlineStr">
        <is>
          <t>CMD-0094</t>
        </is>
      </c>
      <c r="B95" s="46" t="n">
        <v>1610</v>
      </c>
      <c r="C95" s="46" t="n">
        <v>1371</v>
      </c>
      <c r="D95" s="47" t="n"/>
      <c r="E95" s="47" t="n">
        <v>46295</v>
      </c>
    </row>
    <row r="96">
      <c r="A96" s="43" t="inlineStr">
        <is>
          <t>CMD-0095</t>
        </is>
      </c>
      <c r="B96" s="46" t="n">
        <v>338</v>
      </c>
      <c r="C96" s="46" t="n">
        <v>990</v>
      </c>
      <c r="D96" s="47" t="n"/>
      <c r="E96" s="47" t="n">
        <v>46295</v>
      </c>
    </row>
    <row r="97">
      <c r="A97" s="43" t="inlineStr">
        <is>
          <t>CMD-0096</t>
        </is>
      </c>
      <c r="B97" s="46" t="n">
        <v>2511</v>
      </c>
      <c r="C97" s="46" t="n">
        <v>909</v>
      </c>
      <c r="D97" s="47" t="n"/>
      <c r="E97" s="47" t="n">
        <v>46295</v>
      </c>
    </row>
    <row r="98">
      <c r="A98" s="43" t="inlineStr">
        <is>
          <t>CMD-0097</t>
        </is>
      </c>
      <c r="B98" s="46" t="n">
        <v>471</v>
      </c>
      <c r="C98" s="46" t="n">
        <v>643</v>
      </c>
      <c r="D98" s="47" t="n"/>
      <c r="E98" s="47" t="n">
        <v>46295</v>
      </c>
    </row>
    <row r="99">
      <c r="A99" s="43" t="inlineStr">
        <is>
          <t>CMD-0098</t>
        </is>
      </c>
      <c r="B99" s="46" t="n">
        <v>282</v>
      </c>
      <c r="C99" s="46" t="n">
        <v>775</v>
      </c>
      <c r="D99" s="47" t="n"/>
      <c r="E99" s="47" t="n">
        <v>46295</v>
      </c>
    </row>
    <row r="100">
      <c r="A100" s="43" t="inlineStr">
        <is>
          <t>CMD-0099</t>
        </is>
      </c>
      <c r="B100" s="46" t="n">
        <v>818</v>
      </c>
      <c r="C100" s="46" t="n">
        <v>2492</v>
      </c>
      <c r="D100" s="47" t="n"/>
      <c r="E100" s="47" t="n">
        <v>46295</v>
      </c>
    </row>
    <row r="101">
      <c r="A101" s="43" t="inlineStr">
        <is>
          <t>CMD-0100</t>
        </is>
      </c>
      <c r="B101" s="46" t="n">
        <v>5905</v>
      </c>
      <c r="C101" s="46" t="n">
        <v>5333</v>
      </c>
      <c r="D101" s="47" t="n"/>
      <c r="E101" s="47" t="n">
        <v>46295</v>
      </c>
    </row>
    <row r="102">
      <c r="A102" s="43" t="inlineStr">
        <is>
          <t>CMD-0101</t>
        </is>
      </c>
      <c r="B102" s="46" t="n">
        <v>19763</v>
      </c>
      <c r="C102" s="46" t="n">
        <v>3594</v>
      </c>
      <c r="D102" s="47" t="n"/>
      <c r="E102" s="47" t="n">
        <v>46295</v>
      </c>
    </row>
    <row r="103">
      <c r="A103" s="43" t="inlineStr">
        <is>
          <t>CMD-0102</t>
        </is>
      </c>
      <c r="B103" s="46" t="n">
        <v>2283</v>
      </c>
      <c r="C103" s="46" t="n">
        <v>2718</v>
      </c>
      <c r="D103" s="47" t="n"/>
      <c r="E103" s="47" t="n">
        <v>46295</v>
      </c>
    </row>
    <row r="104">
      <c r="A104" s="43" t="inlineStr">
        <is>
          <t>CMD-0103</t>
        </is>
      </c>
      <c r="B104" s="46" t="n">
        <v>971</v>
      </c>
      <c r="C104" s="46" t="n">
        <v>1110</v>
      </c>
      <c r="D104" s="47" t="n"/>
      <c r="E104" s="47" t="n">
        <v>46295</v>
      </c>
    </row>
    <row r="105">
      <c r="A105" s="43" t="inlineStr">
        <is>
          <t>CMD-0104</t>
        </is>
      </c>
      <c r="B105" s="46" t="n">
        <v>2930</v>
      </c>
      <c r="C105" s="46" t="n">
        <v>3588</v>
      </c>
      <c r="D105" s="47" t="n"/>
      <c r="E105" s="47" t="n">
        <v>46295</v>
      </c>
    </row>
    <row r="106">
      <c r="A106" s="43" t="inlineStr">
        <is>
          <t>CMD-0105</t>
        </is>
      </c>
      <c r="B106" s="46" t="n">
        <v>244</v>
      </c>
      <c r="C106" s="46" t="n">
        <v>2706</v>
      </c>
      <c r="D106" s="47" t="n"/>
      <c r="E106" s="47" t="n">
        <v>46295</v>
      </c>
    </row>
    <row r="107">
      <c r="A107" s="43" t="inlineStr">
        <is>
          <t>CMD-0106</t>
        </is>
      </c>
      <c r="B107" s="46" t="n">
        <v>943</v>
      </c>
      <c r="C107" s="46" t="n">
        <v>698</v>
      </c>
      <c r="D107" s="47" t="n"/>
      <c r="E107" s="47" t="n">
        <v>46295</v>
      </c>
    </row>
    <row r="108">
      <c r="A108" s="43" t="inlineStr">
        <is>
          <t>CMD-0107</t>
        </is>
      </c>
      <c r="B108" s="46" t="n">
        <v>2548</v>
      </c>
      <c r="C108" s="46" t="n">
        <v>1176</v>
      </c>
      <c r="D108" s="47" t="n"/>
      <c r="E108" s="47" t="n">
        <v>46295</v>
      </c>
    </row>
    <row r="109">
      <c r="A109" s="43" t="inlineStr">
        <is>
          <t>CMD-0108</t>
        </is>
      </c>
      <c r="B109" s="46" t="n">
        <v>86</v>
      </c>
      <c r="C109" s="46" t="n">
        <v>0</v>
      </c>
      <c r="D109" s="47" t="n">
        <v>46446</v>
      </c>
      <c r="E109" s="47" t="n">
        <v>46295</v>
      </c>
    </row>
    <row r="110">
      <c r="A110" s="43" t="inlineStr">
        <is>
          <t>CMD-0109</t>
        </is>
      </c>
      <c r="B110" s="46" t="n">
        <v>8860</v>
      </c>
      <c r="C110" s="46" t="n">
        <v>0</v>
      </c>
      <c r="D110" s="47" t="n">
        <v>46842</v>
      </c>
      <c r="E110" s="47" t="n">
        <v>46295</v>
      </c>
    </row>
    <row r="111">
      <c r="A111" s="43" t="inlineStr">
        <is>
          <t>CMD-0110</t>
        </is>
      </c>
      <c r="B111" s="46" t="n">
        <v>2362</v>
      </c>
      <c r="C111" s="46" t="n">
        <v>0</v>
      </c>
      <c r="D111" s="47" t="n">
        <v>46629</v>
      </c>
      <c r="E111" s="47" t="n">
        <v>46295</v>
      </c>
    </row>
    <row r="112">
      <c r="A112" s="43" t="inlineStr">
        <is>
          <t>CMD-0111</t>
        </is>
      </c>
      <c r="B112" s="46" t="n">
        <v>34820</v>
      </c>
      <c r="C112" s="46" t="n">
        <v>0</v>
      </c>
      <c r="D112" s="47" t="n">
        <v>46842</v>
      </c>
      <c r="E112" s="47" t="n">
        <v>46295</v>
      </c>
    </row>
    <row r="113">
      <c r="A113" s="43" t="inlineStr">
        <is>
          <t>CMD-0112</t>
        </is>
      </c>
      <c r="B113" s="46" t="n">
        <v>1702</v>
      </c>
      <c r="C113" s="46" t="n">
        <v>0</v>
      </c>
      <c r="D113" s="47" t="n">
        <v>47329</v>
      </c>
      <c r="E113" s="47" t="n">
        <v>46295</v>
      </c>
    </row>
    <row r="114">
      <c r="A114" s="43" t="inlineStr">
        <is>
          <t>CMD-0113</t>
        </is>
      </c>
      <c r="B114" s="46" t="n">
        <v>1290</v>
      </c>
      <c r="C114" s="46" t="n">
        <v>0</v>
      </c>
      <c r="D114" s="47" t="n">
        <v>46964</v>
      </c>
      <c r="E114" s="47" t="n">
        <v>46295</v>
      </c>
    </row>
    <row r="115">
      <c r="A115" s="43" t="inlineStr">
        <is>
          <t>CMD-0114</t>
        </is>
      </c>
      <c r="B115" s="46" t="n">
        <v>39030</v>
      </c>
      <c r="C115" s="46" t="n">
        <v>0</v>
      </c>
      <c r="D115" s="47" t="n">
        <v>46812</v>
      </c>
      <c r="E115" s="47" t="n">
        <v>46295</v>
      </c>
    </row>
    <row r="116">
      <c r="A116" s="43" t="inlineStr">
        <is>
          <t>CMD-0115</t>
        </is>
      </c>
      <c r="B116" s="46" t="n">
        <v>1060</v>
      </c>
      <c r="C116" s="46" t="n">
        <v>0</v>
      </c>
      <c r="D116" s="47" t="n">
        <v>47360</v>
      </c>
      <c r="E116" s="47" t="n">
        <v>46295</v>
      </c>
    </row>
    <row r="117">
      <c r="A117" s="43" t="inlineStr">
        <is>
          <t>CMD-0116</t>
        </is>
      </c>
      <c r="B117" s="46" t="n">
        <v>9691</v>
      </c>
      <c r="C117" s="46" t="n">
        <v>0</v>
      </c>
      <c r="D117" s="47" t="n">
        <v>46356</v>
      </c>
      <c r="E117" s="47" t="n">
        <v>46295</v>
      </c>
    </row>
  </sheetData>
  <autoFilter ref="A1:E117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C3C2B7"/>
    <outlinePr summaryBelow="1" summaryRight="1"/>
    <pageSetUpPr/>
  </sheetPr>
  <dimension ref="A1:V20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22" customWidth="1" min="12" max="12"/>
    <col width="11" customWidth="1" min="13" max="13"/>
    <col width="10" customWidth="1" min="14" max="14"/>
    <col width="12" customWidth="1" min="15" max="15"/>
    <col width="12" customWidth="1" min="16" max="16"/>
    <col width="9" customWidth="1" min="17" max="17"/>
    <col width="9" customWidth="1" min="18" max="18"/>
    <col width="8" customWidth="1" min="19" max="19"/>
    <col width="8" customWidth="1" min="20" max="20"/>
    <col width="7" customWidth="1" min="21" max="21"/>
    <col width="8" customWidth="1" min="22" max="22"/>
  </cols>
  <sheetData>
    <row r="1">
      <c r="A1" s="8" t="inlineStr">
        <is>
          <t>po_number</t>
        </is>
      </c>
      <c r="B1" s="8" t="inlineStr">
        <is>
          <t>sku</t>
        </is>
      </c>
      <c r="C1" s="8" t="inlineStr">
        <is>
          <t>supplier_id</t>
        </is>
      </c>
      <c r="D1" s="8" t="inlineStr">
        <is>
          <t>order_date</t>
        </is>
      </c>
      <c r="E1" s="8" t="inlineStr">
        <is>
          <t>promised_date</t>
        </is>
      </c>
      <c r="F1" s="8" t="inlineStr">
        <is>
          <t>received_date</t>
        </is>
      </c>
      <c r="G1" s="8" t="inlineStr">
        <is>
          <t>qty_ordered</t>
        </is>
      </c>
      <c r="H1" s="8" t="inlineStr">
        <is>
          <t>qty_received</t>
        </is>
      </c>
      <c r="I1" s="8" t="inlineStr">
        <is>
          <t>qty_rejected</t>
        </is>
      </c>
      <c r="J1" s="8" t="inlineStr">
        <is>
          <t>unit_price_eur</t>
        </is>
      </c>
      <c r="K1" s="8" t="inlineStr">
        <is>
          <t>status</t>
        </is>
      </c>
      <c r="L1" s="48" t="inlineStr">
        <is>
          <t>category</t>
        </is>
      </c>
      <c r="M1" s="48" t="inlineStr">
        <is>
          <t>std_cost_eur</t>
        </is>
      </c>
      <c r="N1" s="48" t="inlineStr">
        <is>
          <t>order_month</t>
        </is>
      </c>
      <c r="O1" s="48" t="inlineStr">
        <is>
          <t>po_value_eur</t>
        </is>
      </c>
      <c r="P1" s="48" t="inlineStr">
        <is>
          <t>price_variance_eur</t>
        </is>
      </c>
      <c r="Q1" s="48" t="inlineStr">
        <is>
          <t>received_flag</t>
        </is>
      </c>
      <c r="R1" s="48" t="inlineStr">
        <is>
          <t>lead_time_days</t>
        </is>
      </c>
      <c r="S1" s="48" t="inlineStr">
        <is>
          <t>on_time</t>
        </is>
      </c>
      <c r="T1" s="48" t="inlineStr">
        <is>
          <t>in_full</t>
        </is>
      </c>
      <c r="U1" s="48" t="inlineStr">
        <is>
          <t>otif</t>
        </is>
      </c>
      <c r="V1" s="48" t="inlineStr">
        <is>
          <t>days_late</t>
        </is>
      </c>
    </row>
    <row r="2">
      <c r="A2" s="43" t="inlineStr">
        <is>
          <t>PO101228</t>
        </is>
      </c>
      <c r="B2" s="43" t="inlineStr">
        <is>
          <t>CMD-0058</t>
        </is>
      </c>
      <c r="C2" s="43" t="inlineStr">
        <is>
          <t>S04</t>
        </is>
      </c>
      <c r="D2" s="47" t="n">
        <v>45566</v>
      </c>
      <c r="E2" s="47" t="n">
        <v>45601</v>
      </c>
      <c r="F2" s="47" t="n">
        <v>45612</v>
      </c>
      <c r="G2" s="46" t="n">
        <v>65077</v>
      </c>
      <c r="H2" s="46" t="n">
        <v>41810</v>
      </c>
      <c r="I2" s="46" t="n">
        <v>370</v>
      </c>
      <c r="J2" s="44" t="n">
        <v>0.1178</v>
      </c>
      <c r="K2" s="43" t="inlineStr">
        <is>
          <t>Received</t>
        </is>
      </c>
      <c r="L2" s="17">
        <f>INDEX(Items!$C$2:$C$117,MATCH(B2,Items!$A$2:$A$117,0))</f>
        <v/>
      </c>
      <c r="M2" s="49">
        <f>INDEX(Items!$E$2:$E$117,MATCH(B2,Items!$A$2:$A$117,0))</f>
        <v/>
      </c>
      <c r="N2" s="17">
        <f>TEXT(D2,"yyyy-mm")</f>
        <v/>
      </c>
      <c r="O2" s="50">
        <f>G2*J2</f>
        <v/>
      </c>
      <c r="P2" s="50">
        <f>(J2-M2)*G2</f>
        <v/>
      </c>
      <c r="Q2" s="51">
        <f>IF(K2="Received",1,0)</f>
        <v/>
      </c>
      <c r="R2" s="51">
        <f>IF(Q2=1,F2-D2,0)</f>
        <v/>
      </c>
      <c r="S2" s="51">
        <f>IF(Q2=1,IF(F2&lt;=E2,1,0),0)</f>
        <v/>
      </c>
      <c r="T2" s="51">
        <f>IF(Q2=1,IF(H2&gt;=G2,1,0),0)</f>
        <v/>
      </c>
      <c r="U2" s="51">
        <f>S2*T2</f>
        <v/>
      </c>
      <c r="V2" s="51">
        <f>IF(Q2=1,MAX(0,F2-E2),0)</f>
        <v/>
      </c>
    </row>
    <row r="3">
      <c r="A3" s="43" t="inlineStr">
        <is>
          <t>PO101304</t>
        </is>
      </c>
      <c r="B3" s="43" t="inlineStr">
        <is>
          <t>CMD-0064</t>
        </is>
      </c>
      <c r="C3" s="43" t="inlineStr">
        <is>
          <t>S01</t>
        </is>
      </c>
      <c r="D3" s="47" t="n">
        <v>45566</v>
      </c>
      <c r="E3" s="47" t="n">
        <v>45587</v>
      </c>
      <c r="F3" s="47" t="n">
        <v>45584</v>
      </c>
      <c r="G3" s="46" t="n">
        <v>120731</v>
      </c>
      <c r="H3" s="46" t="n">
        <v>120731</v>
      </c>
      <c r="I3" s="46" t="n">
        <v>226</v>
      </c>
      <c r="J3" s="44" t="n">
        <v>0.0318</v>
      </c>
      <c r="K3" s="43" t="inlineStr">
        <is>
          <t>Received</t>
        </is>
      </c>
      <c r="L3" s="17">
        <f>INDEX(Items!$C$2:$C$117,MATCH(B3,Items!$A$2:$A$117,0))</f>
        <v/>
      </c>
      <c r="M3" s="49">
        <f>INDEX(Items!$E$2:$E$117,MATCH(B3,Items!$A$2:$A$117,0))</f>
        <v/>
      </c>
      <c r="N3" s="17">
        <f>TEXT(D3,"yyyy-mm")</f>
        <v/>
      </c>
      <c r="O3" s="50">
        <f>G3*J3</f>
        <v/>
      </c>
      <c r="P3" s="50">
        <f>(J3-M3)*G3</f>
        <v/>
      </c>
      <c r="Q3" s="51">
        <f>IF(K3="Received",1,0)</f>
        <v/>
      </c>
      <c r="R3" s="51">
        <f>IF(Q3=1,F3-D3,0)</f>
        <v/>
      </c>
      <c r="S3" s="51">
        <f>IF(Q3=1,IF(F3&lt;=E3,1,0),0)</f>
        <v/>
      </c>
      <c r="T3" s="51">
        <f>IF(Q3=1,IF(H3&gt;=G3,1,0),0)</f>
        <v/>
      </c>
      <c r="U3" s="51">
        <f>S3*T3</f>
        <v/>
      </c>
      <c r="V3" s="51">
        <f>IF(Q3=1,MAX(0,F3-E3),0)</f>
        <v/>
      </c>
    </row>
    <row r="4">
      <c r="A4" s="43" t="inlineStr">
        <is>
          <t>PO100264</t>
        </is>
      </c>
      <c r="B4" s="43" t="inlineStr">
        <is>
          <t>CMD-0012</t>
        </is>
      </c>
      <c r="C4" s="43" t="inlineStr">
        <is>
          <t>S03</t>
        </is>
      </c>
      <c r="D4" s="47" t="n">
        <v>45566</v>
      </c>
      <c r="E4" s="47" t="n">
        <v>45699</v>
      </c>
      <c r="F4" s="47" t="n">
        <v>45696</v>
      </c>
      <c r="G4" s="46" t="n">
        <v>1966</v>
      </c>
      <c r="H4" s="46" t="n">
        <v>1966</v>
      </c>
      <c r="I4" s="46" t="n">
        <v>11</v>
      </c>
      <c r="J4" s="44" t="n">
        <v>2.59</v>
      </c>
      <c r="K4" s="43" t="inlineStr">
        <is>
          <t>Received</t>
        </is>
      </c>
      <c r="L4" s="17">
        <f>INDEX(Items!$C$2:$C$117,MATCH(B4,Items!$A$2:$A$117,0))</f>
        <v/>
      </c>
      <c r="M4" s="49">
        <f>INDEX(Items!$E$2:$E$117,MATCH(B4,Items!$A$2:$A$117,0))</f>
        <v/>
      </c>
      <c r="N4" s="17">
        <f>TEXT(D4,"yyyy-mm")</f>
        <v/>
      </c>
      <c r="O4" s="50">
        <f>G4*J4</f>
        <v/>
      </c>
      <c r="P4" s="50">
        <f>(J4-M4)*G4</f>
        <v/>
      </c>
      <c r="Q4" s="51">
        <f>IF(K4="Received",1,0)</f>
        <v/>
      </c>
      <c r="R4" s="51">
        <f>IF(Q4=1,F4-D4,0)</f>
        <v/>
      </c>
      <c r="S4" s="51">
        <f>IF(Q4=1,IF(F4&lt;=E4,1,0),0)</f>
        <v/>
      </c>
      <c r="T4" s="51">
        <f>IF(Q4=1,IF(H4&gt;=G4,1,0),0)</f>
        <v/>
      </c>
      <c r="U4" s="51">
        <f>S4*T4</f>
        <v/>
      </c>
      <c r="V4" s="51">
        <f>IF(Q4=1,MAX(0,F4-E4),0)</f>
        <v/>
      </c>
    </row>
    <row r="5">
      <c r="A5" s="43" t="inlineStr">
        <is>
          <t>PO101144</t>
        </is>
      </c>
      <c r="B5" s="43" t="inlineStr">
        <is>
          <t>CMD-0053</t>
        </is>
      </c>
      <c r="C5" s="43" t="inlineStr">
        <is>
          <t>S04</t>
        </is>
      </c>
      <c r="D5" s="47" t="n">
        <v>45566</v>
      </c>
      <c r="E5" s="47" t="n">
        <v>45601</v>
      </c>
      <c r="F5" s="47" t="n">
        <v>45599</v>
      </c>
      <c r="G5" s="46" t="n">
        <v>66680</v>
      </c>
      <c r="H5" s="46" t="n">
        <v>66680</v>
      </c>
      <c r="I5" s="46" t="n">
        <v>665</v>
      </c>
      <c r="J5" s="44" t="n">
        <v>0.0968</v>
      </c>
      <c r="K5" s="43" t="inlineStr">
        <is>
          <t>Received</t>
        </is>
      </c>
      <c r="L5" s="17">
        <f>INDEX(Items!$C$2:$C$117,MATCH(B5,Items!$A$2:$A$117,0))</f>
        <v/>
      </c>
      <c r="M5" s="49">
        <f>INDEX(Items!$E$2:$E$117,MATCH(B5,Items!$A$2:$A$117,0))</f>
        <v/>
      </c>
      <c r="N5" s="17">
        <f>TEXT(D5,"yyyy-mm")</f>
        <v/>
      </c>
      <c r="O5" s="50">
        <f>G5*J5</f>
        <v/>
      </c>
      <c r="P5" s="50">
        <f>(J5-M5)*G5</f>
        <v/>
      </c>
      <c r="Q5" s="51">
        <f>IF(K5="Received",1,0)</f>
        <v/>
      </c>
      <c r="R5" s="51">
        <f>IF(Q5=1,F5-D5,0)</f>
        <v/>
      </c>
      <c r="S5" s="51">
        <f>IF(Q5=1,IF(F5&lt;=E5,1,0),0)</f>
        <v/>
      </c>
      <c r="T5" s="51">
        <f>IF(Q5=1,IF(H5&gt;=G5,1,0),0)</f>
        <v/>
      </c>
      <c r="U5" s="51">
        <f>S5*T5</f>
        <v/>
      </c>
      <c r="V5" s="51">
        <f>IF(Q5=1,MAX(0,F5-E5),0)</f>
        <v/>
      </c>
    </row>
    <row r="6">
      <c r="A6" s="43" t="inlineStr">
        <is>
          <t>PO101588</t>
        </is>
      </c>
      <c r="B6" s="43" t="inlineStr">
        <is>
          <t>CMD-0086</t>
        </is>
      </c>
      <c r="C6" s="43" t="inlineStr">
        <is>
          <t>S01</t>
        </is>
      </c>
      <c r="D6" s="47" t="n">
        <v>45566</v>
      </c>
      <c r="E6" s="47" t="n">
        <v>45580</v>
      </c>
      <c r="F6" s="47" t="n">
        <v>45579</v>
      </c>
      <c r="G6" s="46" t="n">
        <v>3927</v>
      </c>
      <c r="H6" s="46" t="n">
        <v>3927</v>
      </c>
      <c r="I6" s="46" t="n">
        <v>5</v>
      </c>
      <c r="J6" s="44" t="n">
        <v>0.4679</v>
      </c>
      <c r="K6" s="43" t="inlineStr">
        <is>
          <t>Received</t>
        </is>
      </c>
      <c r="L6" s="17">
        <f>INDEX(Items!$C$2:$C$117,MATCH(B6,Items!$A$2:$A$117,0))</f>
        <v/>
      </c>
      <c r="M6" s="49">
        <f>INDEX(Items!$E$2:$E$117,MATCH(B6,Items!$A$2:$A$117,0))</f>
        <v/>
      </c>
      <c r="N6" s="17">
        <f>TEXT(D6,"yyyy-mm")</f>
        <v/>
      </c>
      <c r="O6" s="50">
        <f>G6*J6</f>
        <v/>
      </c>
      <c r="P6" s="50">
        <f>(J6-M6)*G6</f>
        <v/>
      </c>
      <c r="Q6" s="51">
        <f>IF(K6="Received",1,0)</f>
        <v/>
      </c>
      <c r="R6" s="51">
        <f>IF(Q6=1,F6-D6,0)</f>
        <v/>
      </c>
      <c r="S6" s="51">
        <f>IF(Q6=1,IF(F6&lt;=E6,1,0),0)</f>
        <v/>
      </c>
      <c r="T6" s="51">
        <f>IF(Q6=1,IF(H6&gt;=G6,1,0),0)</f>
        <v/>
      </c>
      <c r="U6" s="51">
        <f>S6*T6</f>
        <v/>
      </c>
      <c r="V6" s="51">
        <f>IF(Q6=1,MAX(0,F6-E6),0)</f>
        <v/>
      </c>
    </row>
    <row r="7">
      <c r="A7" s="43" t="inlineStr">
        <is>
          <t>PO100982</t>
        </is>
      </c>
      <c r="B7" s="43" t="inlineStr">
        <is>
          <t>CMD-0045</t>
        </is>
      </c>
      <c r="C7" s="43" t="inlineStr">
        <is>
          <t>S05</t>
        </is>
      </c>
      <c r="D7" s="47" t="n">
        <v>45566</v>
      </c>
      <c r="E7" s="47" t="n">
        <v>45671</v>
      </c>
      <c r="F7" s="47" t="n">
        <v>45670</v>
      </c>
      <c r="G7" s="46" t="n">
        <v>3234</v>
      </c>
      <c r="H7" s="46" t="n">
        <v>3234</v>
      </c>
      <c r="I7" s="46" t="n">
        <v>45</v>
      </c>
      <c r="J7" s="44" t="n">
        <v>8.99</v>
      </c>
      <c r="K7" s="43" t="inlineStr">
        <is>
          <t>Received</t>
        </is>
      </c>
      <c r="L7" s="17">
        <f>INDEX(Items!$C$2:$C$117,MATCH(B7,Items!$A$2:$A$117,0))</f>
        <v/>
      </c>
      <c r="M7" s="49">
        <f>INDEX(Items!$E$2:$E$117,MATCH(B7,Items!$A$2:$A$117,0))</f>
        <v/>
      </c>
      <c r="N7" s="17">
        <f>TEXT(D7,"yyyy-mm")</f>
        <v/>
      </c>
      <c r="O7" s="50">
        <f>G7*J7</f>
        <v/>
      </c>
      <c r="P7" s="50">
        <f>(J7-M7)*G7</f>
        <v/>
      </c>
      <c r="Q7" s="51">
        <f>IF(K7="Received",1,0)</f>
        <v/>
      </c>
      <c r="R7" s="51">
        <f>IF(Q7=1,F7-D7,0)</f>
        <v/>
      </c>
      <c r="S7" s="51">
        <f>IF(Q7=1,IF(F7&lt;=E7,1,0),0)</f>
        <v/>
      </c>
      <c r="T7" s="51">
        <f>IF(Q7=1,IF(H7&gt;=G7,1,0),0)</f>
        <v/>
      </c>
      <c r="U7" s="51">
        <f>S7*T7</f>
        <v/>
      </c>
      <c r="V7" s="51">
        <f>IF(Q7=1,MAX(0,F7-E7),0)</f>
        <v/>
      </c>
    </row>
    <row r="8">
      <c r="A8" s="43" t="inlineStr">
        <is>
          <t>PO100934</t>
        </is>
      </c>
      <c r="B8" s="43" t="inlineStr">
        <is>
          <t>CMD-0043</t>
        </is>
      </c>
      <c r="C8" s="43" t="inlineStr">
        <is>
          <t>S05</t>
        </is>
      </c>
      <c r="D8" s="47" t="n">
        <v>45566</v>
      </c>
      <c r="E8" s="47" t="n">
        <v>45671</v>
      </c>
      <c r="F8" s="47" t="n">
        <v>45671</v>
      </c>
      <c r="G8" s="46" t="n">
        <v>5146</v>
      </c>
      <c r="H8" s="46" t="n">
        <v>5146</v>
      </c>
      <c r="I8" s="46" t="n">
        <v>96</v>
      </c>
      <c r="J8" s="44" t="n">
        <v>3.69</v>
      </c>
      <c r="K8" s="43" t="inlineStr">
        <is>
          <t>Received</t>
        </is>
      </c>
      <c r="L8" s="17">
        <f>INDEX(Items!$C$2:$C$117,MATCH(B8,Items!$A$2:$A$117,0))</f>
        <v/>
      </c>
      <c r="M8" s="49">
        <f>INDEX(Items!$E$2:$E$117,MATCH(B8,Items!$A$2:$A$117,0))</f>
        <v/>
      </c>
      <c r="N8" s="17">
        <f>TEXT(D8,"yyyy-mm")</f>
        <v/>
      </c>
      <c r="O8" s="50">
        <f>G8*J8</f>
        <v/>
      </c>
      <c r="P8" s="50">
        <f>(J8-M8)*G8</f>
        <v/>
      </c>
      <c r="Q8" s="51">
        <f>IF(K8="Received",1,0)</f>
        <v/>
      </c>
      <c r="R8" s="51">
        <f>IF(Q8=1,F8-D8,0)</f>
        <v/>
      </c>
      <c r="S8" s="51">
        <f>IF(Q8=1,IF(F8&lt;=E8,1,0),0)</f>
        <v/>
      </c>
      <c r="T8" s="51">
        <f>IF(Q8=1,IF(H8&gt;=G8,1,0),0)</f>
        <v/>
      </c>
      <c r="U8" s="51">
        <f>S8*T8</f>
        <v/>
      </c>
      <c r="V8" s="51">
        <f>IF(Q8=1,MAX(0,F8-E8),0)</f>
        <v/>
      </c>
    </row>
    <row r="9">
      <c r="A9" s="43" t="inlineStr">
        <is>
          <t>PO100818</t>
        </is>
      </c>
      <c r="B9" s="43" t="inlineStr">
        <is>
          <t>CMD-0037</t>
        </is>
      </c>
      <c r="C9" s="43" t="inlineStr">
        <is>
          <t>S07</t>
        </is>
      </c>
      <c r="D9" s="47" t="n">
        <v>45566</v>
      </c>
      <c r="E9" s="47" t="n">
        <v>45608</v>
      </c>
      <c r="F9" s="47" t="n">
        <v>45616</v>
      </c>
      <c r="G9" s="46" t="n">
        <v>436</v>
      </c>
      <c r="H9" s="46" t="n">
        <v>436</v>
      </c>
      <c r="I9" s="46" t="n">
        <v>5</v>
      </c>
      <c r="J9" s="44" t="n">
        <v>53.62</v>
      </c>
      <c r="K9" s="43" t="inlineStr">
        <is>
          <t>Received</t>
        </is>
      </c>
      <c r="L9" s="17">
        <f>INDEX(Items!$C$2:$C$117,MATCH(B9,Items!$A$2:$A$117,0))</f>
        <v/>
      </c>
      <c r="M9" s="49">
        <f>INDEX(Items!$E$2:$E$117,MATCH(B9,Items!$A$2:$A$117,0))</f>
        <v/>
      </c>
      <c r="N9" s="17">
        <f>TEXT(D9,"yyyy-mm")</f>
        <v/>
      </c>
      <c r="O9" s="50">
        <f>G9*J9</f>
        <v/>
      </c>
      <c r="P9" s="50">
        <f>(J9-M9)*G9</f>
        <v/>
      </c>
      <c r="Q9" s="51">
        <f>IF(K9="Received",1,0)</f>
        <v/>
      </c>
      <c r="R9" s="51">
        <f>IF(Q9=1,F9-D9,0)</f>
        <v/>
      </c>
      <c r="S9" s="51">
        <f>IF(Q9=1,IF(F9&lt;=E9,1,0),0)</f>
        <v/>
      </c>
      <c r="T9" s="51">
        <f>IF(Q9=1,IF(H9&gt;=G9,1,0),0)</f>
        <v/>
      </c>
      <c r="U9" s="51">
        <f>S9*T9</f>
        <v/>
      </c>
      <c r="V9" s="51">
        <f>IF(Q9=1,MAX(0,F9-E9),0)</f>
        <v/>
      </c>
    </row>
    <row r="10">
      <c r="A10" s="43" t="inlineStr">
        <is>
          <t>PO101384</t>
        </is>
      </c>
      <c r="B10" s="43" t="inlineStr">
        <is>
          <t>CMD-0071</t>
        </is>
      </c>
      <c r="C10" s="43" t="inlineStr">
        <is>
          <t>S01</t>
        </is>
      </c>
      <c r="D10" s="47" t="n">
        <v>45566</v>
      </c>
      <c r="E10" s="47" t="n">
        <v>45587</v>
      </c>
      <c r="F10" s="47" t="n">
        <v>45585</v>
      </c>
      <c r="G10" s="46" t="n">
        <v>96584</v>
      </c>
      <c r="H10" s="46" t="n">
        <v>96584</v>
      </c>
      <c r="I10" s="46" t="n">
        <v>199</v>
      </c>
      <c r="J10" s="44" t="n">
        <v>0.0355</v>
      </c>
      <c r="K10" s="43" t="inlineStr">
        <is>
          <t>Received</t>
        </is>
      </c>
      <c r="L10" s="17">
        <f>INDEX(Items!$C$2:$C$117,MATCH(B10,Items!$A$2:$A$117,0))</f>
        <v/>
      </c>
      <c r="M10" s="49">
        <f>INDEX(Items!$E$2:$E$117,MATCH(B10,Items!$A$2:$A$117,0))</f>
        <v/>
      </c>
      <c r="N10" s="17">
        <f>TEXT(D10,"yyyy-mm")</f>
        <v/>
      </c>
      <c r="O10" s="50">
        <f>G10*J10</f>
        <v/>
      </c>
      <c r="P10" s="50">
        <f>(J10-M10)*G10</f>
        <v/>
      </c>
      <c r="Q10" s="51">
        <f>IF(K10="Received",1,0)</f>
        <v/>
      </c>
      <c r="R10" s="51">
        <f>IF(Q10=1,F10-D10,0)</f>
        <v/>
      </c>
      <c r="S10" s="51">
        <f>IF(Q10=1,IF(F10&lt;=E10,1,0),0)</f>
        <v/>
      </c>
      <c r="T10" s="51">
        <f>IF(Q10=1,IF(H10&gt;=G10,1,0),0)</f>
        <v/>
      </c>
      <c r="U10" s="51">
        <f>S10*T10</f>
        <v/>
      </c>
      <c r="V10" s="51">
        <f>IF(Q10=1,MAX(0,F10-E10),0)</f>
        <v/>
      </c>
    </row>
    <row r="11">
      <c r="A11" s="43" t="inlineStr">
        <is>
          <t>PO100454</t>
        </is>
      </c>
      <c r="B11" s="43" t="inlineStr">
        <is>
          <t>CMD-0021</t>
        </is>
      </c>
      <c r="C11" s="43" t="inlineStr">
        <is>
          <t>S04</t>
        </is>
      </c>
      <c r="D11" s="47" t="n">
        <v>45566</v>
      </c>
      <c r="E11" s="47" t="n">
        <v>45636</v>
      </c>
      <c r="F11" s="47" t="n">
        <v>45647</v>
      </c>
      <c r="G11" s="46" t="n">
        <v>1230</v>
      </c>
      <c r="H11" s="46" t="n">
        <v>1230</v>
      </c>
      <c r="I11" s="46" t="n">
        <v>16</v>
      </c>
      <c r="J11" s="44" t="n">
        <v>4.94</v>
      </c>
      <c r="K11" s="43" t="inlineStr">
        <is>
          <t>Received</t>
        </is>
      </c>
      <c r="L11" s="17">
        <f>INDEX(Items!$C$2:$C$117,MATCH(B11,Items!$A$2:$A$117,0))</f>
        <v/>
      </c>
      <c r="M11" s="49">
        <f>INDEX(Items!$E$2:$E$117,MATCH(B11,Items!$A$2:$A$117,0))</f>
        <v/>
      </c>
      <c r="N11" s="17">
        <f>TEXT(D11,"yyyy-mm")</f>
        <v/>
      </c>
      <c r="O11" s="50">
        <f>G11*J11</f>
        <v/>
      </c>
      <c r="P11" s="50">
        <f>(J11-M11)*G11</f>
        <v/>
      </c>
      <c r="Q11" s="51">
        <f>IF(K11="Received",1,0)</f>
        <v/>
      </c>
      <c r="R11" s="51">
        <f>IF(Q11=1,F11-D11,0)</f>
        <v/>
      </c>
      <c r="S11" s="51">
        <f>IF(Q11=1,IF(F11&lt;=E11,1,0),0)</f>
        <v/>
      </c>
      <c r="T11" s="51">
        <f>IF(Q11=1,IF(H11&gt;=G11,1,0),0)</f>
        <v/>
      </c>
      <c r="U11" s="51">
        <f>S11*T11</f>
        <v/>
      </c>
      <c r="V11" s="51">
        <f>IF(Q11=1,MAX(0,F11-E11),0)</f>
        <v/>
      </c>
    </row>
    <row r="12">
      <c r="A12" s="43" t="inlineStr">
        <is>
          <t>PO100520</t>
        </is>
      </c>
      <c r="B12" s="43" t="inlineStr">
        <is>
          <t>CMD-0024</t>
        </is>
      </c>
      <c r="C12" s="43" t="inlineStr">
        <is>
          <t>S04</t>
        </is>
      </c>
      <c r="D12" s="47" t="n">
        <v>45566</v>
      </c>
      <c r="E12" s="47" t="n">
        <v>45636</v>
      </c>
      <c r="F12" s="47" t="n">
        <v>45633</v>
      </c>
      <c r="G12" s="46" t="n">
        <v>4298</v>
      </c>
      <c r="H12" s="46" t="n">
        <v>2628</v>
      </c>
      <c r="I12" s="46" t="n">
        <v>30</v>
      </c>
      <c r="J12" s="44" t="n">
        <v>3.31</v>
      </c>
      <c r="K12" s="43" t="inlineStr">
        <is>
          <t>Received</t>
        </is>
      </c>
      <c r="L12" s="17">
        <f>INDEX(Items!$C$2:$C$117,MATCH(B12,Items!$A$2:$A$117,0))</f>
        <v/>
      </c>
      <c r="M12" s="49">
        <f>INDEX(Items!$E$2:$E$117,MATCH(B12,Items!$A$2:$A$117,0))</f>
        <v/>
      </c>
      <c r="N12" s="17">
        <f>TEXT(D12,"yyyy-mm")</f>
        <v/>
      </c>
      <c r="O12" s="50">
        <f>G12*J12</f>
        <v/>
      </c>
      <c r="P12" s="50">
        <f>(J12-M12)*G12</f>
        <v/>
      </c>
      <c r="Q12" s="51">
        <f>IF(K12="Received",1,0)</f>
        <v/>
      </c>
      <c r="R12" s="51">
        <f>IF(Q12=1,F12-D12,0)</f>
        <v/>
      </c>
      <c r="S12" s="51">
        <f>IF(Q12=1,IF(F12&lt;=E12,1,0),0)</f>
        <v/>
      </c>
      <c r="T12" s="51">
        <f>IF(Q12=1,IF(H12&gt;=G12,1,0),0)</f>
        <v/>
      </c>
      <c r="U12" s="51">
        <f>S12*T12</f>
        <v/>
      </c>
      <c r="V12" s="51">
        <f>IF(Q12=1,MAX(0,F12-E12),0)</f>
        <v/>
      </c>
    </row>
    <row r="13">
      <c r="A13" s="43" t="inlineStr">
        <is>
          <t>PO100706</t>
        </is>
      </c>
      <c r="B13" s="43" t="inlineStr">
        <is>
          <t>CMD-0032</t>
        </is>
      </c>
      <c r="C13" s="43" t="inlineStr">
        <is>
          <t>S01</t>
        </is>
      </c>
      <c r="D13" s="47" t="n">
        <v>45567</v>
      </c>
      <c r="E13" s="47" t="n">
        <v>45595</v>
      </c>
      <c r="F13" s="47" t="n">
        <v>45594</v>
      </c>
      <c r="G13" s="46" t="n">
        <v>1250</v>
      </c>
      <c r="H13" s="46" t="n">
        <v>1250</v>
      </c>
      <c r="I13" s="46" t="n">
        <v>0</v>
      </c>
      <c r="J13" s="44" t="n">
        <v>5.15</v>
      </c>
      <c r="K13" s="43" t="inlineStr">
        <is>
          <t>Received</t>
        </is>
      </c>
      <c r="L13" s="17">
        <f>INDEX(Items!$C$2:$C$117,MATCH(B13,Items!$A$2:$A$117,0))</f>
        <v/>
      </c>
      <c r="M13" s="49">
        <f>INDEX(Items!$E$2:$E$117,MATCH(B13,Items!$A$2:$A$117,0))</f>
        <v/>
      </c>
      <c r="N13" s="17">
        <f>TEXT(D13,"yyyy-mm")</f>
        <v/>
      </c>
      <c r="O13" s="50">
        <f>G13*J13</f>
        <v/>
      </c>
      <c r="P13" s="50">
        <f>(J13-M13)*G13</f>
        <v/>
      </c>
      <c r="Q13" s="51">
        <f>IF(K13="Received",1,0)</f>
        <v/>
      </c>
      <c r="R13" s="51">
        <f>IF(Q13=1,F13-D13,0)</f>
        <v/>
      </c>
      <c r="S13" s="51">
        <f>IF(Q13=1,IF(F13&lt;=E13,1,0),0)</f>
        <v/>
      </c>
      <c r="T13" s="51">
        <f>IF(Q13=1,IF(H13&gt;=G13,1,0),0)</f>
        <v/>
      </c>
      <c r="U13" s="51">
        <f>S13*T13</f>
        <v/>
      </c>
      <c r="V13" s="51">
        <f>IF(Q13=1,MAX(0,F13-E13),0)</f>
        <v/>
      </c>
    </row>
    <row r="14">
      <c r="A14" s="43" t="inlineStr">
        <is>
          <t>PO101206</t>
        </is>
      </c>
      <c r="B14" s="43" t="inlineStr">
        <is>
          <t>CMD-0056</t>
        </is>
      </c>
      <c r="C14" s="43" t="inlineStr">
        <is>
          <t>S04</t>
        </is>
      </c>
      <c r="D14" s="47" t="n">
        <v>45567</v>
      </c>
      <c r="E14" s="47" t="n">
        <v>45602</v>
      </c>
      <c r="F14" s="47" t="n">
        <v>45601</v>
      </c>
      <c r="G14" s="46" t="n">
        <v>59160</v>
      </c>
      <c r="H14" s="46" t="n">
        <v>59160</v>
      </c>
      <c r="I14" s="46" t="n">
        <v>575</v>
      </c>
      <c r="J14" s="44" t="n">
        <v>0.1015</v>
      </c>
      <c r="K14" s="43" t="inlineStr">
        <is>
          <t>Received</t>
        </is>
      </c>
      <c r="L14" s="17">
        <f>INDEX(Items!$C$2:$C$117,MATCH(B14,Items!$A$2:$A$117,0))</f>
        <v/>
      </c>
      <c r="M14" s="49">
        <f>INDEX(Items!$E$2:$E$117,MATCH(B14,Items!$A$2:$A$117,0))</f>
        <v/>
      </c>
      <c r="N14" s="17">
        <f>TEXT(D14,"yyyy-mm")</f>
        <v/>
      </c>
      <c r="O14" s="50">
        <f>G14*J14</f>
        <v/>
      </c>
      <c r="P14" s="50">
        <f>(J14-M14)*G14</f>
        <v/>
      </c>
      <c r="Q14" s="51">
        <f>IF(K14="Received",1,0)</f>
        <v/>
      </c>
      <c r="R14" s="51">
        <f>IF(Q14=1,F14-D14,0)</f>
        <v/>
      </c>
      <c r="S14" s="51">
        <f>IF(Q14=1,IF(F14&lt;=E14,1,0),0)</f>
        <v/>
      </c>
      <c r="T14" s="51">
        <f>IF(Q14=1,IF(H14&gt;=G14,1,0),0)</f>
        <v/>
      </c>
      <c r="U14" s="51">
        <f>S14*T14</f>
        <v/>
      </c>
      <c r="V14" s="51">
        <f>IF(Q14=1,MAX(0,F14-E14),0)</f>
        <v/>
      </c>
    </row>
    <row r="15">
      <c r="A15" s="43" t="inlineStr">
        <is>
          <t>PO101814</t>
        </is>
      </c>
      <c r="B15" s="43" t="inlineStr">
        <is>
          <t>CMD-0099</t>
        </is>
      </c>
      <c r="C15" s="43" t="inlineStr">
        <is>
          <t>S09</t>
        </is>
      </c>
      <c r="D15" s="47" t="n">
        <v>45567</v>
      </c>
      <c r="E15" s="47" t="n">
        <v>45588</v>
      </c>
      <c r="F15" s="47" t="n">
        <v>45593</v>
      </c>
      <c r="G15" s="46" t="n">
        <v>2639</v>
      </c>
      <c r="H15" s="46" t="n">
        <v>2639</v>
      </c>
      <c r="I15" s="46" t="n">
        <v>8</v>
      </c>
      <c r="J15" s="44" t="n">
        <v>2.32</v>
      </c>
      <c r="K15" s="43" t="inlineStr">
        <is>
          <t>Received</t>
        </is>
      </c>
      <c r="L15" s="17">
        <f>INDEX(Items!$C$2:$C$117,MATCH(B15,Items!$A$2:$A$117,0))</f>
        <v/>
      </c>
      <c r="M15" s="49">
        <f>INDEX(Items!$E$2:$E$117,MATCH(B15,Items!$A$2:$A$117,0))</f>
        <v/>
      </c>
      <c r="N15" s="17">
        <f>TEXT(D15,"yyyy-mm")</f>
        <v/>
      </c>
      <c r="O15" s="50">
        <f>G15*J15</f>
        <v/>
      </c>
      <c r="P15" s="50">
        <f>(J15-M15)*G15</f>
        <v/>
      </c>
      <c r="Q15" s="51">
        <f>IF(K15="Received",1,0)</f>
        <v/>
      </c>
      <c r="R15" s="51">
        <f>IF(Q15=1,F15-D15,0)</f>
        <v/>
      </c>
      <c r="S15" s="51">
        <f>IF(Q15=1,IF(F15&lt;=E15,1,0),0)</f>
        <v/>
      </c>
      <c r="T15" s="51">
        <f>IF(Q15=1,IF(H15&gt;=G15,1,0),0)</f>
        <v/>
      </c>
      <c r="U15" s="51">
        <f>S15*T15</f>
        <v/>
      </c>
      <c r="V15" s="51">
        <f>IF(Q15=1,MAX(0,F15-E15),0)</f>
        <v/>
      </c>
    </row>
    <row r="16">
      <c r="A16" s="43" t="inlineStr">
        <is>
          <t>PO101556</t>
        </is>
      </c>
      <c r="B16" s="43" t="inlineStr">
        <is>
          <t>CMD-0083</t>
        </is>
      </c>
      <c r="C16" s="43" t="inlineStr">
        <is>
          <t>S06</t>
        </is>
      </c>
      <c r="D16" s="47" t="n">
        <v>45567</v>
      </c>
      <c r="E16" s="47" t="n">
        <v>45588</v>
      </c>
      <c r="F16" s="47" t="n">
        <v>45586</v>
      </c>
      <c r="G16" s="46" t="n">
        <v>8743</v>
      </c>
      <c r="H16" s="46" t="n">
        <v>8743</v>
      </c>
      <c r="I16" s="46" t="n">
        <v>42</v>
      </c>
      <c r="J16" s="44" t="n">
        <v>0.7288</v>
      </c>
      <c r="K16" s="43" t="inlineStr">
        <is>
          <t>Received</t>
        </is>
      </c>
      <c r="L16" s="17">
        <f>INDEX(Items!$C$2:$C$117,MATCH(B16,Items!$A$2:$A$117,0))</f>
        <v/>
      </c>
      <c r="M16" s="49">
        <f>INDEX(Items!$E$2:$E$117,MATCH(B16,Items!$A$2:$A$117,0))</f>
        <v/>
      </c>
      <c r="N16" s="17">
        <f>TEXT(D16,"yyyy-mm")</f>
        <v/>
      </c>
      <c r="O16" s="50">
        <f>G16*J16</f>
        <v/>
      </c>
      <c r="P16" s="50">
        <f>(J16-M16)*G16</f>
        <v/>
      </c>
      <c r="Q16" s="51">
        <f>IF(K16="Received",1,0)</f>
        <v/>
      </c>
      <c r="R16" s="51">
        <f>IF(Q16=1,F16-D16,0)</f>
        <v/>
      </c>
      <c r="S16" s="51">
        <f>IF(Q16=1,IF(F16&lt;=E16,1,0),0)</f>
        <v/>
      </c>
      <c r="T16" s="51">
        <f>IF(Q16=1,IF(H16&gt;=G16,1,0),0)</f>
        <v/>
      </c>
      <c r="U16" s="51">
        <f>S16*T16</f>
        <v/>
      </c>
      <c r="V16" s="51">
        <f>IF(Q16=1,MAX(0,F16-E16),0)</f>
        <v/>
      </c>
    </row>
    <row r="17">
      <c r="A17" s="43" t="inlineStr">
        <is>
          <t>PO101596</t>
        </is>
      </c>
      <c r="B17" s="43" t="inlineStr">
        <is>
          <t>CMD-0088</t>
        </is>
      </c>
      <c r="C17" s="43" t="inlineStr">
        <is>
          <t>S06</t>
        </is>
      </c>
      <c r="D17" s="47" t="n">
        <v>45567</v>
      </c>
      <c r="E17" s="47" t="n">
        <v>45588</v>
      </c>
      <c r="F17" s="47" t="n">
        <v>45588</v>
      </c>
      <c r="G17" s="46" t="n">
        <v>1997</v>
      </c>
      <c r="H17" s="46" t="n">
        <v>1997</v>
      </c>
      <c r="I17" s="46" t="n">
        <v>15</v>
      </c>
      <c r="J17" s="44" t="n">
        <v>2.43</v>
      </c>
      <c r="K17" s="43" t="inlineStr">
        <is>
          <t>Received</t>
        </is>
      </c>
      <c r="L17" s="17">
        <f>INDEX(Items!$C$2:$C$117,MATCH(B17,Items!$A$2:$A$117,0))</f>
        <v/>
      </c>
      <c r="M17" s="49">
        <f>INDEX(Items!$E$2:$E$117,MATCH(B17,Items!$A$2:$A$117,0))</f>
        <v/>
      </c>
      <c r="N17" s="17">
        <f>TEXT(D17,"yyyy-mm")</f>
        <v/>
      </c>
      <c r="O17" s="50">
        <f>G17*J17</f>
        <v/>
      </c>
      <c r="P17" s="50">
        <f>(J17-M17)*G17</f>
        <v/>
      </c>
      <c r="Q17" s="51">
        <f>IF(K17="Received",1,0)</f>
        <v/>
      </c>
      <c r="R17" s="51">
        <f>IF(Q17=1,F17-D17,0)</f>
        <v/>
      </c>
      <c r="S17" s="51">
        <f>IF(Q17=1,IF(F17&lt;=E17,1,0),0)</f>
        <v/>
      </c>
      <c r="T17" s="51">
        <f>IF(Q17=1,IF(H17&gt;=G17,1,0),0)</f>
        <v/>
      </c>
      <c r="U17" s="51">
        <f>S17*T17</f>
        <v/>
      </c>
      <c r="V17" s="51">
        <f>IF(Q17=1,MAX(0,F17-E17),0)</f>
        <v/>
      </c>
    </row>
    <row r="18">
      <c r="A18" s="43" t="inlineStr">
        <is>
          <t>PO102020</t>
        </is>
      </c>
      <c r="B18" s="43" t="inlineStr">
        <is>
          <t>CMD-0116</t>
        </is>
      </c>
      <c r="C18" s="43" t="inlineStr">
        <is>
          <t>S12</t>
        </is>
      </c>
      <c r="D18" s="47" t="n">
        <v>45567</v>
      </c>
      <c r="E18" s="47" t="n">
        <v>45574</v>
      </c>
      <c r="F18" s="47" t="n">
        <v>45571</v>
      </c>
      <c r="G18" s="46" t="n">
        <v>15526</v>
      </c>
      <c r="H18" s="46" t="n">
        <v>15526</v>
      </c>
      <c r="I18" s="46" t="n">
        <v>22</v>
      </c>
      <c r="J18" s="44" t="n">
        <v>0.3644</v>
      </c>
      <c r="K18" s="43" t="inlineStr">
        <is>
          <t>Received</t>
        </is>
      </c>
      <c r="L18" s="17">
        <f>INDEX(Items!$C$2:$C$117,MATCH(B18,Items!$A$2:$A$117,0))</f>
        <v/>
      </c>
      <c r="M18" s="49">
        <f>INDEX(Items!$E$2:$E$117,MATCH(B18,Items!$A$2:$A$117,0))</f>
        <v/>
      </c>
      <c r="N18" s="17">
        <f>TEXT(D18,"yyyy-mm")</f>
        <v/>
      </c>
      <c r="O18" s="50">
        <f>G18*J18</f>
        <v/>
      </c>
      <c r="P18" s="50">
        <f>(J18-M18)*G18</f>
        <v/>
      </c>
      <c r="Q18" s="51">
        <f>IF(K18="Received",1,0)</f>
        <v/>
      </c>
      <c r="R18" s="51">
        <f>IF(Q18=1,F18-D18,0)</f>
        <v/>
      </c>
      <c r="S18" s="51">
        <f>IF(Q18=1,IF(F18&lt;=E18,1,0),0)</f>
        <v/>
      </c>
      <c r="T18" s="51">
        <f>IF(Q18=1,IF(H18&gt;=G18,1,0),0)</f>
        <v/>
      </c>
      <c r="U18" s="51">
        <f>S18*T18</f>
        <v/>
      </c>
      <c r="V18" s="51">
        <f>IF(Q18=1,MAX(0,F18-E18),0)</f>
        <v/>
      </c>
    </row>
    <row r="19">
      <c r="A19" s="43" t="inlineStr">
        <is>
          <t>PO101308</t>
        </is>
      </c>
      <c r="B19" s="43" t="inlineStr">
        <is>
          <t>CMD-0065</t>
        </is>
      </c>
      <c r="C19" s="43" t="inlineStr">
        <is>
          <t>S10</t>
        </is>
      </c>
      <c r="D19" s="47" t="n">
        <v>45567</v>
      </c>
      <c r="E19" s="47" t="n">
        <v>45595</v>
      </c>
      <c r="F19" s="47" t="n">
        <v>45595</v>
      </c>
      <c r="G19" s="46" t="n">
        <v>119043</v>
      </c>
      <c r="H19" s="46" t="n">
        <v>119043</v>
      </c>
      <c r="I19" s="46" t="n">
        <v>122</v>
      </c>
      <c r="J19" s="44" t="n">
        <v>0.1155</v>
      </c>
      <c r="K19" s="43" t="inlineStr">
        <is>
          <t>Received</t>
        </is>
      </c>
      <c r="L19" s="17">
        <f>INDEX(Items!$C$2:$C$117,MATCH(B19,Items!$A$2:$A$117,0))</f>
        <v/>
      </c>
      <c r="M19" s="49">
        <f>INDEX(Items!$E$2:$E$117,MATCH(B19,Items!$A$2:$A$117,0))</f>
        <v/>
      </c>
      <c r="N19" s="17">
        <f>TEXT(D19,"yyyy-mm")</f>
        <v/>
      </c>
      <c r="O19" s="50">
        <f>G19*J19</f>
        <v/>
      </c>
      <c r="P19" s="50">
        <f>(J19-M19)*G19</f>
        <v/>
      </c>
      <c r="Q19" s="51">
        <f>IF(K19="Received",1,0)</f>
        <v/>
      </c>
      <c r="R19" s="51">
        <f>IF(Q19=1,F19-D19,0)</f>
        <v/>
      </c>
      <c r="S19" s="51">
        <f>IF(Q19=1,IF(F19&lt;=E19,1,0),0)</f>
        <v/>
      </c>
      <c r="T19" s="51">
        <f>IF(Q19=1,IF(H19&gt;=G19,1,0),0)</f>
        <v/>
      </c>
      <c r="U19" s="51">
        <f>S19*T19</f>
        <v/>
      </c>
      <c r="V19" s="51">
        <f>IF(Q19=1,MAX(0,F19-E19),0)</f>
        <v/>
      </c>
    </row>
    <row r="20">
      <c r="A20" s="43" t="inlineStr">
        <is>
          <t>PO100890</t>
        </is>
      </c>
      <c r="B20" s="43" t="inlineStr">
        <is>
          <t>CMD-0040</t>
        </is>
      </c>
      <c r="C20" s="43" t="inlineStr">
        <is>
          <t>S07</t>
        </is>
      </c>
      <c r="D20" s="47" t="n">
        <v>45567</v>
      </c>
      <c r="E20" s="47" t="n">
        <v>45609</v>
      </c>
      <c r="F20" s="47" t="n">
        <v>45612</v>
      </c>
      <c r="G20" s="46" t="n">
        <v>573</v>
      </c>
      <c r="H20" s="46" t="n">
        <v>573</v>
      </c>
      <c r="I20" s="46" t="n">
        <v>4</v>
      </c>
      <c r="J20" s="44" t="n">
        <v>8.960000000000001</v>
      </c>
      <c r="K20" s="43" t="inlineStr">
        <is>
          <t>Received</t>
        </is>
      </c>
      <c r="L20" s="17">
        <f>INDEX(Items!$C$2:$C$117,MATCH(B20,Items!$A$2:$A$117,0))</f>
        <v/>
      </c>
      <c r="M20" s="49">
        <f>INDEX(Items!$E$2:$E$117,MATCH(B20,Items!$A$2:$A$117,0))</f>
        <v/>
      </c>
      <c r="N20" s="17">
        <f>TEXT(D20,"yyyy-mm")</f>
        <v/>
      </c>
      <c r="O20" s="50">
        <f>G20*J20</f>
        <v/>
      </c>
      <c r="P20" s="50">
        <f>(J20-M20)*G20</f>
        <v/>
      </c>
      <c r="Q20" s="51">
        <f>IF(K20="Received",1,0)</f>
        <v/>
      </c>
      <c r="R20" s="51">
        <f>IF(Q20=1,F20-D20,0)</f>
        <v/>
      </c>
      <c r="S20" s="51">
        <f>IF(Q20=1,IF(F20&lt;=E20,1,0),0)</f>
        <v/>
      </c>
      <c r="T20" s="51">
        <f>IF(Q20=1,IF(H20&gt;=G20,1,0),0)</f>
        <v/>
      </c>
      <c r="U20" s="51">
        <f>S20*T20</f>
        <v/>
      </c>
      <c r="V20" s="51">
        <f>IF(Q20=1,MAX(0,F20-E20),0)</f>
        <v/>
      </c>
    </row>
    <row r="21">
      <c r="A21" s="43" t="inlineStr">
        <is>
          <t>PO101984</t>
        </is>
      </c>
      <c r="B21" s="43" t="inlineStr">
        <is>
          <t>CMD-0110</t>
        </is>
      </c>
      <c r="C21" s="43" t="inlineStr">
        <is>
          <t>S12</t>
        </is>
      </c>
      <c r="D21" s="47" t="n">
        <v>45567</v>
      </c>
      <c r="E21" s="47" t="n">
        <v>45574</v>
      </c>
      <c r="F21" s="47" t="n">
        <v>45572</v>
      </c>
      <c r="G21" s="46" t="n">
        <v>25409</v>
      </c>
      <c r="H21" s="46" t="n">
        <v>25409</v>
      </c>
      <c r="I21" s="46" t="n">
        <v>25</v>
      </c>
      <c r="J21" s="44" t="n">
        <v>0.192</v>
      </c>
      <c r="K21" s="43" t="inlineStr">
        <is>
          <t>Received</t>
        </is>
      </c>
      <c r="L21" s="17">
        <f>INDEX(Items!$C$2:$C$117,MATCH(B21,Items!$A$2:$A$117,0))</f>
        <v/>
      </c>
      <c r="M21" s="49">
        <f>INDEX(Items!$E$2:$E$117,MATCH(B21,Items!$A$2:$A$117,0))</f>
        <v/>
      </c>
      <c r="N21" s="17">
        <f>TEXT(D21,"yyyy-mm")</f>
        <v/>
      </c>
      <c r="O21" s="50">
        <f>G21*J21</f>
        <v/>
      </c>
      <c r="P21" s="50">
        <f>(J21-M21)*G21</f>
        <v/>
      </c>
      <c r="Q21" s="51">
        <f>IF(K21="Received",1,0)</f>
        <v/>
      </c>
      <c r="R21" s="51">
        <f>IF(Q21=1,F21-D21,0)</f>
        <v/>
      </c>
      <c r="S21" s="51">
        <f>IF(Q21=1,IF(F21&lt;=E21,1,0),0)</f>
        <v/>
      </c>
      <c r="T21" s="51">
        <f>IF(Q21=1,IF(H21&gt;=G21,1,0),0)</f>
        <v/>
      </c>
      <c r="U21" s="51">
        <f>S21*T21</f>
        <v/>
      </c>
      <c r="V21" s="51">
        <f>IF(Q21=1,MAX(0,F21-E21),0)</f>
        <v/>
      </c>
    </row>
    <row r="22">
      <c r="A22" s="43" t="inlineStr">
        <is>
          <t>PO100640</t>
        </is>
      </c>
      <c r="B22" s="43" t="inlineStr">
        <is>
          <t>CMD-0029</t>
        </is>
      </c>
      <c r="C22" s="43" t="inlineStr">
        <is>
          <t>S11</t>
        </is>
      </c>
      <c r="D22" s="47" t="n">
        <v>45567</v>
      </c>
      <c r="E22" s="47" t="n">
        <v>45644</v>
      </c>
      <c r="F22" s="47" t="n">
        <v>45644</v>
      </c>
      <c r="G22" s="46" t="n">
        <v>4088</v>
      </c>
      <c r="H22" s="46" t="n">
        <v>4088</v>
      </c>
      <c r="I22" s="46" t="n">
        <v>7</v>
      </c>
      <c r="J22" s="44" t="n">
        <v>6.87</v>
      </c>
      <c r="K22" s="43" t="inlineStr">
        <is>
          <t>Received</t>
        </is>
      </c>
      <c r="L22" s="17">
        <f>INDEX(Items!$C$2:$C$117,MATCH(B22,Items!$A$2:$A$117,0))</f>
        <v/>
      </c>
      <c r="M22" s="49">
        <f>INDEX(Items!$E$2:$E$117,MATCH(B22,Items!$A$2:$A$117,0))</f>
        <v/>
      </c>
      <c r="N22" s="17">
        <f>TEXT(D22,"yyyy-mm")</f>
        <v/>
      </c>
      <c r="O22" s="50">
        <f>G22*J22</f>
        <v/>
      </c>
      <c r="P22" s="50">
        <f>(J22-M22)*G22</f>
        <v/>
      </c>
      <c r="Q22" s="51">
        <f>IF(K22="Received",1,0)</f>
        <v/>
      </c>
      <c r="R22" s="51">
        <f>IF(Q22=1,F22-D22,0)</f>
        <v/>
      </c>
      <c r="S22" s="51">
        <f>IF(Q22=1,IF(F22&lt;=E22,1,0),0)</f>
        <v/>
      </c>
      <c r="T22" s="51">
        <f>IF(Q22=1,IF(H22&gt;=G22,1,0),0)</f>
        <v/>
      </c>
      <c r="U22" s="51">
        <f>S22*T22</f>
        <v/>
      </c>
      <c r="V22" s="51">
        <f>IF(Q22=1,MAX(0,F22-E22),0)</f>
        <v/>
      </c>
    </row>
    <row r="23">
      <c r="A23" s="43" t="inlineStr">
        <is>
          <t>PO101392</t>
        </is>
      </c>
      <c r="B23" s="43" t="inlineStr">
        <is>
          <t>CMD-0073</t>
        </is>
      </c>
      <c r="C23" s="43" t="inlineStr">
        <is>
          <t>S04</t>
        </is>
      </c>
      <c r="D23" s="47" t="n">
        <v>45567</v>
      </c>
      <c r="E23" s="47" t="n">
        <v>45602</v>
      </c>
      <c r="F23" s="47" t="n">
        <v>45602</v>
      </c>
      <c r="G23" s="46" t="n">
        <v>415572</v>
      </c>
      <c r="H23" s="46" t="n">
        <v>415572</v>
      </c>
      <c r="I23" s="46" t="n">
        <v>4173</v>
      </c>
      <c r="J23" s="44" t="n">
        <v>0.0146</v>
      </c>
      <c r="K23" s="43" t="inlineStr">
        <is>
          <t>Received</t>
        </is>
      </c>
      <c r="L23" s="17">
        <f>INDEX(Items!$C$2:$C$117,MATCH(B23,Items!$A$2:$A$117,0))</f>
        <v/>
      </c>
      <c r="M23" s="49">
        <f>INDEX(Items!$E$2:$E$117,MATCH(B23,Items!$A$2:$A$117,0))</f>
        <v/>
      </c>
      <c r="N23" s="17">
        <f>TEXT(D23,"yyyy-mm")</f>
        <v/>
      </c>
      <c r="O23" s="50">
        <f>G23*J23</f>
        <v/>
      </c>
      <c r="P23" s="50">
        <f>(J23-M23)*G23</f>
        <v/>
      </c>
      <c r="Q23" s="51">
        <f>IF(K23="Received",1,0)</f>
        <v/>
      </c>
      <c r="R23" s="51">
        <f>IF(Q23=1,F23-D23,0)</f>
        <v/>
      </c>
      <c r="S23" s="51">
        <f>IF(Q23=1,IF(F23&lt;=E23,1,0),0)</f>
        <v/>
      </c>
      <c r="T23" s="51">
        <f>IF(Q23=1,IF(H23&gt;=G23,1,0),0)</f>
        <v/>
      </c>
      <c r="U23" s="51">
        <f>S23*T23</f>
        <v/>
      </c>
      <c r="V23" s="51">
        <f>IF(Q23=1,MAX(0,F23-E23),0)</f>
        <v/>
      </c>
    </row>
    <row r="24">
      <c r="A24" s="43" t="inlineStr">
        <is>
          <t>PO100364</t>
        </is>
      </c>
      <c r="B24" s="43" t="inlineStr">
        <is>
          <t>CMD-0017</t>
        </is>
      </c>
      <c r="C24" s="43" t="inlineStr">
        <is>
          <t>S11</t>
        </is>
      </c>
      <c r="D24" s="47" t="n">
        <v>45567</v>
      </c>
      <c r="E24" s="47" t="n">
        <v>45644</v>
      </c>
      <c r="F24" s="47" t="n">
        <v>45642</v>
      </c>
      <c r="G24" s="46" t="n">
        <v>6014</v>
      </c>
      <c r="H24" s="46" t="n">
        <v>6014</v>
      </c>
      <c r="I24" s="46" t="n">
        <v>7</v>
      </c>
      <c r="J24" s="44" t="n">
        <v>12.69</v>
      </c>
      <c r="K24" s="43" t="inlineStr">
        <is>
          <t>Received</t>
        </is>
      </c>
      <c r="L24" s="17">
        <f>INDEX(Items!$C$2:$C$117,MATCH(B24,Items!$A$2:$A$117,0))</f>
        <v/>
      </c>
      <c r="M24" s="49">
        <f>INDEX(Items!$E$2:$E$117,MATCH(B24,Items!$A$2:$A$117,0))</f>
        <v/>
      </c>
      <c r="N24" s="17">
        <f>TEXT(D24,"yyyy-mm")</f>
        <v/>
      </c>
      <c r="O24" s="50">
        <f>G24*J24</f>
        <v/>
      </c>
      <c r="P24" s="50">
        <f>(J24-M24)*G24</f>
        <v/>
      </c>
      <c r="Q24" s="51">
        <f>IF(K24="Received",1,0)</f>
        <v/>
      </c>
      <c r="R24" s="51">
        <f>IF(Q24=1,F24-D24,0)</f>
        <v/>
      </c>
      <c r="S24" s="51">
        <f>IF(Q24=1,IF(F24&lt;=E24,1,0),0)</f>
        <v/>
      </c>
      <c r="T24" s="51">
        <f>IF(Q24=1,IF(H24&gt;=G24,1,0),0)</f>
        <v/>
      </c>
      <c r="U24" s="51">
        <f>S24*T24</f>
        <v/>
      </c>
      <c r="V24" s="51">
        <f>IF(Q24=1,MAX(0,F24-E24),0)</f>
        <v/>
      </c>
    </row>
    <row r="25">
      <c r="A25" s="43" t="inlineStr">
        <is>
          <t>PO101362</t>
        </is>
      </c>
      <c r="B25" s="43" t="inlineStr">
        <is>
          <t>CMD-0069</t>
        </is>
      </c>
      <c r="C25" s="43" t="inlineStr">
        <is>
          <t>S04</t>
        </is>
      </c>
      <c r="D25" s="47" t="n">
        <v>45567</v>
      </c>
      <c r="E25" s="47" t="n">
        <v>45602</v>
      </c>
      <c r="F25" s="47" t="n">
        <v>45602</v>
      </c>
      <c r="G25" s="46" t="n">
        <v>61959</v>
      </c>
      <c r="H25" s="46" t="n">
        <v>40060</v>
      </c>
      <c r="I25" s="46" t="n">
        <v>410</v>
      </c>
      <c r="J25" s="44" t="n">
        <v>0.0222</v>
      </c>
      <c r="K25" s="43" t="inlineStr">
        <is>
          <t>Received</t>
        </is>
      </c>
      <c r="L25" s="17">
        <f>INDEX(Items!$C$2:$C$117,MATCH(B25,Items!$A$2:$A$117,0))</f>
        <v/>
      </c>
      <c r="M25" s="49">
        <f>INDEX(Items!$E$2:$E$117,MATCH(B25,Items!$A$2:$A$117,0))</f>
        <v/>
      </c>
      <c r="N25" s="17">
        <f>TEXT(D25,"yyyy-mm")</f>
        <v/>
      </c>
      <c r="O25" s="50">
        <f>G25*J25</f>
        <v/>
      </c>
      <c r="P25" s="50">
        <f>(J25-M25)*G25</f>
        <v/>
      </c>
      <c r="Q25" s="51">
        <f>IF(K25="Received",1,0)</f>
        <v/>
      </c>
      <c r="R25" s="51">
        <f>IF(Q25=1,F25-D25,0)</f>
        <v/>
      </c>
      <c r="S25" s="51">
        <f>IF(Q25=1,IF(F25&lt;=E25,1,0),0)</f>
        <v/>
      </c>
      <c r="T25" s="51">
        <f>IF(Q25=1,IF(H25&gt;=G25,1,0),0)</f>
        <v/>
      </c>
      <c r="U25" s="51">
        <f>S25*T25</f>
        <v/>
      </c>
      <c r="V25" s="51">
        <f>IF(Q25=1,MAX(0,F25-E25),0)</f>
        <v/>
      </c>
    </row>
    <row r="26">
      <c r="A26" s="43" t="inlineStr">
        <is>
          <t>PO100592</t>
        </is>
      </c>
      <c r="B26" s="43" t="inlineStr">
        <is>
          <t>CMD-0027</t>
        </is>
      </c>
      <c r="C26" s="43" t="inlineStr">
        <is>
          <t>S04</t>
        </is>
      </c>
      <c r="D26" s="47" t="n">
        <v>45567</v>
      </c>
      <c r="E26" s="47" t="n">
        <v>45637</v>
      </c>
      <c r="F26" s="47" t="n">
        <v>45639</v>
      </c>
      <c r="G26" s="46" t="n">
        <v>8252</v>
      </c>
      <c r="H26" s="46" t="n">
        <v>8252</v>
      </c>
      <c r="I26" s="46" t="n">
        <v>71</v>
      </c>
      <c r="J26" s="44" t="n">
        <v>8.85</v>
      </c>
      <c r="K26" s="43" t="inlineStr">
        <is>
          <t>Received</t>
        </is>
      </c>
      <c r="L26" s="17">
        <f>INDEX(Items!$C$2:$C$117,MATCH(B26,Items!$A$2:$A$117,0))</f>
        <v/>
      </c>
      <c r="M26" s="49">
        <f>INDEX(Items!$E$2:$E$117,MATCH(B26,Items!$A$2:$A$117,0))</f>
        <v/>
      </c>
      <c r="N26" s="17">
        <f>TEXT(D26,"yyyy-mm")</f>
        <v/>
      </c>
      <c r="O26" s="50">
        <f>G26*J26</f>
        <v/>
      </c>
      <c r="P26" s="50">
        <f>(J26-M26)*G26</f>
        <v/>
      </c>
      <c r="Q26" s="51">
        <f>IF(K26="Received",1,0)</f>
        <v/>
      </c>
      <c r="R26" s="51">
        <f>IF(Q26=1,F26-D26,0)</f>
        <v/>
      </c>
      <c r="S26" s="51">
        <f>IF(Q26=1,IF(F26&lt;=E26,1,0),0)</f>
        <v/>
      </c>
      <c r="T26" s="51">
        <f>IF(Q26=1,IF(H26&gt;=G26,1,0),0)</f>
        <v/>
      </c>
      <c r="U26" s="51">
        <f>S26*T26</f>
        <v/>
      </c>
      <c r="V26" s="51">
        <f>IF(Q26=1,MAX(0,F26-E26),0)</f>
        <v/>
      </c>
    </row>
    <row r="27">
      <c r="A27" s="43" t="inlineStr">
        <is>
          <t>PO101560</t>
        </is>
      </c>
      <c r="B27" s="43" t="inlineStr">
        <is>
          <t>CMD-0084</t>
        </is>
      </c>
      <c r="C27" s="43" t="inlineStr">
        <is>
          <t>S06</t>
        </is>
      </c>
      <c r="D27" s="47" t="n">
        <v>45567</v>
      </c>
      <c r="E27" s="47" t="n">
        <v>45588</v>
      </c>
      <c r="F27" s="47" t="n">
        <v>45585</v>
      </c>
      <c r="G27" s="46" t="n">
        <v>3555</v>
      </c>
      <c r="H27" s="46" t="n">
        <v>3555</v>
      </c>
      <c r="I27" s="46" t="n">
        <v>15</v>
      </c>
      <c r="J27" s="44" t="n">
        <v>1.15</v>
      </c>
      <c r="K27" s="43" t="inlineStr">
        <is>
          <t>Received</t>
        </is>
      </c>
      <c r="L27" s="17">
        <f>INDEX(Items!$C$2:$C$117,MATCH(B27,Items!$A$2:$A$117,0))</f>
        <v/>
      </c>
      <c r="M27" s="49">
        <f>INDEX(Items!$E$2:$E$117,MATCH(B27,Items!$A$2:$A$117,0))</f>
        <v/>
      </c>
      <c r="N27" s="17">
        <f>TEXT(D27,"yyyy-mm")</f>
        <v/>
      </c>
      <c r="O27" s="50">
        <f>G27*J27</f>
        <v/>
      </c>
      <c r="P27" s="50">
        <f>(J27-M27)*G27</f>
        <v/>
      </c>
      <c r="Q27" s="51">
        <f>IF(K27="Received",1,0)</f>
        <v/>
      </c>
      <c r="R27" s="51">
        <f>IF(Q27=1,F27-D27,0)</f>
        <v/>
      </c>
      <c r="S27" s="51">
        <f>IF(Q27=1,IF(F27&lt;=E27,1,0),0)</f>
        <v/>
      </c>
      <c r="T27" s="51">
        <f>IF(Q27=1,IF(H27&gt;=G27,1,0),0)</f>
        <v/>
      </c>
      <c r="U27" s="51">
        <f>S27*T27</f>
        <v/>
      </c>
      <c r="V27" s="51">
        <f>IF(Q27=1,MAX(0,F27-E27),0)</f>
        <v/>
      </c>
    </row>
    <row r="28">
      <c r="A28" s="43" t="inlineStr">
        <is>
          <t>PO100216</t>
        </is>
      </c>
      <c r="B28" s="43" t="inlineStr">
        <is>
          <t>CMD-0010</t>
        </is>
      </c>
      <c r="C28" s="43" t="inlineStr">
        <is>
          <t>S03</t>
        </is>
      </c>
      <c r="D28" s="47" t="n">
        <v>45568</v>
      </c>
      <c r="E28" s="47" t="n">
        <v>45701</v>
      </c>
      <c r="F28" s="47" t="n">
        <v>45717</v>
      </c>
      <c r="G28" s="46" t="n">
        <v>4394</v>
      </c>
      <c r="H28" s="46" t="n">
        <v>4394</v>
      </c>
      <c r="I28" s="46" t="n">
        <v>19</v>
      </c>
      <c r="J28" s="44" t="n">
        <v>4.63</v>
      </c>
      <c r="K28" s="43" t="inlineStr">
        <is>
          <t>Received</t>
        </is>
      </c>
      <c r="L28" s="17">
        <f>INDEX(Items!$C$2:$C$117,MATCH(B28,Items!$A$2:$A$117,0))</f>
        <v/>
      </c>
      <c r="M28" s="49">
        <f>INDEX(Items!$E$2:$E$117,MATCH(B28,Items!$A$2:$A$117,0))</f>
        <v/>
      </c>
      <c r="N28" s="17">
        <f>TEXT(D28,"yyyy-mm")</f>
        <v/>
      </c>
      <c r="O28" s="50">
        <f>G28*J28</f>
        <v/>
      </c>
      <c r="P28" s="50">
        <f>(J28-M28)*G28</f>
        <v/>
      </c>
      <c r="Q28" s="51">
        <f>IF(K28="Received",1,0)</f>
        <v/>
      </c>
      <c r="R28" s="51">
        <f>IF(Q28=1,F28-D28,0)</f>
        <v/>
      </c>
      <c r="S28" s="51">
        <f>IF(Q28=1,IF(F28&lt;=E28,1,0),0)</f>
        <v/>
      </c>
      <c r="T28" s="51">
        <f>IF(Q28=1,IF(H28&gt;=G28,1,0),0)</f>
        <v/>
      </c>
      <c r="U28" s="51">
        <f>S28*T28</f>
        <v/>
      </c>
      <c r="V28" s="51">
        <f>IF(Q28=1,MAX(0,F28-E28),0)</f>
        <v/>
      </c>
    </row>
    <row r="29">
      <c r="A29" s="43" t="inlineStr">
        <is>
          <t>PO101480</t>
        </is>
      </c>
      <c r="B29" s="43" t="inlineStr">
        <is>
          <t>CMD-0079</t>
        </is>
      </c>
      <c r="C29" s="43" t="inlineStr">
        <is>
          <t>S06</t>
        </is>
      </c>
      <c r="D29" s="47" t="n">
        <v>45568</v>
      </c>
      <c r="E29" s="47" t="n">
        <v>45589</v>
      </c>
      <c r="F29" s="47" t="n">
        <v>45587</v>
      </c>
      <c r="G29" s="46" t="n">
        <v>1925</v>
      </c>
      <c r="H29" s="46" t="n">
        <v>1925</v>
      </c>
      <c r="I29" s="46" t="n">
        <v>14</v>
      </c>
      <c r="J29" s="44" t="n">
        <v>3.53</v>
      </c>
      <c r="K29" s="43" t="inlineStr">
        <is>
          <t>Received</t>
        </is>
      </c>
      <c r="L29" s="17">
        <f>INDEX(Items!$C$2:$C$117,MATCH(B29,Items!$A$2:$A$117,0))</f>
        <v/>
      </c>
      <c r="M29" s="49">
        <f>INDEX(Items!$E$2:$E$117,MATCH(B29,Items!$A$2:$A$117,0))</f>
        <v/>
      </c>
      <c r="N29" s="17">
        <f>TEXT(D29,"yyyy-mm")</f>
        <v/>
      </c>
      <c r="O29" s="50">
        <f>G29*J29</f>
        <v/>
      </c>
      <c r="P29" s="50">
        <f>(J29-M29)*G29</f>
        <v/>
      </c>
      <c r="Q29" s="51">
        <f>IF(K29="Received",1,0)</f>
        <v/>
      </c>
      <c r="R29" s="51">
        <f>IF(Q29=1,F29-D29,0)</f>
        <v/>
      </c>
      <c r="S29" s="51">
        <f>IF(Q29=1,IF(F29&lt;=E29,1,0),0)</f>
        <v/>
      </c>
      <c r="T29" s="51">
        <f>IF(Q29=1,IF(H29&gt;=G29,1,0),0)</f>
        <v/>
      </c>
      <c r="U29" s="51">
        <f>S29*T29</f>
        <v/>
      </c>
      <c r="V29" s="51">
        <f>IF(Q29=1,MAX(0,F29-E29),0)</f>
        <v/>
      </c>
    </row>
    <row r="30">
      <c r="A30" s="43" t="inlineStr">
        <is>
          <t>PO101528</t>
        </is>
      </c>
      <c r="B30" s="43" t="inlineStr">
        <is>
          <t>CMD-0081</t>
        </is>
      </c>
      <c r="C30" s="43" t="inlineStr">
        <is>
          <t>S06</t>
        </is>
      </c>
      <c r="D30" s="47" t="n">
        <v>45568</v>
      </c>
      <c r="E30" s="47" t="n">
        <v>45589</v>
      </c>
      <c r="F30" s="47" t="n">
        <v>45587</v>
      </c>
      <c r="G30" s="46" t="n">
        <v>2996</v>
      </c>
      <c r="H30" s="46" t="n">
        <v>2996</v>
      </c>
      <c r="I30" s="46" t="n">
        <v>26</v>
      </c>
      <c r="J30" s="44" t="n">
        <v>0.5907</v>
      </c>
      <c r="K30" s="43" t="inlineStr">
        <is>
          <t>Received</t>
        </is>
      </c>
      <c r="L30" s="17">
        <f>INDEX(Items!$C$2:$C$117,MATCH(B30,Items!$A$2:$A$117,0))</f>
        <v/>
      </c>
      <c r="M30" s="49">
        <f>INDEX(Items!$E$2:$E$117,MATCH(B30,Items!$A$2:$A$117,0))</f>
        <v/>
      </c>
      <c r="N30" s="17">
        <f>TEXT(D30,"yyyy-mm")</f>
        <v/>
      </c>
      <c r="O30" s="50">
        <f>G30*J30</f>
        <v/>
      </c>
      <c r="P30" s="50">
        <f>(J30-M30)*G30</f>
        <v/>
      </c>
      <c r="Q30" s="51">
        <f>IF(K30="Received",1,0)</f>
        <v/>
      </c>
      <c r="R30" s="51">
        <f>IF(Q30=1,F30-D30,0)</f>
        <v/>
      </c>
      <c r="S30" s="51">
        <f>IF(Q30=1,IF(F30&lt;=E30,1,0),0)</f>
        <v/>
      </c>
      <c r="T30" s="51">
        <f>IF(Q30=1,IF(H30&gt;=G30,1,0),0)</f>
        <v/>
      </c>
      <c r="U30" s="51">
        <f>S30*T30</f>
        <v/>
      </c>
      <c r="V30" s="51">
        <f>IF(Q30=1,MAX(0,F30-E30),0)</f>
        <v/>
      </c>
    </row>
    <row r="31">
      <c r="A31" s="43" t="inlineStr">
        <is>
          <t>PO101082</t>
        </is>
      </c>
      <c r="B31" s="43" t="inlineStr">
        <is>
          <t>CMD-0050</t>
        </is>
      </c>
      <c r="C31" s="43" t="inlineStr">
        <is>
          <t>S10</t>
        </is>
      </c>
      <c r="D31" s="47" t="n">
        <v>45568</v>
      </c>
      <c r="E31" s="47" t="n">
        <v>45596</v>
      </c>
      <c r="F31" s="47" t="n">
        <v>45594</v>
      </c>
      <c r="G31" s="46" t="n">
        <v>80391</v>
      </c>
      <c r="H31" s="46" t="n">
        <v>80391</v>
      </c>
      <c r="I31" s="46" t="n">
        <v>90</v>
      </c>
      <c r="J31" s="44" t="n">
        <v>0.075</v>
      </c>
      <c r="K31" s="43" t="inlineStr">
        <is>
          <t>Received</t>
        </is>
      </c>
      <c r="L31" s="17">
        <f>INDEX(Items!$C$2:$C$117,MATCH(B31,Items!$A$2:$A$117,0))</f>
        <v/>
      </c>
      <c r="M31" s="49">
        <f>INDEX(Items!$E$2:$E$117,MATCH(B31,Items!$A$2:$A$117,0))</f>
        <v/>
      </c>
      <c r="N31" s="17">
        <f>TEXT(D31,"yyyy-mm")</f>
        <v/>
      </c>
      <c r="O31" s="50">
        <f>G31*J31</f>
        <v/>
      </c>
      <c r="P31" s="50">
        <f>(J31-M31)*G31</f>
        <v/>
      </c>
      <c r="Q31" s="51">
        <f>IF(K31="Received",1,0)</f>
        <v/>
      </c>
      <c r="R31" s="51">
        <f>IF(Q31=1,F31-D31,0)</f>
        <v/>
      </c>
      <c r="S31" s="51">
        <f>IF(Q31=1,IF(F31&lt;=E31,1,0),0)</f>
        <v/>
      </c>
      <c r="T31" s="51">
        <f>IF(Q31=1,IF(H31&gt;=G31,1,0),0)</f>
        <v/>
      </c>
      <c r="U31" s="51">
        <f>S31*T31</f>
        <v/>
      </c>
      <c r="V31" s="51">
        <f>IF(Q31=1,MAX(0,F31-E31),0)</f>
        <v/>
      </c>
    </row>
    <row r="32">
      <c r="A32" s="43" t="inlineStr">
        <is>
          <t>PO101786</t>
        </is>
      </c>
      <c r="B32" s="43" t="inlineStr">
        <is>
          <t>CMD-0097</t>
        </is>
      </c>
      <c r="C32" s="43" t="inlineStr">
        <is>
          <t>S09</t>
        </is>
      </c>
      <c r="D32" s="47" t="n">
        <v>45568</v>
      </c>
      <c r="E32" s="47" t="n">
        <v>45589</v>
      </c>
      <c r="F32" s="47" t="n">
        <v>45588</v>
      </c>
      <c r="G32" s="46" t="n">
        <v>600</v>
      </c>
      <c r="H32" s="46" t="n">
        <v>600</v>
      </c>
      <c r="I32" s="46" t="n">
        <v>2</v>
      </c>
      <c r="J32" s="44" t="n">
        <v>9.27</v>
      </c>
      <c r="K32" s="43" t="inlineStr">
        <is>
          <t>Received</t>
        </is>
      </c>
      <c r="L32" s="17">
        <f>INDEX(Items!$C$2:$C$117,MATCH(B32,Items!$A$2:$A$117,0))</f>
        <v/>
      </c>
      <c r="M32" s="49">
        <f>INDEX(Items!$E$2:$E$117,MATCH(B32,Items!$A$2:$A$117,0))</f>
        <v/>
      </c>
      <c r="N32" s="17">
        <f>TEXT(D32,"yyyy-mm")</f>
        <v/>
      </c>
      <c r="O32" s="50">
        <f>G32*J32</f>
        <v/>
      </c>
      <c r="P32" s="50">
        <f>(J32-M32)*G32</f>
        <v/>
      </c>
      <c r="Q32" s="51">
        <f>IF(K32="Received",1,0)</f>
        <v/>
      </c>
      <c r="R32" s="51">
        <f>IF(Q32=1,F32-D32,0)</f>
        <v/>
      </c>
      <c r="S32" s="51">
        <f>IF(Q32=1,IF(F32&lt;=E32,1,0),0)</f>
        <v/>
      </c>
      <c r="T32" s="51">
        <f>IF(Q32=1,IF(H32&gt;=G32,1,0),0)</f>
        <v/>
      </c>
      <c r="U32" s="51">
        <f>S32*T32</f>
        <v/>
      </c>
      <c r="V32" s="51">
        <f>IF(Q32=1,MAX(0,F32-E32),0)</f>
        <v/>
      </c>
    </row>
    <row r="33">
      <c r="A33" s="43" t="inlineStr">
        <is>
          <t>PO101052</t>
        </is>
      </c>
      <c r="B33" s="43" t="inlineStr">
        <is>
          <t>CMD-0048</t>
        </is>
      </c>
      <c r="C33" s="43" t="inlineStr">
        <is>
          <t>S10</t>
        </is>
      </c>
      <c r="D33" s="47" t="n">
        <v>45568</v>
      </c>
      <c r="E33" s="47" t="n">
        <v>45596</v>
      </c>
      <c r="F33" s="47" t="n">
        <v>45593</v>
      </c>
      <c r="G33" s="46" t="n">
        <v>18168</v>
      </c>
      <c r="H33" s="46" t="n">
        <v>18168</v>
      </c>
      <c r="I33" s="46" t="n">
        <v>20</v>
      </c>
      <c r="J33" s="44" t="n">
        <v>0.3231</v>
      </c>
      <c r="K33" s="43" t="inlineStr">
        <is>
          <t>Received</t>
        </is>
      </c>
      <c r="L33" s="17">
        <f>INDEX(Items!$C$2:$C$117,MATCH(B33,Items!$A$2:$A$117,0))</f>
        <v/>
      </c>
      <c r="M33" s="49">
        <f>INDEX(Items!$E$2:$E$117,MATCH(B33,Items!$A$2:$A$117,0))</f>
        <v/>
      </c>
      <c r="N33" s="17">
        <f>TEXT(D33,"yyyy-mm")</f>
        <v/>
      </c>
      <c r="O33" s="50">
        <f>G33*J33</f>
        <v/>
      </c>
      <c r="P33" s="50">
        <f>(J33-M33)*G33</f>
        <v/>
      </c>
      <c r="Q33" s="51">
        <f>IF(K33="Received",1,0)</f>
        <v/>
      </c>
      <c r="R33" s="51">
        <f>IF(Q33=1,F33-D33,0)</f>
        <v/>
      </c>
      <c r="S33" s="51">
        <f>IF(Q33=1,IF(F33&lt;=E33,1,0),0)</f>
        <v/>
      </c>
      <c r="T33" s="51">
        <f>IF(Q33=1,IF(H33&gt;=G33,1,0),0)</f>
        <v/>
      </c>
      <c r="U33" s="51">
        <f>S33*T33</f>
        <v/>
      </c>
      <c r="V33" s="51">
        <f>IF(Q33=1,MAX(0,F33-E33),0)</f>
        <v/>
      </c>
    </row>
    <row r="34">
      <c r="A34" s="43" t="inlineStr">
        <is>
          <t>PO101990</t>
        </is>
      </c>
      <c r="B34" s="43" t="inlineStr">
        <is>
          <t>CMD-0111</t>
        </is>
      </c>
      <c r="C34" s="43" t="inlineStr">
        <is>
          <t>S12</t>
        </is>
      </c>
      <c r="D34" s="47" t="n">
        <v>45568</v>
      </c>
      <c r="E34" s="47" t="n">
        <v>45575</v>
      </c>
      <c r="F34" s="47" t="n">
        <v>45572</v>
      </c>
      <c r="G34" s="46" t="n">
        <v>5175</v>
      </c>
      <c r="H34" s="46" t="n">
        <v>5175</v>
      </c>
      <c r="I34" s="46" t="n">
        <v>6</v>
      </c>
      <c r="J34" s="44" t="n">
        <v>0.2926</v>
      </c>
      <c r="K34" s="43" t="inlineStr">
        <is>
          <t>Received</t>
        </is>
      </c>
      <c r="L34" s="17">
        <f>INDEX(Items!$C$2:$C$117,MATCH(B34,Items!$A$2:$A$117,0))</f>
        <v/>
      </c>
      <c r="M34" s="49">
        <f>INDEX(Items!$E$2:$E$117,MATCH(B34,Items!$A$2:$A$117,0))</f>
        <v/>
      </c>
      <c r="N34" s="17">
        <f>TEXT(D34,"yyyy-mm")</f>
        <v/>
      </c>
      <c r="O34" s="50">
        <f>G34*J34</f>
        <v/>
      </c>
      <c r="P34" s="50">
        <f>(J34-M34)*G34</f>
        <v/>
      </c>
      <c r="Q34" s="51">
        <f>IF(K34="Received",1,0)</f>
        <v/>
      </c>
      <c r="R34" s="51">
        <f>IF(Q34=1,F34-D34,0)</f>
        <v/>
      </c>
      <c r="S34" s="51">
        <f>IF(Q34=1,IF(F34&lt;=E34,1,0),0)</f>
        <v/>
      </c>
      <c r="T34" s="51">
        <f>IF(Q34=1,IF(H34&gt;=G34,1,0),0)</f>
        <v/>
      </c>
      <c r="U34" s="51">
        <f>S34*T34</f>
        <v/>
      </c>
      <c r="V34" s="51">
        <f>IF(Q34=1,MAX(0,F34-E34),0)</f>
        <v/>
      </c>
    </row>
    <row r="35">
      <c r="A35" s="43" t="inlineStr">
        <is>
          <t>PO101994</t>
        </is>
      </c>
      <c r="B35" s="43" t="inlineStr">
        <is>
          <t>CMD-0112</t>
        </is>
      </c>
      <c r="C35" s="43" t="inlineStr">
        <is>
          <t>S12</t>
        </is>
      </c>
      <c r="D35" s="47" t="n">
        <v>45568</v>
      </c>
      <c r="E35" s="47" t="n">
        <v>45575</v>
      </c>
      <c r="F35" s="47" t="n">
        <v>45574</v>
      </c>
      <c r="G35" s="46" t="n">
        <v>2614</v>
      </c>
      <c r="H35" s="46" t="n">
        <v>2614</v>
      </c>
      <c r="I35" s="46" t="n">
        <v>5</v>
      </c>
      <c r="J35" s="44" t="n">
        <v>2.39</v>
      </c>
      <c r="K35" s="43" t="inlineStr">
        <is>
          <t>Received</t>
        </is>
      </c>
      <c r="L35" s="17">
        <f>INDEX(Items!$C$2:$C$117,MATCH(B35,Items!$A$2:$A$117,0))</f>
        <v/>
      </c>
      <c r="M35" s="49">
        <f>INDEX(Items!$E$2:$E$117,MATCH(B35,Items!$A$2:$A$117,0))</f>
        <v/>
      </c>
      <c r="N35" s="17">
        <f>TEXT(D35,"yyyy-mm")</f>
        <v/>
      </c>
      <c r="O35" s="50">
        <f>G35*J35</f>
        <v/>
      </c>
      <c r="P35" s="50">
        <f>(J35-M35)*G35</f>
        <v/>
      </c>
      <c r="Q35" s="51">
        <f>IF(K35="Received",1,0)</f>
        <v/>
      </c>
      <c r="R35" s="51">
        <f>IF(Q35=1,F35-D35,0)</f>
        <v/>
      </c>
      <c r="S35" s="51">
        <f>IF(Q35=1,IF(F35&lt;=E35,1,0),0)</f>
        <v/>
      </c>
      <c r="T35" s="51">
        <f>IF(Q35=1,IF(H35&gt;=G35,1,0),0)</f>
        <v/>
      </c>
      <c r="U35" s="51">
        <f>S35*T35</f>
        <v/>
      </c>
      <c r="V35" s="51">
        <f>IF(Q35=1,MAX(0,F35-E35),0)</f>
        <v/>
      </c>
    </row>
    <row r="36">
      <c r="A36" s="43" t="inlineStr">
        <is>
          <t>PO100544</t>
        </is>
      </c>
      <c r="B36" s="43" t="inlineStr">
        <is>
          <t>CMD-0025</t>
        </is>
      </c>
      <c r="C36" s="43" t="inlineStr">
        <is>
          <t>S02</t>
        </is>
      </c>
      <c r="D36" s="47" t="n">
        <v>45568</v>
      </c>
      <c r="E36" s="47" t="n">
        <v>45624</v>
      </c>
      <c r="F36" s="47" t="n">
        <v>45621</v>
      </c>
      <c r="G36" s="46" t="n">
        <v>1202</v>
      </c>
      <c r="H36" s="46" t="n">
        <v>1202</v>
      </c>
      <c r="I36" s="46" t="n">
        <v>7</v>
      </c>
      <c r="J36" s="44" t="n">
        <v>10.52</v>
      </c>
      <c r="K36" s="43" t="inlineStr">
        <is>
          <t>Received</t>
        </is>
      </c>
      <c r="L36" s="17">
        <f>INDEX(Items!$C$2:$C$117,MATCH(B36,Items!$A$2:$A$117,0))</f>
        <v/>
      </c>
      <c r="M36" s="49">
        <f>INDEX(Items!$E$2:$E$117,MATCH(B36,Items!$A$2:$A$117,0))</f>
        <v/>
      </c>
      <c r="N36" s="17">
        <f>TEXT(D36,"yyyy-mm")</f>
        <v/>
      </c>
      <c r="O36" s="50">
        <f>G36*J36</f>
        <v/>
      </c>
      <c r="P36" s="50">
        <f>(J36-M36)*G36</f>
        <v/>
      </c>
      <c r="Q36" s="51">
        <f>IF(K36="Received",1,0)</f>
        <v/>
      </c>
      <c r="R36" s="51">
        <f>IF(Q36=1,F36-D36,0)</f>
        <v/>
      </c>
      <c r="S36" s="51">
        <f>IF(Q36=1,IF(F36&lt;=E36,1,0),0)</f>
        <v/>
      </c>
      <c r="T36" s="51">
        <f>IF(Q36=1,IF(H36&gt;=G36,1,0),0)</f>
        <v/>
      </c>
      <c r="U36" s="51">
        <f>S36*T36</f>
        <v/>
      </c>
      <c r="V36" s="51">
        <f>IF(Q36=1,MAX(0,F36-E36),0)</f>
        <v/>
      </c>
    </row>
    <row r="37">
      <c r="A37" s="43" t="inlineStr">
        <is>
          <t>PO101618</t>
        </is>
      </c>
      <c r="B37" s="43" t="inlineStr">
        <is>
          <t>CMD-0090</t>
        </is>
      </c>
      <c r="C37" s="43" t="inlineStr">
        <is>
          <t>S01</t>
        </is>
      </c>
      <c r="D37" s="47" t="n">
        <v>45568</v>
      </c>
      <c r="E37" s="47" t="n">
        <v>45582</v>
      </c>
      <c r="F37" s="47" t="n">
        <v>45580</v>
      </c>
      <c r="G37" s="46" t="n">
        <v>4529</v>
      </c>
      <c r="H37" s="46" t="n">
        <v>4529</v>
      </c>
      <c r="I37" s="46" t="n">
        <v>13</v>
      </c>
      <c r="J37" s="44" t="n">
        <v>6.99</v>
      </c>
      <c r="K37" s="43" t="inlineStr">
        <is>
          <t>Received</t>
        </is>
      </c>
      <c r="L37" s="17">
        <f>INDEX(Items!$C$2:$C$117,MATCH(B37,Items!$A$2:$A$117,0))</f>
        <v/>
      </c>
      <c r="M37" s="49">
        <f>INDEX(Items!$E$2:$E$117,MATCH(B37,Items!$A$2:$A$117,0))</f>
        <v/>
      </c>
      <c r="N37" s="17">
        <f>TEXT(D37,"yyyy-mm")</f>
        <v/>
      </c>
      <c r="O37" s="50">
        <f>G37*J37</f>
        <v/>
      </c>
      <c r="P37" s="50">
        <f>(J37-M37)*G37</f>
        <v/>
      </c>
      <c r="Q37" s="51">
        <f>IF(K37="Received",1,0)</f>
        <v/>
      </c>
      <c r="R37" s="51">
        <f>IF(Q37=1,F37-D37,0)</f>
        <v/>
      </c>
      <c r="S37" s="51">
        <f>IF(Q37=1,IF(F37&lt;=E37,1,0),0)</f>
        <v/>
      </c>
      <c r="T37" s="51">
        <f>IF(Q37=1,IF(H37&gt;=G37,1,0),0)</f>
        <v/>
      </c>
      <c r="U37" s="51">
        <f>S37*T37</f>
        <v/>
      </c>
      <c r="V37" s="51">
        <f>IF(Q37=1,MAX(0,F37-E37),0)</f>
        <v/>
      </c>
    </row>
    <row r="38">
      <c r="A38" s="43" t="inlineStr">
        <is>
          <t>PO101564</t>
        </is>
      </c>
      <c r="B38" s="43" t="inlineStr">
        <is>
          <t>CMD-0085</t>
        </is>
      </c>
      <c r="C38" s="43" t="inlineStr">
        <is>
          <t>S06</t>
        </is>
      </c>
      <c r="D38" s="47" t="n">
        <v>45569</v>
      </c>
      <c r="E38" s="47" t="n">
        <v>45590</v>
      </c>
      <c r="F38" s="47" t="n">
        <v>45589</v>
      </c>
      <c r="G38" s="46" t="n">
        <v>1021</v>
      </c>
      <c r="H38" s="46" t="n">
        <v>1021</v>
      </c>
      <c r="I38" s="46" t="n">
        <v>6</v>
      </c>
      <c r="J38" s="44" t="n">
        <v>10.56</v>
      </c>
      <c r="K38" s="43" t="inlineStr">
        <is>
          <t>Received</t>
        </is>
      </c>
      <c r="L38" s="17">
        <f>INDEX(Items!$C$2:$C$117,MATCH(B38,Items!$A$2:$A$117,0))</f>
        <v/>
      </c>
      <c r="M38" s="49">
        <f>INDEX(Items!$E$2:$E$117,MATCH(B38,Items!$A$2:$A$117,0))</f>
        <v/>
      </c>
      <c r="N38" s="17">
        <f>TEXT(D38,"yyyy-mm")</f>
        <v/>
      </c>
      <c r="O38" s="50">
        <f>G38*J38</f>
        <v/>
      </c>
      <c r="P38" s="50">
        <f>(J38-M38)*G38</f>
        <v/>
      </c>
      <c r="Q38" s="51">
        <f>IF(K38="Received",1,0)</f>
        <v/>
      </c>
      <c r="R38" s="51">
        <f>IF(Q38=1,F38-D38,0)</f>
        <v/>
      </c>
      <c r="S38" s="51">
        <f>IF(Q38=1,IF(F38&lt;=E38,1,0),0)</f>
        <v/>
      </c>
      <c r="T38" s="51">
        <f>IF(Q38=1,IF(H38&gt;=G38,1,0),0)</f>
        <v/>
      </c>
      <c r="U38" s="51">
        <f>S38*T38</f>
        <v/>
      </c>
      <c r="V38" s="51">
        <f>IF(Q38=1,MAX(0,F38-E38),0)</f>
        <v/>
      </c>
    </row>
    <row r="39">
      <c r="A39" s="43" t="inlineStr">
        <is>
          <t>PO101762</t>
        </is>
      </c>
      <c r="B39" s="43" t="inlineStr">
        <is>
          <t>CMD-0096</t>
        </is>
      </c>
      <c r="C39" s="43" t="inlineStr">
        <is>
          <t>S09</t>
        </is>
      </c>
      <c r="D39" s="47" t="n">
        <v>45569</v>
      </c>
      <c r="E39" s="47" t="n">
        <v>45590</v>
      </c>
      <c r="F39" s="47" t="n">
        <v>45589</v>
      </c>
      <c r="G39" s="46" t="n">
        <v>967</v>
      </c>
      <c r="H39" s="46" t="n">
        <v>967</v>
      </c>
      <c r="I39" s="46" t="n">
        <v>9</v>
      </c>
      <c r="J39" s="44" t="n">
        <v>6.42</v>
      </c>
      <c r="K39" s="43" t="inlineStr">
        <is>
          <t>Received</t>
        </is>
      </c>
      <c r="L39" s="17">
        <f>INDEX(Items!$C$2:$C$117,MATCH(B39,Items!$A$2:$A$117,0))</f>
        <v/>
      </c>
      <c r="M39" s="49">
        <f>INDEX(Items!$E$2:$E$117,MATCH(B39,Items!$A$2:$A$117,0))</f>
        <v/>
      </c>
      <c r="N39" s="17">
        <f>TEXT(D39,"yyyy-mm")</f>
        <v/>
      </c>
      <c r="O39" s="50">
        <f>G39*J39</f>
        <v/>
      </c>
      <c r="P39" s="50">
        <f>(J39-M39)*G39</f>
        <v/>
      </c>
      <c r="Q39" s="51">
        <f>IF(K39="Received",1,0)</f>
        <v/>
      </c>
      <c r="R39" s="51">
        <f>IF(Q39=1,F39-D39,0)</f>
        <v/>
      </c>
      <c r="S39" s="51">
        <f>IF(Q39=1,IF(F39&lt;=E39,1,0),0)</f>
        <v/>
      </c>
      <c r="T39" s="51">
        <f>IF(Q39=1,IF(H39&gt;=G39,1,0),0)</f>
        <v/>
      </c>
      <c r="U39" s="51">
        <f>S39*T39</f>
        <v/>
      </c>
      <c r="V39" s="51">
        <f>IF(Q39=1,MAX(0,F39-E39),0)</f>
        <v/>
      </c>
    </row>
    <row r="40">
      <c r="A40" s="43" t="inlineStr">
        <is>
          <t>PO101388</t>
        </is>
      </c>
      <c r="B40" s="43" t="inlineStr">
        <is>
          <t>CMD-0072</t>
        </is>
      </c>
      <c r="C40" s="43" t="inlineStr">
        <is>
          <t>S01</t>
        </is>
      </c>
      <c r="D40" s="47" t="n">
        <v>45569</v>
      </c>
      <c r="E40" s="47" t="n">
        <v>45590</v>
      </c>
      <c r="F40" s="47" t="n">
        <v>45589</v>
      </c>
      <c r="G40" s="46" t="n">
        <v>72608</v>
      </c>
      <c r="H40" s="46" t="n">
        <v>72608</v>
      </c>
      <c r="I40" s="46" t="n">
        <v>152</v>
      </c>
      <c r="J40" s="44" t="n">
        <v>0.093</v>
      </c>
      <c r="K40" s="43" t="inlineStr">
        <is>
          <t>Received</t>
        </is>
      </c>
      <c r="L40" s="17">
        <f>INDEX(Items!$C$2:$C$117,MATCH(B40,Items!$A$2:$A$117,0))</f>
        <v/>
      </c>
      <c r="M40" s="49">
        <f>INDEX(Items!$E$2:$E$117,MATCH(B40,Items!$A$2:$A$117,0))</f>
        <v/>
      </c>
      <c r="N40" s="17">
        <f>TEXT(D40,"yyyy-mm")</f>
        <v/>
      </c>
      <c r="O40" s="50">
        <f>G40*J40</f>
        <v/>
      </c>
      <c r="P40" s="50">
        <f>(J40-M40)*G40</f>
        <v/>
      </c>
      <c r="Q40" s="51">
        <f>IF(K40="Received",1,0)</f>
        <v/>
      </c>
      <c r="R40" s="51">
        <f>IF(Q40=1,F40-D40,0)</f>
        <v/>
      </c>
      <c r="S40" s="51">
        <f>IF(Q40=1,IF(F40&lt;=E40,1,0),0)</f>
        <v/>
      </c>
      <c r="T40" s="51">
        <f>IF(Q40=1,IF(H40&gt;=G40,1,0),0)</f>
        <v/>
      </c>
      <c r="U40" s="51">
        <f>S40*T40</f>
        <v/>
      </c>
      <c r="V40" s="51">
        <f>IF(Q40=1,MAX(0,F40-E40),0)</f>
        <v/>
      </c>
    </row>
    <row r="41">
      <c r="A41" s="43" t="inlineStr">
        <is>
          <t>PO101642</t>
        </is>
      </c>
      <c r="B41" s="43" t="inlineStr">
        <is>
          <t>CMD-0091</t>
        </is>
      </c>
      <c r="C41" s="43" t="inlineStr">
        <is>
          <t>S08</t>
        </is>
      </c>
      <c r="D41" s="47" t="n">
        <v>45569</v>
      </c>
      <c r="E41" s="47" t="n">
        <v>45646</v>
      </c>
      <c r="F41" s="47" t="n">
        <v>45644</v>
      </c>
      <c r="G41" s="46" t="n">
        <v>884</v>
      </c>
      <c r="H41" s="46" t="n">
        <v>884</v>
      </c>
      <c r="I41" s="46" t="n">
        <v>9</v>
      </c>
      <c r="J41" s="44" t="n">
        <v>23.8</v>
      </c>
      <c r="K41" s="43" t="inlineStr">
        <is>
          <t>Received</t>
        </is>
      </c>
      <c r="L41" s="17">
        <f>INDEX(Items!$C$2:$C$117,MATCH(B41,Items!$A$2:$A$117,0))</f>
        <v/>
      </c>
      <c r="M41" s="49">
        <f>INDEX(Items!$E$2:$E$117,MATCH(B41,Items!$A$2:$A$117,0))</f>
        <v/>
      </c>
      <c r="N41" s="17">
        <f>TEXT(D41,"yyyy-mm")</f>
        <v/>
      </c>
      <c r="O41" s="50">
        <f>G41*J41</f>
        <v/>
      </c>
      <c r="P41" s="50">
        <f>(J41-M41)*G41</f>
        <v/>
      </c>
      <c r="Q41" s="51">
        <f>IF(K41="Received",1,0)</f>
        <v/>
      </c>
      <c r="R41" s="51">
        <f>IF(Q41=1,F41-D41,0)</f>
        <v/>
      </c>
      <c r="S41" s="51">
        <f>IF(Q41=1,IF(F41&lt;=E41,1,0),0)</f>
        <v/>
      </c>
      <c r="T41" s="51">
        <f>IF(Q41=1,IF(H41&gt;=G41,1,0),0)</f>
        <v/>
      </c>
      <c r="U41" s="51">
        <f>S41*T41</f>
        <v/>
      </c>
      <c r="V41" s="51">
        <f>IF(Q41=1,MAX(0,F41-E41),0)</f>
        <v/>
      </c>
    </row>
    <row r="42">
      <c r="A42" s="43" t="inlineStr">
        <is>
          <t>PO101666</t>
        </is>
      </c>
      <c r="B42" s="43" t="inlineStr">
        <is>
          <t>CMD-0092</t>
        </is>
      </c>
      <c r="C42" s="43" t="inlineStr">
        <is>
          <t>S08</t>
        </is>
      </c>
      <c r="D42" s="47" t="n">
        <v>45569</v>
      </c>
      <c r="E42" s="47" t="n">
        <v>45646</v>
      </c>
      <c r="F42" s="47" t="n">
        <v>45646</v>
      </c>
      <c r="G42" s="46" t="n">
        <v>389</v>
      </c>
      <c r="H42" s="46" t="n">
        <v>389</v>
      </c>
      <c r="I42" s="46" t="n">
        <v>4</v>
      </c>
      <c r="J42" s="44" t="n">
        <v>29.47</v>
      </c>
      <c r="K42" s="43" t="inlineStr">
        <is>
          <t>Received</t>
        </is>
      </c>
      <c r="L42" s="17">
        <f>INDEX(Items!$C$2:$C$117,MATCH(B42,Items!$A$2:$A$117,0))</f>
        <v/>
      </c>
      <c r="M42" s="49">
        <f>INDEX(Items!$E$2:$E$117,MATCH(B42,Items!$A$2:$A$117,0))</f>
        <v/>
      </c>
      <c r="N42" s="17">
        <f>TEXT(D42,"yyyy-mm")</f>
        <v/>
      </c>
      <c r="O42" s="50">
        <f>G42*J42</f>
        <v/>
      </c>
      <c r="P42" s="50">
        <f>(J42-M42)*G42</f>
        <v/>
      </c>
      <c r="Q42" s="51">
        <f>IF(K42="Received",1,0)</f>
        <v/>
      </c>
      <c r="R42" s="51">
        <f>IF(Q42=1,F42-D42,0)</f>
        <v/>
      </c>
      <c r="S42" s="51">
        <f>IF(Q42=1,IF(F42&lt;=E42,1,0),0)</f>
        <v/>
      </c>
      <c r="T42" s="51">
        <f>IF(Q42=1,IF(H42&gt;=G42,1,0),0)</f>
        <v/>
      </c>
      <c r="U42" s="51">
        <f>S42*T42</f>
        <v/>
      </c>
      <c r="V42" s="51">
        <f>IF(Q42=1,MAX(0,F42-E42),0)</f>
        <v/>
      </c>
    </row>
    <row r="43">
      <c r="A43" s="43" t="inlineStr">
        <is>
          <t>PO100472</t>
        </is>
      </c>
      <c r="B43" s="43" t="inlineStr">
        <is>
          <t>CMD-0022</t>
        </is>
      </c>
      <c r="C43" s="43" t="inlineStr">
        <is>
          <t>S02</t>
        </is>
      </c>
      <c r="D43" s="47" t="n">
        <v>45569</v>
      </c>
      <c r="E43" s="47" t="n">
        <v>45625</v>
      </c>
      <c r="F43" s="47" t="n">
        <v>45632</v>
      </c>
      <c r="G43" s="46" t="n">
        <v>3942</v>
      </c>
      <c r="H43" s="46" t="n">
        <v>3942</v>
      </c>
      <c r="I43" s="46" t="n">
        <v>16</v>
      </c>
      <c r="J43" s="44" t="n">
        <v>17.18</v>
      </c>
      <c r="K43" s="43" t="inlineStr">
        <is>
          <t>Received</t>
        </is>
      </c>
      <c r="L43" s="17">
        <f>INDEX(Items!$C$2:$C$117,MATCH(B43,Items!$A$2:$A$117,0))</f>
        <v/>
      </c>
      <c r="M43" s="49">
        <f>INDEX(Items!$E$2:$E$117,MATCH(B43,Items!$A$2:$A$117,0))</f>
        <v/>
      </c>
      <c r="N43" s="17">
        <f>TEXT(D43,"yyyy-mm")</f>
        <v/>
      </c>
      <c r="O43" s="50">
        <f>G43*J43</f>
        <v/>
      </c>
      <c r="P43" s="50">
        <f>(J43-M43)*G43</f>
        <v/>
      </c>
      <c r="Q43" s="51">
        <f>IF(K43="Received",1,0)</f>
        <v/>
      </c>
      <c r="R43" s="51">
        <f>IF(Q43=1,F43-D43,0)</f>
        <v/>
      </c>
      <c r="S43" s="51">
        <f>IF(Q43=1,IF(F43&lt;=E43,1,0),0)</f>
        <v/>
      </c>
      <c r="T43" s="51">
        <f>IF(Q43=1,IF(H43&gt;=G43,1,0),0)</f>
        <v/>
      </c>
      <c r="U43" s="51">
        <f>S43*T43</f>
        <v/>
      </c>
      <c r="V43" s="51">
        <f>IF(Q43=1,MAX(0,F43-E43),0)</f>
        <v/>
      </c>
    </row>
    <row r="44">
      <c r="A44" s="43" t="inlineStr">
        <is>
          <t>PO101076</t>
        </is>
      </c>
      <c r="B44" s="43" t="inlineStr">
        <is>
          <t>CMD-0049</t>
        </is>
      </c>
      <c r="C44" s="43" t="inlineStr">
        <is>
          <t>S10</t>
        </is>
      </c>
      <c r="D44" s="47" t="n">
        <v>45569</v>
      </c>
      <c r="E44" s="47" t="n">
        <v>45597</v>
      </c>
      <c r="F44" s="47" t="n">
        <v>45594</v>
      </c>
      <c r="G44" s="46" t="n">
        <v>46800</v>
      </c>
      <c r="H44" s="46" t="n">
        <v>46800</v>
      </c>
      <c r="I44" s="46" t="n">
        <v>38</v>
      </c>
      <c r="J44" s="44" t="n">
        <v>0.1056</v>
      </c>
      <c r="K44" s="43" t="inlineStr">
        <is>
          <t>Received</t>
        </is>
      </c>
      <c r="L44" s="17">
        <f>INDEX(Items!$C$2:$C$117,MATCH(B44,Items!$A$2:$A$117,0))</f>
        <v/>
      </c>
      <c r="M44" s="49">
        <f>INDEX(Items!$E$2:$E$117,MATCH(B44,Items!$A$2:$A$117,0))</f>
        <v/>
      </c>
      <c r="N44" s="17">
        <f>TEXT(D44,"yyyy-mm")</f>
        <v/>
      </c>
      <c r="O44" s="50">
        <f>G44*J44</f>
        <v/>
      </c>
      <c r="P44" s="50">
        <f>(J44-M44)*G44</f>
        <v/>
      </c>
      <c r="Q44" s="51">
        <f>IF(K44="Received",1,0)</f>
        <v/>
      </c>
      <c r="R44" s="51">
        <f>IF(Q44=1,F44-D44,0)</f>
        <v/>
      </c>
      <c r="S44" s="51">
        <f>IF(Q44=1,IF(F44&lt;=E44,1,0),0)</f>
        <v/>
      </c>
      <c r="T44" s="51">
        <f>IF(Q44=1,IF(H44&gt;=G44,1,0),0)</f>
        <v/>
      </c>
      <c r="U44" s="51">
        <f>S44*T44</f>
        <v/>
      </c>
      <c r="V44" s="51">
        <f>IF(Q44=1,MAX(0,F44-E44),0)</f>
        <v/>
      </c>
    </row>
    <row r="45">
      <c r="A45" s="43" t="inlineStr">
        <is>
          <t>PO100412</t>
        </is>
      </c>
      <c r="B45" s="43" t="inlineStr">
        <is>
          <t>CMD-0019</t>
        </is>
      </c>
      <c r="C45" s="43" t="inlineStr">
        <is>
          <t>S11</t>
        </is>
      </c>
      <c r="D45" s="47" t="n">
        <v>45569</v>
      </c>
      <c r="E45" s="47" t="n">
        <v>45646</v>
      </c>
      <c r="F45" s="47" t="n">
        <v>45646</v>
      </c>
      <c r="G45" s="46" t="n">
        <v>933</v>
      </c>
      <c r="H45" s="46" t="n">
        <v>933</v>
      </c>
      <c r="I45" s="46" t="n">
        <v>2</v>
      </c>
      <c r="J45" s="44" t="n">
        <v>7.25</v>
      </c>
      <c r="K45" s="43" t="inlineStr">
        <is>
          <t>Received</t>
        </is>
      </c>
      <c r="L45" s="17">
        <f>INDEX(Items!$C$2:$C$117,MATCH(B45,Items!$A$2:$A$117,0))</f>
        <v/>
      </c>
      <c r="M45" s="49">
        <f>INDEX(Items!$E$2:$E$117,MATCH(B45,Items!$A$2:$A$117,0))</f>
        <v/>
      </c>
      <c r="N45" s="17">
        <f>TEXT(D45,"yyyy-mm")</f>
        <v/>
      </c>
      <c r="O45" s="50">
        <f>G45*J45</f>
        <v/>
      </c>
      <c r="P45" s="50">
        <f>(J45-M45)*G45</f>
        <v/>
      </c>
      <c r="Q45" s="51">
        <f>IF(K45="Received",1,0)</f>
        <v/>
      </c>
      <c r="R45" s="51">
        <f>IF(Q45=1,F45-D45,0)</f>
        <v/>
      </c>
      <c r="S45" s="51">
        <f>IF(Q45=1,IF(F45&lt;=E45,1,0),0)</f>
        <v/>
      </c>
      <c r="T45" s="51">
        <f>IF(Q45=1,IF(H45&gt;=G45,1,0),0)</f>
        <v/>
      </c>
      <c r="U45" s="51">
        <f>S45*T45</f>
        <v/>
      </c>
      <c r="V45" s="51">
        <f>IF(Q45=1,MAX(0,F45-E45),0)</f>
        <v/>
      </c>
    </row>
    <row r="46">
      <c r="A46" s="43" t="inlineStr">
        <is>
          <t>PO101006</t>
        </is>
      </c>
      <c r="B46" s="43" t="inlineStr">
        <is>
          <t>CMD-0046</t>
        </is>
      </c>
      <c r="C46" s="43" t="inlineStr">
        <is>
          <t>S05</t>
        </is>
      </c>
      <c r="D46" s="47" t="n">
        <v>45569</v>
      </c>
      <c r="E46" s="47" t="n">
        <v>45674</v>
      </c>
      <c r="F46" s="47" t="n">
        <v>45674</v>
      </c>
      <c r="G46" s="46" t="n">
        <v>10958</v>
      </c>
      <c r="H46" s="46" t="n">
        <v>10958</v>
      </c>
      <c r="I46" s="46" t="n">
        <v>192</v>
      </c>
      <c r="J46" s="44" t="n">
        <v>10.57</v>
      </c>
      <c r="K46" s="43" t="inlineStr">
        <is>
          <t>Received</t>
        </is>
      </c>
      <c r="L46" s="17">
        <f>INDEX(Items!$C$2:$C$117,MATCH(B46,Items!$A$2:$A$117,0))</f>
        <v/>
      </c>
      <c r="M46" s="49">
        <f>INDEX(Items!$E$2:$E$117,MATCH(B46,Items!$A$2:$A$117,0))</f>
        <v/>
      </c>
      <c r="N46" s="17">
        <f>TEXT(D46,"yyyy-mm")</f>
        <v/>
      </c>
      <c r="O46" s="50">
        <f>G46*J46</f>
        <v/>
      </c>
      <c r="P46" s="50">
        <f>(J46-M46)*G46</f>
        <v/>
      </c>
      <c r="Q46" s="51">
        <f>IF(K46="Received",1,0)</f>
        <v/>
      </c>
      <c r="R46" s="51">
        <f>IF(Q46=1,F46-D46,0)</f>
        <v/>
      </c>
      <c r="S46" s="51">
        <f>IF(Q46=1,IF(F46&lt;=E46,1,0),0)</f>
        <v/>
      </c>
      <c r="T46" s="51">
        <f>IF(Q46=1,IF(H46&gt;=G46,1,0),0)</f>
        <v/>
      </c>
      <c r="U46" s="51">
        <f>S46*T46</f>
        <v/>
      </c>
      <c r="V46" s="51">
        <f>IF(Q46=1,MAX(0,F46-E46),0)</f>
        <v/>
      </c>
    </row>
    <row r="47">
      <c r="A47" s="43" t="inlineStr">
        <is>
          <t>PO101030</t>
        </is>
      </c>
      <c r="B47" s="43" t="inlineStr">
        <is>
          <t>CMD-0047</t>
        </is>
      </c>
      <c r="C47" s="43" t="inlineStr">
        <is>
          <t>S04</t>
        </is>
      </c>
      <c r="D47" s="47" t="n">
        <v>45569</v>
      </c>
      <c r="E47" s="47" t="n">
        <v>45604</v>
      </c>
      <c r="F47" s="47" t="n">
        <v>45602</v>
      </c>
      <c r="G47" s="46" t="n">
        <v>15140</v>
      </c>
      <c r="H47" s="46" t="n">
        <v>12235</v>
      </c>
      <c r="I47" s="46" t="n">
        <v>127</v>
      </c>
      <c r="J47" s="44" t="n">
        <v>0.296</v>
      </c>
      <c r="K47" s="43" t="inlineStr">
        <is>
          <t>Received</t>
        </is>
      </c>
      <c r="L47" s="17">
        <f>INDEX(Items!$C$2:$C$117,MATCH(B47,Items!$A$2:$A$117,0))</f>
        <v/>
      </c>
      <c r="M47" s="49">
        <f>INDEX(Items!$E$2:$E$117,MATCH(B47,Items!$A$2:$A$117,0))</f>
        <v/>
      </c>
      <c r="N47" s="17">
        <f>TEXT(D47,"yyyy-mm")</f>
        <v/>
      </c>
      <c r="O47" s="50">
        <f>G47*J47</f>
        <v/>
      </c>
      <c r="P47" s="50">
        <f>(J47-M47)*G47</f>
        <v/>
      </c>
      <c r="Q47" s="51">
        <f>IF(K47="Received",1,0)</f>
        <v/>
      </c>
      <c r="R47" s="51">
        <f>IF(Q47=1,F47-D47,0)</f>
        <v/>
      </c>
      <c r="S47" s="51">
        <f>IF(Q47=1,IF(F47&lt;=E47,1,0),0)</f>
        <v/>
      </c>
      <c r="T47" s="51">
        <f>IF(Q47=1,IF(H47&gt;=G47,1,0),0)</f>
        <v/>
      </c>
      <c r="U47" s="51">
        <f>S47*T47</f>
        <v/>
      </c>
      <c r="V47" s="51">
        <f>IF(Q47=1,MAX(0,F47-E47),0)</f>
        <v/>
      </c>
    </row>
    <row r="48">
      <c r="A48" s="43" t="inlineStr">
        <is>
          <t>PO101892</t>
        </is>
      </c>
      <c r="B48" s="43" t="inlineStr">
        <is>
          <t>CMD-0103</t>
        </is>
      </c>
      <c r="C48" s="43" t="inlineStr">
        <is>
          <t>S09</t>
        </is>
      </c>
      <c r="D48" s="47" t="n">
        <v>45569</v>
      </c>
      <c r="E48" s="47" t="n">
        <v>45590</v>
      </c>
      <c r="F48" s="47" t="n">
        <v>45588</v>
      </c>
      <c r="G48" s="46" t="n">
        <v>1281</v>
      </c>
      <c r="H48" s="46" t="n">
        <v>1281</v>
      </c>
      <c r="I48" s="46" t="n">
        <v>4</v>
      </c>
      <c r="J48" s="44" t="n">
        <v>4.18</v>
      </c>
      <c r="K48" s="43" t="inlineStr">
        <is>
          <t>Received</t>
        </is>
      </c>
      <c r="L48" s="17">
        <f>INDEX(Items!$C$2:$C$117,MATCH(B48,Items!$A$2:$A$117,0))</f>
        <v/>
      </c>
      <c r="M48" s="49">
        <f>INDEX(Items!$E$2:$E$117,MATCH(B48,Items!$A$2:$A$117,0))</f>
        <v/>
      </c>
      <c r="N48" s="17">
        <f>TEXT(D48,"yyyy-mm")</f>
        <v/>
      </c>
      <c r="O48" s="50">
        <f>G48*J48</f>
        <v/>
      </c>
      <c r="P48" s="50">
        <f>(J48-M48)*G48</f>
        <v/>
      </c>
      <c r="Q48" s="51">
        <f>IF(K48="Received",1,0)</f>
        <v/>
      </c>
      <c r="R48" s="51">
        <f>IF(Q48=1,F48-D48,0)</f>
        <v/>
      </c>
      <c r="S48" s="51">
        <f>IF(Q48=1,IF(F48&lt;=E48,1,0),0)</f>
        <v/>
      </c>
      <c r="T48" s="51">
        <f>IF(Q48=1,IF(H48&gt;=G48,1,0),0)</f>
        <v/>
      </c>
      <c r="U48" s="51">
        <f>S48*T48</f>
        <v/>
      </c>
      <c r="V48" s="51">
        <f>IF(Q48=1,MAX(0,F48-E48),0)</f>
        <v/>
      </c>
    </row>
    <row r="49">
      <c r="A49" s="43" t="inlineStr">
        <is>
          <t>PO101158</t>
        </is>
      </c>
      <c r="B49" s="43" t="inlineStr">
        <is>
          <t>CMD-0054</t>
        </is>
      </c>
      <c r="C49" s="43" t="inlineStr">
        <is>
          <t>S10</t>
        </is>
      </c>
      <c r="D49" s="47" t="n">
        <v>45569</v>
      </c>
      <c r="E49" s="47" t="n">
        <v>45597</v>
      </c>
      <c r="F49" s="47" t="n">
        <v>45597</v>
      </c>
      <c r="G49" s="46" t="n">
        <v>50325</v>
      </c>
      <c r="H49" s="46" t="n">
        <v>50325</v>
      </c>
      <c r="I49" s="46" t="n">
        <v>53</v>
      </c>
      <c r="J49" s="44" t="n">
        <v>0.1687</v>
      </c>
      <c r="K49" s="43" t="inlineStr">
        <is>
          <t>Received</t>
        </is>
      </c>
      <c r="L49" s="17">
        <f>INDEX(Items!$C$2:$C$117,MATCH(B49,Items!$A$2:$A$117,0))</f>
        <v/>
      </c>
      <c r="M49" s="49">
        <f>INDEX(Items!$E$2:$E$117,MATCH(B49,Items!$A$2:$A$117,0))</f>
        <v/>
      </c>
      <c r="N49" s="17">
        <f>TEXT(D49,"yyyy-mm")</f>
        <v/>
      </c>
      <c r="O49" s="50">
        <f>G49*J49</f>
        <v/>
      </c>
      <c r="P49" s="50">
        <f>(J49-M49)*G49</f>
        <v/>
      </c>
      <c r="Q49" s="51">
        <f>IF(K49="Received",1,0)</f>
        <v/>
      </c>
      <c r="R49" s="51">
        <f>IF(Q49=1,F49-D49,0)</f>
        <v/>
      </c>
      <c r="S49" s="51">
        <f>IF(Q49=1,IF(F49&lt;=E49,1,0),0)</f>
        <v/>
      </c>
      <c r="T49" s="51">
        <f>IF(Q49=1,IF(H49&gt;=G49,1,0),0)</f>
        <v/>
      </c>
      <c r="U49" s="51">
        <f>S49*T49</f>
        <v/>
      </c>
      <c r="V49" s="51">
        <f>IF(Q49=1,MAX(0,F49-E49),0)</f>
        <v/>
      </c>
    </row>
    <row r="50">
      <c r="A50" s="43" t="inlineStr">
        <is>
          <t>PO101820</t>
        </is>
      </c>
      <c r="B50" s="43" t="inlineStr">
        <is>
          <t>CMD-0100</t>
        </is>
      </c>
      <c r="C50" s="43" t="inlineStr">
        <is>
          <t>S09</t>
        </is>
      </c>
      <c r="D50" s="47" t="n">
        <v>45569</v>
      </c>
      <c r="E50" s="47" t="n">
        <v>45590</v>
      </c>
      <c r="F50" s="47" t="n">
        <v>45590</v>
      </c>
      <c r="G50" s="46" t="n">
        <v>6780</v>
      </c>
      <c r="H50" s="46" t="n">
        <v>6780</v>
      </c>
      <c r="I50" s="46" t="n">
        <v>26</v>
      </c>
      <c r="J50" s="44" t="n">
        <v>4.94</v>
      </c>
      <c r="K50" s="43" t="inlineStr">
        <is>
          <t>Received</t>
        </is>
      </c>
      <c r="L50" s="17">
        <f>INDEX(Items!$C$2:$C$117,MATCH(B50,Items!$A$2:$A$117,0))</f>
        <v/>
      </c>
      <c r="M50" s="49">
        <f>INDEX(Items!$E$2:$E$117,MATCH(B50,Items!$A$2:$A$117,0))</f>
        <v/>
      </c>
      <c r="N50" s="17">
        <f>TEXT(D50,"yyyy-mm")</f>
        <v/>
      </c>
      <c r="O50" s="50">
        <f>G50*J50</f>
        <v/>
      </c>
      <c r="P50" s="50">
        <f>(J50-M50)*G50</f>
        <v/>
      </c>
      <c r="Q50" s="51">
        <f>IF(K50="Received",1,0)</f>
        <v/>
      </c>
      <c r="R50" s="51">
        <f>IF(Q50=1,F50-D50,0)</f>
        <v/>
      </c>
      <c r="S50" s="51">
        <f>IF(Q50=1,IF(F50&lt;=E50,1,0),0)</f>
        <v/>
      </c>
      <c r="T50" s="51">
        <f>IF(Q50=1,IF(H50&gt;=G50,1,0),0)</f>
        <v/>
      </c>
      <c r="U50" s="51">
        <f>S50*T50</f>
        <v/>
      </c>
      <c r="V50" s="51">
        <f>IF(Q50=1,MAX(0,F50-E50),0)</f>
        <v/>
      </c>
    </row>
    <row r="51">
      <c r="A51" s="43" t="inlineStr">
        <is>
          <t>PO101266</t>
        </is>
      </c>
      <c r="B51" s="43" t="inlineStr">
        <is>
          <t>CMD-0060</t>
        </is>
      </c>
      <c r="C51" s="43" t="inlineStr">
        <is>
          <t>S04</t>
        </is>
      </c>
      <c r="D51" s="47" t="n">
        <v>45569</v>
      </c>
      <c r="E51" s="47" t="n">
        <v>45604</v>
      </c>
      <c r="F51" s="47" t="n">
        <v>45601</v>
      </c>
      <c r="G51" s="46" t="n">
        <v>335587</v>
      </c>
      <c r="H51" s="46" t="n">
        <v>335587</v>
      </c>
      <c r="I51" s="46" t="n">
        <v>3330</v>
      </c>
      <c r="J51" s="44" t="n">
        <v>0.0136</v>
      </c>
      <c r="K51" s="43" t="inlineStr">
        <is>
          <t>Received</t>
        </is>
      </c>
      <c r="L51" s="17">
        <f>INDEX(Items!$C$2:$C$117,MATCH(B51,Items!$A$2:$A$117,0))</f>
        <v/>
      </c>
      <c r="M51" s="49">
        <f>INDEX(Items!$E$2:$E$117,MATCH(B51,Items!$A$2:$A$117,0))</f>
        <v/>
      </c>
      <c r="N51" s="17">
        <f>TEXT(D51,"yyyy-mm")</f>
        <v/>
      </c>
      <c r="O51" s="50">
        <f>G51*J51</f>
        <v/>
      </c>
      <c r="P51" s="50">
        <f>(J51-M51)*G51</f>
        <v/>
      </c>
      <c r="Q51" s="51">
        <f>IF(K51="Received",1,0)</f>
        <v/>
      </c>
      <c r="R51" s="51">
        <f>IF(Q51=1,F51-D51,0)</f>
        <v/>
      </c>
      <c r="S51" s="51">
        <f>IF(Q51=1,IF(F51&lt;=E51,1,0),0)</f>
        <v/>
      </c>
      <c r="T51" s="51">
        <f>IF(Q51=1,IF(H51&gt;=G51,1,0),0)</f>
        <v/>
      </c>
      <c r="U51" s="51">
        <f>S51*T51</f>
        <v/>
      </c>
      <c r="V51" s="51">
        <f>IF(Q51=1,MAX(0,F51-E51),0)</f>
        <v/>
      </c>
    </row>
    <row r="52">
      <c r="A52" s="43" t="inlineStr">
        <is>
          <t>PO101300</t>
        </is>
      </c>
      <c r="B52" s="43" t="inlineStr">
        <is>
          <t>CMD-0063</t>
        </is>
      </c>
      <c r="C52" s="43" t="inlineStr">
        <is>
          <t>S01</t>
        </is>
      </c>
      <c r="D52" s="47" t="n">
        <v>45569</v>
      </c>
      <c r="E52" s="47" t="n">
        <v>45590</v>
      </c>
      <c r="F52" s="47" t="n">
        <v>45588</v>
      </c>
      <c r="G52" s="46" t="n">
        <v>81093</v>
      </c>
      <c r="H52" s="46" t="n">
        <v>81093</v>
      </c>
      <c r="I52" s="46" t="n">
        <v>147</v>
      </c>
      <c r="J52" s="44" t="n">
        <v>0.0371</v>
      </c>
      <c r="K52" s="43" t="inlineStr">
        <is>
          <t>Received</t>
        </is>
      </c>
      <c r="L52" s="17">
        <f>INDEX(Items!$C$2:$C$117,MATCH(B52,Items!$A$2:$A$117,0))</f>
        <v/>
      </c>
      <c r="M52" s="49">
        <f>INDEX(Items!$E$2:$E$117,MATCH(B52,Items!$A$2:$A$117,0))</f>
        <v/>
      </c>
      <c r="N52" s="17">
        <f>TEXT(D52,"yyyy-mm")</f>
        <v/>
      </c>
      <c r="O52" s="50">
        <f>G52*J52</f>
        <v/>
      </c>
      <c r="P52" s="50">
        <f>(J52-M52)*G52</f>
        <v/>
      </c>
      <c r="Q52" s="51">
        <f>IF(K52="Received",1,0)</f>
        <v/>
      </c>
      <c r="R52" s="51">
        <f>IF(Q52=1,F52-D52,0)</f>
        <v/>
      </c>
      <c r="S52" s="51">
        <f>IF(Q52=1,IF(F52&lt;=E52,1,0),0)</f>
        <v/>
      </c>
      <c r="T52" s="51">
        <f>IF(Q52=1,IF(H52&gt;=G52,1,0),0)</f>
        <v/>
      </c>
      <c r="U52" s="51">
        <f>S52*T52</f>
        <v/>
      </c>
      <c r="V52" s="51">
        <f>IF(Q52=1,MAX(0,F52-E52),0)</f>
        <v/>
      </c>
    </row>
    <row r="53">
      <c r="A53" s="43" t="inlineStr">
        <is>
          <t>PO101908</t>
        </is>
      </c>
      <c r="B53" s="43" t="inlineStr">
        <is>
          <t>CMD-0104</t>
        </is>
      </c>
      <c r="C53" s="43" t="inlineStr">
        <is>
          <t>S09</t>
        </is>
      </c>
      <c r="D53" s="47" t="n">
        <v>45569</v>
      </c>
      <c r="E53" s="47" t="n">
        <v>45590</v>
      </c>
      <c r="F53" s="47" t="n">
        <v>45590</v>
      </c>
      <c r="G53" s="46" t="n">
        <v>4172</v>
      </c>
      <c r="H53" s="46" t="n">
        <v>4172</v>
      </c>
      <c r="I53" s="46" t="n">
        <v>15</v>
      </c>
      <c r="J53" s="44" t="n">
        <v>1.44</v>
      </c>
      <c r="K53" s="43" t="inlineStr">
        <is>
          <t>Received</t>
        </is>
      </c>
      <c r="L53" s="17">
        <f>INDEX(Items!$C$2:$C$117,MATCH(B53,Items!$A$2:$A$117,0))</f>
        <v/>
      </c>
      <c r="M53" s="49">
        <f>INDEX(Items!$E$2:$E$117,MATCH(B53,Items!$A$2:$A$117,0))</f>
        <v/>
      </c>
      <c r="N53" s="17">
        <f>TEXT(D53,"yyyy-mm")</f>
        <v/>
      </c>
      <c r="O53" s="50">
        <f>G53*J53</f>
        <v/>
      </c>
      <c r="P53" s="50">
        <f>(J53-M53)*G53</f>
        <v/>
      </c>
      <c r="Q53" s="51">
        <f>IF(K53="Received",1,0)</f>
        <v/>
      </c>
      <c r="R53" s="51">
        <f>IF(Q53=1,F53-D53,0)</f>
        <v/>
      </c>
      <c r="S53" s="51">
        <f>IF(Q53=1,IF(F53&lt;=E53,1,0),0)</f>
        <v/>
      </c>
      <c r="T53" s="51">
        <f>IF(Q53=1,IF(H53&gt;=G53,1,0),0)</f>
        <v/>
      </c>
      <c r="U53" s="51">
        <f>S53*T53</f>
        <v/>
      </c>
      <c r="V53" s="51">
        <f>IF(Q53=1,MAX(0,F53-E53),0)</f>
        <v/>
      </c>
    </row>
    <row r="54">
      <c r="A54" s="43" t="inlineStr">
        <is>
          <t>PO100268</t>
        </is>
      </c>
      <c r="B54" s="43" t="inlineStr">
        <is>
          <t>CMD-0013</t>
        </is>
      </c>
      <c r="C54" s="43" t="inlineStr">
        <is>
          <t>S11</t>
        </is>
      </c>
      <c r="D54" s="47" t="n">
        <v>45570</v>
      </c>
      <c r="E54" s="47" t="n">
        <v>45689</v>
      </c>
      <c r="F54" s="47" t="n">
        <v>45686</v>
      </c>
      <c r="G54" s="46" t="n">
        <v>818</v>
      </c>
      <c r="H54" s="46" t="n">
        <v>818</v>
      </c>
      <c r="I54" s="46" t="n">
        <v>3</v>
      </c>
      <c r="J54" s="44" t="n">
        <v>6.75</v>
      </c>
      <c r="K54" s="43" t="inlineStr">
        <is>
          <t>Received</t>
        </is>
      </c>
      <c r="L54" s="17">
        <f>INDEX(Items!$C$2:$C$117,MATCH(B54,Items!$A$2:$A$117,0))</f>
        <v/>
      </c>
      <c r="M54" s="49">
        <f>INDEX(Items!$E$2:$E$117,MATCH(B54,Items!$A$2:$A$117,0))</f>
        <v/>
      </c>
      <c r="N54" s="17">
        <f>TEXT(D54,"yyyy-mm")</f>
        <v/>
      </c>
      <c r="O54" s="50">
        <f>G54*J54</f>
        <v/>
      </c>
      <c r="P54" s="50">
        <f>(J54-M54)*G54</f>
        <v/>
      </c>
      <c r="Q54" s="51">
        <f>IF(K54="Received",1,0)</f>
        <v/>
      </c>
      <c r="R54" s="51">
        <f>IF(Q54=1,F54-D54,0)</f>
        <v/>
      </c>
      <c r="S54" s="51">
        <f>IF(Q54=1,IF(F54&lt;=E54,1,0),0)</f>
        <v/>
      </c>
      <c r="T54" s="51">
        <f>IF(Q54=1,IF(H54&gt;=G54,1,0),0)</f>
        <v/>
      </c>
      <c r="U54" s="51">
        <f>S54*T54</f>
        <v/>
      </c>
      <c r="V54" s="51">
        <f>IF(Q54=1,MAX(0,F54-E54),0)</f>
        <v/>
      </c>
    </row>
    <row r="55">
      <c r="A55" s="43" t="inlineStr">
        <is>
          <t>PO101592</t>
        </is>
      </c>
      <c r="B55" s="43" t="inlineStr">
        <is>
          <t>CMD-0087</t>
        </is>
      </c>
      <c r="C55" s="43" t="inlineStr">
        <is>
          <t>S01</t>
        </is>
      </c>
      <c r="D55" s="47" t="n">
        <v>45570</v>
      </c>
      <c r="E55" s="47" t="n">
        <v>45584</v>
      </c>
      <c r="F55" s="47" t="n">
        <v>45582</v>
      </c>
      <c r="G55" s="46" t="n">
        <v>3033</v>
      </c>
      <c r="H55" s="46" t="n">
        <v>3033</v>
      </c>
      <c r="I55" s="46" t="n">
        <v>5</v>
      </c>
      <c r="J55" s="44" t="n">
        <v>0.6458</v>
      </c>
      <c r="K55" s="43" t="inlineStr">
        <is>
          <t>Received</t>
        </is>
      </c>
      <c r="L55" s="17">
        <f>INDEX(Items!$C$2:$C$117,MATCH(B55,Items!$A$2:$A$117,0))</f>
        <v/>
      </c>
      <c r="M55" s="49">
        <f>INDEX(Items!$E$2:$E$117,MATCH(B55,Items!$A$2:$A$117,0))</f>
        <v/>
      </c>
      <c r="N55" s="17">
        <f>TEXT(D55,"yyyy-mm")</f>
        <v/>
      </c>
      <c r="O55" s="50">
        <f>G55*J55</f>
        <v/>
      </c>
      <c r="P55" s="50">
        <f>(J55-M55)*G55</f>
        <v/>
      </c>
      <c r="Q55" s="51">
        <f>IF(K55="Received",1,0)</f>
        <v/>
      </c>
      <c r="R55" s="51">
        <f>IF(Q55=1,F55-D55,0)</f>
        <v/>
      </c>
      <c r="S55" s="51">
        <f>IF(Q55=1,IF(F55&lt;=E55,1,0),0)</f>
        <v/>
      </c>
      <c r="T55" s="51">
        <f>IF(Q55=1,IF(H55&gt;=G55,1,0),0)</f>
        <v/>
      </c>
      <c r="U55" s="51">
        <f>S55*T55</f>
        <v/>
      </c>
      <c r="V55" s="51">
        <f>IF(Q55=1,MAX(0,F55-E55),0)</f>
        <v/>
      </c>
    </row>
    <row r="56">
      <c r="A56" s="43" t="inlineStr">
        <is>
          <t>PO100168</t>
        </is>
      </c>
      <c r="B56" s="43" t="inlineStr">
        <is>
          <t>CMD-0008</t>
        </is>
      </c>
      <c r="C56" s="43" t="inlineStr">
        <is>
          <t>S03</t>
        </is>
      </c>
      <c r="D56" s="47" t="n">
        <v>45570</v>
      </c>
      <c r="E56" s="47" t="n">
        <v>45703</v>
      </c>
      <c r="F56" s="47" t="n">
        <v>45718</v>
      </c>
      <c r="G56" s="46" t="n">
        <v>1162</v>
      </c>
      <c r="H56" s="46" t="n">
        <v>1162</v>
      </c>
      <c r="I56" s="46" t="n">
        <v>9</v>
      </c>
      <c r="J56" s="44" t="n">
        <v>23.66</v>
      </c>
      <c r="K56" s="43" t="inlineStr">
        <is>
          <t>Received</t>
        </is>
      </c>
      <c r="L56" s="17">
        <f>INDEX(Items!$C$2:$C$117,MATCH(B56,Items!$A$2:$A$117,0))</f>
        <v/>
      </c>
      <c r="M56" s="49">
        <f>INDEX(Items!$E$2:$E$117,MATCH(B56,Items!$A$2:$A$117,0))</f>
        <v/>
      </c>
      <c r="N56" s="17">
        <f>TEXT(D56,"yyyy-mm")</f>
        <v/>
      </c>
      <c r="O56" s="50">
        <f>G56*J56</f>
        <v/>
      </c>
      <c r="P56" s="50">
        <f>(J56-M56)*G56</f>
        <v/>
      </c>
      <c r="Q56" s="51">
        <f>IF(K56="Received",1,0)</f>
        <v/>
      </c>
      <c r="R56" s="51">
        <f>IF(Q56=1,F56-D56,0)</f>
        <v/>
      </c>
      <c r="S56" s="51">
        <f>IF(Q56=1,IF(F56&lt;=E56,1,0),0)</f>
        <v/>
      </c>
      <c r="T56" s="51">
        <f>IF(Q56=1,IF(H56&gt;=G56,1,0),0)</f>
        <v/>
      </c>
      <c r="U56" s="51">
        <f>S56*T56</f>
        <v/>
      </c>
      <c r="V56" s="51">
        <f>IF(Q56=1,MAX(0,F56-E56),0)</f>
        <v/>
      </c>
    </row>
    <row r="57">
      <c r="A57" s="43" t="inlineStr">
        <is>
          <t>PO101396</t>
        </is>
      </c>
      <c r="B57" s="43" t="inlineStr">
        <is>
          <t>CMD-0074</t>
        </is>
      </c>
      <c r="C57" s="43" t="inlineStr">
        <is>
          <t>S10</t>
        </is>
      </c>
      <c r="D57" s="47" t="n">
        <v>45570</v>
      </c>
      <c r="E57" s="47" t="n">
        <v>45598</v>
      </c>
      <c r="F57" s="47" t="n">
        <v>45596</v>
      </c>
      <c r="G57" s="46" t="n">
        <v>61270</v>
      </c>
      <c r="H57" s="46" t="n">
        <v>61270</v>
      </c>
      <c r="I57" s="46" t="n">
        <v>60</v>
      </c>
      <c r="J57" s="44" t="n">
        <v>0.3496</v>
      </c>
      <c r="K57" s="43" t="inlineStr">
        <is>
          <t>Received</t>
        </is>
      </c>
      <c r="L57" s="17">
        <f>INDEX(Items!$C$2:$C$117,MATCH(B57,Items!$A$2:$A$117,0))</f>
        <v/>
      </c>
      <c r="M57" s="49">
        <f>INDEX(Items!$E$2:$E$117,MATCH(B57,Items!$A$2:$A$117,0))</f>
        <v/>
      </c>
      <c r="N57" s="17">
        <f>TEXT(D57,"yyyy-mm")</f>
        <v/>
      </c>
      <c r="O57" s="50">
        <f>G57*J57</f>
        <v/>
      </c>
      <c r="P57" s="50">
        <f>(J57-M57)*G57</f>
        <v/>
      </c>
      <c r="Q57" s="51">
        <f>IF(K57="Received",1,0)</f>
        <v/>
      </c>
      <c r="R57" s="51">
        <f>IF(Q57=1,F57-D57,0)</f>
        <v/>
      </c>
      <c r="S57" s="51">
        <f>IF(Q57=1,IF(F57&lt;=E57,1,0),0)</f>
        <v/>
      </c>
      <c r="T57" s="51">
        <f>IF(Q57=1,IF(H57&gt;=G57,1,0),0)</f>
        <v/>
      </c>
      <c r="U57" s="51">
        <f>S57*T57</f>
        <v/>
      </c>
      <c r="V57" s="51">
        <f>IF(Q57=1,MAX(0,F57-E57),0)</f>
        <v/>
      </c>
    </row>
    <row r="58">
      <c r="A58" s="43" t="inlineStr">
        <is>
          <t>PO100958</t>
        </is>
      </c>
      <c r="B58" s="43" t="inlineStr">
        <is>
          <t>CMD-0044</t>
        </is>
      </c>
      <c r="C58" s="43" t="inlineStr">
        <is>
          <t>S05</t>
        </is>
      </c>
      <c r="D58" s="47" t="n">
        <v>45570</v>
      </c>
      <c r="E58" s="47" t="n">
        <v>45675</v>
      </c>
      <c r="F58" s="47" t="n">
        <v>45738</v>
      </c>
      <c r="G58" s="46" t="n">
        <v>6424</v>
      </c>
      <c r="H58" s="46" t="n">
        <v>6424</v>
      </c>
      <c r="I58" s="46" t="n">
        <v>135</v>
      </c>
      <c r="J58" s="44" t="n">
        <v>11.57</v>
      </c>
      <c r="K58" s="43" t="inlineStr">
        <is>
          <t>Received</t>
        </is>
      </c>
      <c r="L58" s="17">
        <f>INDEX(Items!$C$2:$C$117,MATCH(B58,Items!$A$2:$A$117,0))</f>
        <v/>
      </c>
      <c r="M58" s="49">
        <f>INDEX(Items!$E$2:$E$117,MATCH(B58,Items!$A$2:$A$117,0))</f>
        <v/>
      </c>
      <c r="N58" s="17">
        <f>TEXT(D58,"yyyy-mm")</f>
        <v/>
      </c>
      <c r="O58" s="50">
        <f>G58*J58</f>
        <v/>
      </c>
      <c r="P58" s="50">
        <f>(J58-M58)*G58</f>
        <v/>
      </c>
      <c r="Q58" s="51">
        <f>IF(K58="Received",1,0)</f>
        <v/>
      </c>
      <c r="R58" s="51">
        <f>IF(Q58=1,F58-D58,0)</f>
        <v/>
      </c>
      <c r="S58" s="51">
        <f>IF(Q58=1,IF(F58&lt;=E58,1,0),0)</f>
        <v/>
      </c>
      <c r="T58" s="51">
        <f>IF(Q58=1,IF(H58&gt;=G58,1,0),0)</f>
        <v/>
      </c>
      <c r="U58" s="51">
        <f>S58*T58</f>
        <v/>
      </c>
      <c r="V58" s="51">
        <f>IF(Q58=1,MAX(0,F58-E58),0)</f>
        <v/>
      </c>
    </row>
    <row r="59">
      <c r="A59" s="43" t="inlineStr">
        <is>
          <t>PO100722</t>
        </is>
      </c>
      <c r="B59" s="43" t="inlineStr">
        <is>
          <t>CMD-0033</t>
        </is>
      </c>
      <c r="C59" s="43" t="inlineStr">
        <is>
          <t>S07</t>
        </is>
      </c>
      <c r="D59" s="47" t="n">
        <v>45570</v>
      </c>
      <c r="E59" s="47" t="n">
        <v>45612</v>
      </c>
      <c r="F59" s="47" t="n">
        <v>45612</v>
      </c>
      <c r="G59" s="46" t="n">
        <v>3685</v>
      </c>
      <c r="H59" s="46" t="n">
        <v>3685</v>
      </c>
      <c r="I59" s="46" t="n">
        <v>24</v>
      </c>
      <c r="J59" s="44" t="n">
        <v>58.36</v>
      </c>
      <c r="K59" s="43" t="inlineStr">
        <is>
          <t>Received</t>
        </is>
      </c>
      <c r="L59" s="17">
        <f>INDEX(Items!$C$2:$C$117,MATCH(B59,Items!$A$2:$A$117,0))</f>
        <v/>
      </c>
      <c r="M59" s="49">
        <f>INDEX(Items!$E$2:$E$117,MATCH(B59,Items!$A$2:$A$117,0))</f>
        <v/>
      </c>
      <c r="N59" s="17">
        <f>TEXT(D59,"yyyy-mm")</f>
        <v/>
      </c>
      <c r="O59" s="50">
        <f>G59*J59</f>
        <v/>
      </c>
      <c r="P59" s="50">
        <f>(J59-M59)*G59</f>
        <v/>
      </c>
      <c r="Q59" s="51">
        <f>IF(K59="Received",1,0)</f>
        <v/>
      </c>
      <c r="R59" s="51">
        <f>IF(Q59=1,F59-D59,0)</f>
        <v/>
      </c>
      <c r="S59" s="51">
        <f>IF(Q59=1,IF(F59&lt;=E59,1,0),0)</f>
        <v/>
      </c>
      <c r="T59" s="51">
        <f>IF(Q59=1,IF(H59&gt;=G59,1,0),0)</f>
        <v/>
      </c>
      <c r="U59" s="51">
        <f>S59*T59</f>
        <v/>
      </c>
      <c r="V59" s="51">
        <f>IF(Q59=1,MAX(0,F59-E59),0)</f>
        <v/>
      </c>
    </row>
    <row r="60">
      <c r="A60" s="43" t="inlineStr">
        <is>
          <t>PO100096</t>
        </is>
      </c>
      <c r="B60" s="43" t="inlineStr">
        <is>
          <t>CMD-0005</t>
        </is>
      </c>
      <c r="C60" s="43" t="inlineStr">
        <is>
          <t>S07</t>
        </is>
      </c>
      <c r="D60" s="47" t="n">
        <v>45570</v>
      </c>
      <c r="E60" s="47" t="n">
        <v>45661</v>
      </c>
      <c r="F60" s="47" t="n">
        <v>45659</v>
      </c>
      <c r="G60" s="46" t="n">
        <v>4503</v>
      </c>
      <c r="H60" s="46" t="n">
        <v>4503</v>
      </c>
      <c r="I60" s="46" t="n">
        <v>30</v>
      </c>
      <c r="J60" s="44" t="n">
        <v>5.63</v>
      </c>
      <c r="K60" s="43" t="inlineStr">
        <is>
          <t>Received</t>
        </is>
      </c>
      <c r="L60" s="17">
        <f>INDEX(Items!$C$2:$C$117,MATCH(B60,Items!$A$2:$A$117,0))</f>
        <v/>
      </c>
      <c r="M60" s="49">
        <f>INDEX(Items!$E$2:$E$117,MATCH(B60,Items!$A$2:$A$117,0))</f>
        <v/>
      </c>
      <c r="N60" s="17">
        <f>TEXT(D60,"yyyy-mm")</f>
        <v/>
      </c>
      <c r="O60" s="50">
        <f>G60*J60</f>
        <v/>
      </c>
      <c r="P60" s="50">
        <f>(J60-M60)*G60</f>
        <v/>
      </c>
      <c r="Q60" s="51">
        <f>IF(K60="Received",1,0)</f>
        <v/>
      </c>
      <c r="R60" s="51">
        <f>IF(Q60=1,F60-D60,0)</f>
        <v/>
      </c>
      <c r="S60" s="51">
        <f>IF(Q60=1,IF(F60&lt;=E60,1,0),0)</f>
        <v/>
      </c>
      <c r="T60" s="51">
        <f>IF(Q60=1,IF(H60&gt;=G60,1,0),0)</f>
        <v/>
      </c>
      <c r="U60" s="51">
        <f>S60*T60</f>
        <v/>
      </c>
      <c r="V60" s="51">
        <f>IF(Q60=1,MAX(0,F60-E60),0)</f>
        <v/>
      </c>
    </row>
    <row r="61">
      <c r="A61" s="43" t="inlineStr">
        <is>
          <t>PO100430</t>
        </is>
      </c>
      <c r="B61" s="43" t="inlineStr">
        <is>
          <t>CMD-0020</t>
        </is>
      </c>
      <c r="C61" s="43" t="inlineStr">
        <is>
          <t>S04</t>
        </is>
      </c>
      <c r="D61" s="47" t="n">
        <v>45570</v>
      </c>
      <c r="E61" s="47" t="n">
        <v>45640</v>
      </c>
      <c r="F61" s="47" t="n">
        <v>45670</v>
      </c>
      <c r="G61" s="46" t="n">
        <v>3964</v>
      </c>
      <c r="H61" s="46" t="n">
        <v>3964</v>
      </c>
      <c r="I61" s="46" t="n">
        <v>41</v>
      </c>
      <c r="J61" s="44" t="n">
        <v>5.03</v>
      </c>
      <c r="K61" s="43" t="inlineStr">
        <is>
          <t>Received</t>
        </is>
      </c>
      <c r="L61" s="17">
        <f>INDEX(Items!$C$2:$C$117,MATCH(B61,Items!$A$2:$A$117,0))</f>
        <v/>
      </c>
      <c r="M61" s="49">
        <f>INDEX(Items!$E$2:$E$117,MATCH(B61,Items!$A$2:$A$117,0))</f>
        <v/>
      </c>
      <c r="N61" s="17">
        <f>TEXT(D61,"yyyy-mm")</f>
        <v/>
      </c>
      <c r="O61" s="50">
        <f>G61*J61</f>
        <v/>
      </c>
      <c r="P61" s="50">
        <f>(J61-M61)*G61</f>
        <v/>
      </c>
      <c r="Q61" s="51">
        <f>IF(K61="Received",1,0)</f>
        <v/>
      </c>
      <c r="R61" s="51">
        <f>IF(Q61=1,F61-D61,0)</f>
        <v/>
      </c>
      <c r="S61" s="51">
        <f>IF(Q61=1,IF(F61&lt;=E61,1,0),0)</f>
        <v/>
      </c>
      <c r="T61" s="51">
        <f>IF(Q61=1,IF(H61&gt;=G61,1,0),0)</f>
        <v/>
      </c>
      <c r="U61" s="51">
        <f>S61*T61</f>
        <v/>
      </c>
      <c r="V61" s="51">
        <f>IF(Q61=1,MAX(0,F61-E61),0)</f>
        <v/>
      </c>
    </row>
    <row r="62">
      <c r="A62" s="43" t="inlineStr">
        <is>
          <t>PO101252</t>
        </is>
      </c>
      <c r="B62" s="43" t="inlineStr">
        <is>
          <t>CMD-0059</t>
        </is>
      </c>
      <c r="C62" s="43" t="inlineStr">
        <is>
          <t>S01</t>
        </is>
      </c>
      <c r="D62" s="47" t="n">
        <v>45570</v>
      </c>
      <c r="E62" s="47" t="n">
        <v>45591</v>
      </c>
      <c r="F62" s="47" t="n">
        <v>45591</v>
      </c>
      <c r="G62" s="46" t="n">
        <v>200175</v>
      </c>
      <c r="H62" s="46" t="n">
        <v>148775</v>
      </c>
      <c r="I62" s="46" t="n">
        <v>294</v>
      </c>
      <c r="J62" s="44" t="n">
        <v>0.0281</v>
      </c>
      <c r="K62" s="43" t="inlineStr">
        <is>
          <t>Received</t>
        </is>
      </c>
      <c r="L62" s="17">
        <f>INDEX(Items!$C$2:$C$117,MATCH(B62,Items!$A$2:$A$117,0))</f>
        <v/>
      </c>
      <c r="M62" s="49">
        <f>INDEX(Items!$E$2:$E$117,MATCH(B62,Items!$A$2:$A$117,0))</f>
        <v/>
      </c>
      <c r="N62" s="17">
        <f>TEXT(D62,"yyyy-mm")</f>
        <v/>
      </c>
      <c r="O62" s="50">
        <f>G62*J62</f>
        <v/>
      </c>
      <c r="P62" s="50">
        <f>(J62-M62)*G62</f>
        <v/>
      </c>
      <c r="Q62" s="51">
        <f>IF(K62="Received",1,0)</f>
        <v/>
      </c>
      <c r="R62" s="51">
        <f>IF(Q62=1,F62-D62,0)</f>
        <v/>
      </c>
      <c r="S62" s="51">
        <f>IF(Q62=1,IF(F62&lt;=E62,1,0),0)</f>
        <v/>
      </c>
      <c r="T62" s="51">
        <f>IF(Q62=1,IF(H62&gt;=G62,1,0),0)</f>
        <v/>
      </c>
      <c r="U62" s="51">
        <f>S62*T62</f>
        <v/>
      </c>
      <c r="V62" s="51">
        <f>IF(Q62=1,MAX(0,F62-E62),0)</f>
        <v/>
      </c>
    </row>
    <row r="63">
      <c r="A63" s="43" t="inlineStr">
        <is>
          <t>PO101366</t>
        </is>
      </c>
      <c r="B63" s="43" t="inlineStr">
        <is>
          <t>CMD-0070</t>
        </is>
      </c>
      <c r="C63" s="43" t="inlineStr">
        <is>
          <t>S04</t>
        </is>
      </c>
      <c r="D63" s="47" t="n">
        <v>45570</v>
      </c>
      <c r="E63" s="47" t="n">
        <v>45605</v>
      </c>
      <c r="F63" s="47" t="n">
        <v>45605</v>
      </c>
      <c r="G63" s="46" t="n">
        <v>45183</v>
      </c>
      <c r="H63" s="46" t="n">
        <v>45183</v>
      </c>
      <c r="I63" s="46" t="n">
        <v>441</v>
      </c>
      <c r="J63" s="44" t="n">
        <v>0.141</v>
      </c>
      <c r="K63" s="43" t="inlineStr">
        <is>
          <t>Received</t>
        </is>
      </c>
      <c r="L63" s="17">
        <f>INDEX(Items!$C$2:$C$117,MATCH(B63,Items!$A$2:$A$117,0))</f>
        <v/>
      </c>
      <c r="M63" s="49">
        <f>INDEX(Items!$E$2:$E$117,MATCH(B63,Items!$A$2:$A$117,0))</f>
        <v/>
      </c>
      <c r="N63" s="17">
        <f>TEXT(D63,"yyyy-mm")</f>
        <v/>
      </c>
      <c r="O63" s="50">
        <f>G63*J63</f>
        <v/>
      </c>
      <c r="P63" s="50">
        <f>(J63-M63)*G63</f>
        <v/>
      </c>
      <c r="Q63" s="51">
        <f>IF(K63="Received",1,0)</f>
        <v/>
      </c>
      <c r="R63" s="51">
        <f>IF(Q63=1,F63-D63,0)</f>
        <v/>
      </c>
      <c r="S63" s="51">
        <f>IF(Q63=1,IF(F63&lt;=E63,1,0),0)</f>
        <v/>
      </c>
      <c r="T63" s="51">
        <f>IF(Q63=1,IF(H63&gt;=G63,1,0),0)</f>
        <v/>
      </c>
      <c r="U63" s="51">
        <f>S63*T63</f>
        <v/>
      </c>
      <c r="V63" s="51">
        <f>IF(Q63=1,MAX(0,F63-E63),0)</f>
        <v/>
      </c>
    </row>
    <row r="64">
      <c r="A64" s="43" t="inlineStr">
        <is>
          <t>PO100000</t>
        </is>
      </c>
      <c r="B64" s="43" t="inlineStr">
        <is>
          <t>CMD-0001</t>
        </is>
      </c>
      <c r="C64" s="43" t="inlineStr">
        <is>
          <t>S07</t>
        </is>
      </c>
      <c r="D64" s="47" t="n">
        <v>45570</v>
      </c>
      <c r="E64" s="47" t="n">
        <v>45661</v>
      </c>
      <c r="F64" s="47" t="n">
        <v>45658</v>
      </c>
      <c r="G64" s="46" t="n">
        <v>7881</v>
      </c>
      <c r="H64" s="46" t="n">
        <v>7881</v>
      </c>
      <c r="I64" s="46" t="n">
        <v>63</v>
      </c>
      <c r="J64" s="44" t="n">
        <v>14.26</v>
      </c>
      <c r="K64" s="43" t="inlineStr">
        <is>
          <t>Received</t>
        </is>
      </c>
      <c r="L64" s="17">
        <f>INDEX(Items!$C$2:$C$117,MATCH(B64,Items!$A$2:$A$117,0))</f>
        <v/>
      </c>
      <c r="M64" s="49">
        <f>INDEX(Items!$E$2:$E$117,MATCH(B64,Items!$A$2:$A$117,0))</f>
        <v/>
      </c>
      <c r="N64" s="17">
        <f>TEXT(D64,"yyyy-mm")</f>
        <v/>
      </c>
      <c r="O64" s="50">
        <f>G64*J64</f>
        <v/>
      </c>
      <c r="P64" s="50">
        <f>(J64-M64)*G64</f>
        <v/>
      </c>
      <c r="Q64" s="51">
        <f>IF(K64="Received",1,0)</f>
        <v/>
      </c>
      <c r="R64" s="51">
        <f>IF(Q64=1,F64-D64,0)</f>
        <v/>
      </c>
      <c r="S64" s="51">
        <f>IF(Q64=1,IF(F64&lt;=E64,1,0),0)</f>
        <v/>
      </c>
      <c r="T64" s="51">
        <f>IF(Q64=1,IF(H64&gt;=G64,1,0),0)</f>
        <v/>
      </c>
      <c r="U64" s="51">
        <f>S64*T64</f>
        <v/>
      </c>
      <c r="V64" s="51">
        <f>IF(Q64=1,MAX(0,F64-E64),0)</f>
        <v/>
      </c>
    </row>
    <row r="65">
      <c r="A65" s="43" t="inlineStr">
        <is>
          <t>PO101918</t>
        </is>
      </c>
      <c r="B65" s="43" t="inlineStr">
        <is>
          <t>CMD-0106</t>
        </is>
      </c>
      <c r="C65" s="43" t="inlineStr">
        <is>
          <t>S09</t>
        </is>
      </c>
      <c r="D65" s="47" t="n">
        <v>45570</v>
      </c>
      <c r="E65" s="47" t="n">
        <v>45591</v>
      </c>
      <c r="F65" s="47" t="n">
        <v>45588</v>
      </c>
      <c r="G65" s="46" t="n">
        <v>620</v>
      </c>
      <c r="H65" s="46" t="n">
        <v>620</v>
      </c>
      <c r="I65" s="46" t="n">
        <v>4</v>
      </c>
      <c r="J65" s="44" t="n">
        <v>10.42</v>
      </c>
      <c r="K65" s="43" t="inlineStr">
        <is>
          <t>Received</t>
        </is>
      </c>
      <c r="L65" s="17">
        <f>INDEX(Items!$C$2:$C$117,MATCH(B65,Items!$A$2:$A$117,0))</f>
        <v/>
      </c>
      <c r="M65" s="49">
        <f>INDEX(Items!$E$2:$E$117,MATCH(B65,Items!$A$2:$A$117,0))</f>
        <v/>
      </c>
      <c r="N65" s="17">
        <f>TEXT(D65,"yyyy-mm")</f>
        <v/>
      </c>
      <c r="O65" s="50">
        <f>G65*J65</f>
        <v/>
      </c>
      <c r="P65" s="50">
        <f>(J65-M65)*G65</f>
        <v/>
      </c>
      <c r="Q65" s="51">
        <f>IF(K65="Received",1,0)</f>
        <v/>
      </c>
      <c r="R65" s="51">
        <f>IF(Q65=1,F65-D65,0)</f>
        <v/>
      </c>
      <c r="S65" s="51">
        <f>IF(Q65=1,IF(F65&lt;=E65,1,0),0)</f>
        <v/>
      </c>
      <c r="T65" s="51">
        <f>IF(Q65=1,IF(H65&gt;=G65,1,0),0)</f>
        <v/>
      </c>
      <c r="U65" s="51">
        <f>S65*T65</f>
        <v/>
      </c>
      <c r="V65" s="51">
        <f>IF(Q65=1,MAX(0,F65-E65),0)</f>
        <v/>
      </c>
    </row>
    <row r="66">
      <c r="A66" s="43" t="inlineStr">
        <is>
          <t>PO100072</t>
        </is>
      </c>
      <c r="B66" s="43" t="inlineStr">
        <is>
          <t>CMD-0004</t>
        </is>
      </c>
      <c r="C66" s="43" t="inlineStr">
        <is>
          <t>S07</t>
        </is>
      </c>
      <c r="D66" s="47" t="n">
        <v>45571</v>
      </c>
      <c r="E66" s="47" t="n">
        <v>45662</v>
      </c>
      <c r="F66" s="47" t="n">
        <v>45660</v>
      </c>
      <c r="G66" s="46" t="n">
        <v>4066</v>
      </c>
      <c r="H66" s="46" t="n">
        <v>4066</v>
      </c>
      <c r="I66" s="46" t="n">
        <v>33</v>
      </c>
      <c r="J66" s="44" t="n">
        <v>4.05</v>
      </c>
      <c r="K66" s="43" t="inlineStr">
        <is>
          <t>Received</t>
        </is>
      </c>
      <c r="L66" s="17">
        <f>INDEX(Items!$C$2:$C$117,MATCH(B66,Items!$A$2:$A$117,0))</f>
        <v/>
      </c>
      <c r="M66" s="49">
        <f>INDEX(Items!$E$2:$E$117,MATCH(B66,Items!$A$2:$A$117,0))</f>
        <v/>
      </c>
      <c r="N66" s="17">
        <f>TEXT(D66,"yyyy-mm")</f>
        <v/>
      </c>
      <c r="O66" s="50">
        <f>G66*J66</f>
        <v/>
      </c>
      <c r="P66" s="50">
        <f>(J66-M66)*G66</f>
        <v/>
      </c>
      <c r="Q66" s="51">
        <f>IF(K66="Received",1,0)</f>
        <v/>
      </c>
      <c r="R66" s="51">
        <f>IF(Q66=1,F66-D66,0)</f>
        <v/>
      </c>
      <c r="S66" s="51">
        <f>IF(Q66=1,IF(F66&lt;=E66,1,0),0)</f>
        <v/>
      </c>
      <c r="T66" s="51">
        <f>IF(Q66=1,IF(H66&gt;=G66,1,0),0)</f>
        <v/>
      </c>
      <c r="U66" s="51">
        <f>S66*T66</f>
        <v/>
      </c>
      <c r="V66" s="51">
        <f>IF(Q66=1,MAX(0,F66-E66),0)</f>
        <v/>
      </c>
    </row>
    <row r="67">
      <c r="A67" s="43" t="inlineStr">
        <is>
          <t>PO100770</t>
        </is>
      </c>
      <c r="B67" s="43" t="inlineStr">
        <is>
          <t>CMD-0035</t>
        </is>
      </c>
      <c r="C67" s="43" t="inlineStr">
        <is>
          <t>S01</t>
        </is>
      </c>
      <c r="D67" s="47" t="n">
        <v>45571</v>
      </c>
      <c r="E67" s="47" t="n">
        <v>45599</v>
      </c>
      <c r="F67" s="47" t="n">
        <v>45599</v>
      </c>
      <c r="G67" s="46" t="n">
        <v>728</v>
      </c>
      <c r="H67" s="46" t="n">
        <v>728</v>
      </c>
      <c r="I67" s="46" t="n">
        <v>1</v>
      </c>
      <c r="J67" s="44" t="n">
        <v>9.369999999999999</v>
      </c>
      <c r="K67" s="43" t="inlineStr">
        <is>
          <t>Received</t>
        </is>
      </c>
      <c r="L67" s="17">
        <f>INDEX(Items!$C$2:$C$117,MATCH(B67,Items!$A$2:$A$117,0))</f>
        <v/>
      </c>
      <c r="M67" s="49">
        <f>INDEX(Items!$E$2:$E$117,MATCH(B67,Items!$A$2:$A$117,0))</f>
        <v/>
      </c>
      <c r="N67" s="17">
        <f>TEXT(D67,"yyyy-mm")</f>
        <v/>
      </c>
      <c r="O67" s="50">
        <f>G67*J67</f>
        <v/>
      </c>
      <c r="P67" s="50">
        <f>(J67-M67)*G67</f>
        <v/>
      </c>
      <c r="Q67" s="51">
        <f>IF(K67="Received",1,0)</f>
        <v/>
      </c>
      <c r="R67" s="51">
        <f>IF(Q67=1,F67-D67,0)</f>
        <v/>
      </c>
      <c r="S67" s="51">
        <f>IF(Q67=1,IF(F67&lt;=E67,1,0),0)</f>
        <v/>
      </c>
      <c r="T67" s="51">
        <f>IF(Q67=1,IF(H67&gt;=G67,1,0),0)</f>
        <v/>
      </c>
      <c r="U67" s="51">
        <f>S67*T67</f>
        <v/>
      </c>
      <c r="V67" s="51">
        <f>IF(Q67=1,MAX(0,F67-E67),0)</f>
        <v/>
      </c>
    </row>
    <row r="68">
      <c r="A68" s="43" t="inlineStr">
        <is>
          <t>PO101432</t>
        </is>
      </c>
      <c r="B68" s="43" t="inlineStr">
        <is>
          <t>CMD-0077</t>
        </is>
      </c>
      <c r="C68" s="43" t="inlineStr">
        <is>
          <t>S01</t>
        </is>
      </c>
      <c r="D68" s="47" t="n">
        <v>45571</v>
      </c>
      <c r="E68" s="47" t="n">
        <v>45585</v>
      </c>
      <c r="F68" s="47" t="n">
        <v>45584</v>
      </c>
      <c r="G68" s="46" t="n">
        <v>4425</v>
      </c>
      <c r="H68" s="46" t="n">
        <v>4425</v>
      </c>
      <c r="I68" s="46" t="n">
        <v>7</v>
      </c>
      <c r="J68" s="44" t="n">
        <v>8.75</v>
      </c>
      <c r="K68" s="43" t="inlineStr">
        <is>
          <t>Received</t>
        </is>
      </c>
      <c r="L68" s="17">
        <f>INDEX(Items!$C$2:$C$117,MATCH(B68,Items!$A$2:$A$117,0))</f>
        <v/>
      </c>
      <c r="M68" s="49">
        <f>INDEX(Items!$E$2:$E$117,MATCH(B68,Items!$A$2:$A$117,0))</f>
        <v/>
      </c>
      <c r="N68" s="17">
        <f>TEXT(D68,"yyyy-mm")</f>
        <v/>
      </c>
      <c r="O68" s="50">
        <f>G68*J68</f>
        <v/>
      </c>
      <c r="P68" s="50">
        <f>(J68-M68)*G68</f>
        <v/>
      </c>
      <c r="Q68" s="51">
        <f>IF(K68="Received",1,0)</f>
        <v/>
      </c>
      <c r="R68" s="51">
        <f>IF(Q68=1,F68-D68,0)</f>
        <v/>
      </c>
      <c r="S68" s="51">
        <f>IF(Q68=1,IF(F68&lt;=E68,1,0),0)</f>
        <v/>
      </c>
      <c r="T68" s="51">
        <f>IF(Q68=1,IF(H68&gt;=G68,1,0),0)</f>
        <v/>
      </c>
      <c r="U68" s="51">
        <f>S68*T68</f>
        <v/>
      </c>
      <c r="V68" s="51">
        <f>IF(Q68=1,MAX(0,F68-E68),0)</f>
        <v/>
      </c>
    </row>
    <row r="69">
      <c r="A69" s="43" t="inlineStr">
        <is>
          <t>PO101804</t>
        </is>
      </c>
      <c r="B69" s="43" t="inlineStr">
        <is>
          <t>CMD-0098</t>
        </is>
      </c>
      <c r="C69" s="43" t="inlineStr">
        <is>
          <t>S09</t>
        </is>
      </c>
      <c r="D69" s="47" t="n">
        <v>45571</v>
      </c>
      <c r="E69" s="47" t="n">
        <v>45592</v>
      </c>
      <c r="F69" s="47" t="n">
        <v>45591</v>
      </c>
      <c r="G69" s="46" t="n">
        <v>834</v>
      </c>
      <c r="H69" s="46" t="n">
        <v>834</v>
      </c>
      <c r="I69" s="46" t="n">
        <v>5</v>
      </c>
      <c r="J69" s="44" t="n">
        <v>7.2</v>
      </c>
      <c r="K69" s="43" t="inlineStr">
        <is>
          <t>Received</t>
        </is>
      </c>
      <c r="L69" s="17">
        <f>INDEX(Items!$C$2:$C$117,MATCH(B69,Items!$A$2:$A$117,0))</f>
        <v/>
      </c>
      <c r="M69" s="49">
        <f>INDEX(Items!$E$2:$E$117,MATCH(B69,Items!$A$2:$A$117,0))</f>
        <v/>
      </c>
      <c r="N69" s="17">
        <f>TEXT(D69,"yyyy-mm")</f>
        <v/>
      </c>
      <c r="O69" s="50">
        <f>G69*J69</f>
        <v/>
      </c>
      <c r="P69" s="50">
        <f>(J69-M69)*G69</f>
        <v/>
      </c>
      <c r="Q69" s="51">
        <f>IF(K69="Received",1,0)</f>
        <v/>
      </c>
      <c r="R69" s="51">
        <f>IF(Q69=1,F69-D69,0)</f>
        <v/>
      </c>
      <c r="S69" s="51">
        <f>IF(Q69=1,IF(F69&lt;=E69,1,0),0)</f>
        <v/>
      </c>
      <c r="T69" s="51">
        <f>IF(Q69=1,IF(H69&gt;=G69,1,0),0)</f>
        <v/>
      </c>
      <c r="U69" s="51">
        <f>S69*T69</f>
        <v/>
      </c>
      <c r="V69" s="51">
        <f>IF(Q69=1,MAX(0,F69-E69),0)</f>
        <v/>
      </c>
    </row>
    <row r="70">
      <c r="A70" s="43" t="inlineStr">
        <is>
          <t>PO101420</t>
        </is>
      </c>
      <c r="B70" s="43" t="inlineStr">
        <is>
          <t>CMD-0075</t>
        </is>
      </c>
      <c r="C70" s="43" t="inlineStr">
        <is>
          <t>S10</t>
        </is>
      </c>
      <c r="D70" s="47" t="n">
        <v>45571</v>
      </c>
      <c r="E70" s="47" t="n">
        <v>45599</v>
      </c>
      <c r="F70" s="47" t="n">
        <v>45597</v>
      </c>
      <c r="G70" s="46" t="n">
        <v>429092</v>
      </c>
      <c r="H70" s="46" t="n">
        <v>429092</v>
      </c>
      <c r="I70" s="46" t="n">
        <v>475</v>
      </c>
      <c r="J70" s="44" t="n">
        <v>0.0152</v>
      </c>
      <c r="K70" s="43" t="inlineStr">
        <is>
          <t>Received</t>
        </is>
      </c>
      <c r="L70" s="17">
        <f>INDEX(Items!$C$2:$C$117,MATCH(B70,Items!$A$2:$A$117,0))</f>
        <v/>
      </c>
      <c r="M70" s="49">
        <f>INDEX(Items!$E$2:$E$117,MATCH(B70,Items!$A$2:$A$117,0))</f>
        <v/>
      </c>
      <c r="N70" s="17">
        <f>TEXT(D70,"yyyy-mm")</f>
        <v/>
      </c>
      <c r="O70" s="50">
        <f>G70*J70</f>
        <v/>
      </c>
      <c r="P70" s="50">
        <f>(J70-M70)*G70</f>
        <v/>
      </c>
      <c r="Q70" s="51">
        <f>IF(K70="Received",1,0)</f>
        <v/>
      </c>
      <c r="R70" s="51">
        <f>IF(Q70=1,F70-D70,0)</f>
        <v/>
      </c>
      <c r="S70" s="51">
        <f>IF(Q70=1,IF(F70&lt;=E70,1,0),0)</f>
        <v/>
      </c>
      <c r="T70" s="51">
        <f>IF(Q70=1,IF(H70&gt;=G70,1,0),0)</f>
        <v/>
      </c>
      <c r="U70" s="51">
        <f>S70*T70</f>
        <v/>
      </c>
      <c r="V70" s="51">
        <f>IF(Q70=1,MAX(0,F70-E70),0)</f>
        <v/>
      </c>
    </row>
    <row r="71">
      <c r="A71" s="43" t="inlineStr">
        <is>
          <t>PO100568</t>
        </is>
      </c>
      <c r="B71" s="43" t="inlineStr">
        <is>
          <t>CMD-0026</t>
        </is>
      </c>
      <c r="C71" s="43" t="inlineStr">
        <is>
          <t>S04</t>
        </is>
      </c>
      <c r="D71" s="47" t="n">
        <v>45571</v>
      </c>
      <c r="E71" s="47" t="n">
        <v>45641</v>
      </c>
      <c r="F71" s="47" t="n">
        <v>45638</v>
      </c>
      <c r="G71" s="46" t="n">
        <v>7347</v>
      </c>
      <c r="H71" s="46" t="n">
        <v>7347</v>
      </c>
      <c r="I71" s="46" t="n">
        <v>74</v>
      </c>
      <c r="J71" s="44" t="n">
        <v>5.96</v>
      </c>
      <c r="K71" s="43" t="inlineStr">
        <is>
          <t>Received</t>
        </is>
      </c>
      <c r="L71" s="17">
        <f>INDEX(Items!$C$2:$C$117,MATCH(B71,Items!$A$2:$A$117,0))</f>
        <v/>
      </c>
      <c r="M71" s="49">
        <f>INDEX(Items!$E$2:$E$117,MATCH(B71,Items!$A$2:$A$117,0))</f>
        <v/>
      </c>
      <c r="N71" s="17">
        <f>TEXT(D71,"yyyy-mm")</f>
        <v/>
      </c>
      <c r="O71" s="50">
        <f>G71*J71</f>
        <v/>
      </c>
      <c r="P71" s="50">
        <f>(J71-M71)*G71</f>
        <v/>
      </c>
      <c r="Q71" s="51">
        <f>IF(K71="Received",1,0)</f>
        <v/>
      </c>
      <c r="R71" s="51">
        <f>IF(Q71=1,F71-D71,0)</f>
        <v/>
      </c>
      <c r="S71" s="51">
        <f>IF(Q71=1,IF(F71&lt;=E71,1,0),0)</f>
        <v/>
      </c>
      <c r="T71" s="51">
        <f>IF(Q71=1,IF(H71&gt;=G71,1,0),0)</f>
        <v/>
      </c>
      <c r="U71" s="51">
        <f>S71*T71</f>
        <v/>
      </c>
      <c r="V71" s="51">
        <f>IF(Q71=1,MAX(0,F71-E71),0)</f>
        <v/>
      </c>
    </row>
    <row r="72">
      <c r="A72" s="43" t="inlineStr">
        <is>
          <t>PO100688</t>
        </is>
      </c>
      <c r="B72" s="43" t="inlineStr">
        <is>
          <t>CMD-0031</t>
        </is>
      </c>
      <c r="C72" s="43" t="inlineStr">
        <is>
          <t>S01</t>
        </is>
      </c>
      <c r="D72" s="47" t="n">
        <v>45571</v>
      </c>
      <c r="E72" s="47" t="n">
        <v>45599</v>
      </c>
      <c r="F72" s="47" t="n">
        <v>45598</v>
      </c>
      <c r="G72" s="46" t="n">
        <v>595</v>
      </c>
      <c r="H72" s="46" t="n">
        <v>595</v>
      </c>
      <c r="I72" s="46" t="n">
        <v>1</v>
      </c>
      <c r="J72" s="44" t="n">
        <v>9.69</v>
      </c>
      <c r="K72" s="43" t="inlineStr">
        <is>
          <t>Received</t>
        </is>
      </c>
      <c r="L72" s="17">
        <f>INDEX(Items!$C$2:$C$117,MATCH(B72,Items!$A$2:$A$117,0))</f>
        <v/>
      </c>
      <c r="M72" s="49">
        <f>INDEX(Items!$E$2:$E$117,MATCH(B72,Items!$A$2:$A$117,0))</f>
        <v/>
      </c>
      <c r="N72" s="17">
        <f>TEXT(D72,"yyyy-mm")</f>
        <v/>
      </c>
      <c r="O72" s="50">
        <f>G72*J72</f>
        <v/>
      </c>
      <c r="P72" s="50">
        <f>(J72-M72)*G72</f>
        <v/>
      </c>
      <c r="Q72" s="51">
        <f>IF(K72="Received",1,0)</f>
        <v/>
      </c>
      <c r="R72" s="51">
        <f>IF(Q72=1,F72-D72,0)</f>
        <v/>
      </c>
      <c r="S72" s="51">
        <f>IF(Q72=1,IF(F72&lt;=E72,1,0),0)</f>
        <v/>
      </c>
      <c r="T72" s="51">
        <f>IF(Q72=1,IF(H72&gt;=G72,1,0),0)</f>
        <v/>
      </c>
      <c r="U72" s="51">
        <f>S72*T72</f>
        <v/>
      </c>
      <c r="V72" s="51">
        <f>IF(Q72=1,MAX(0,F72-E72),0)</f>
        <v/>
      </c>
    </row>
    <row r="73">
      <c r="A73" s="43" t="inlineStr">
        <is>
          <t>PO101714</t>
        </is>
      </c>
      <c r="B73" s="43" t="inlineStr">
        <is>
          <t>CMD-0094</t>
        </is>
      </c>
      <c r="C73" s="43" t="inlineStr">
        <is>
          <t>S08</t>
        </is>
      </c>
      <c r="D73" s="47" t="n">
        <v>45571</v>
      </c>
      <c r="E73" s="47" t="n">
        <v>45648</v>
      </c>
      <c r="F73" s="47" t="n">
        <v>45680</v>
      </c>
      <c r="G73" s="46" t="n">
        <v>439</v>
      </c>
      <c r="H73" s="46" t="n">
        <v>439</v>
      </c>
      <c r="I73" s="46" t="n">
        <v>7</v>
      </c>
      <c r="J73" s="44" t="n">
        <v>74.09</v>
      </c>
      <c r="K73" s="43" t="inlineStr">
        <is>
          <t>Received</t>
        </is>
      </c>
      <c r="L73" s="17">
        <f>INDEX(Items!$C$2:$C$117,MATCH(B73,Items!$A$2:$A$117,0))</f>
        <v/>
      </c>
      <c r="M73" s="49">
        <f>INDEX(Items!$E$2:$E$117,MATCH(B73,Items!$A$2:$A$117,0))</f>
        <v/>
      </c>
      <c r="N73" s="17">
        <f>TEXT(D73,"yyyy-mm")</f>
        <v/>
      </c>
      <c r="O73" s="50">
        <f>G73*J73</f>
        <v/>
      </c>
      <c r="P73" s="50">
        <f>(J73-M73)*G73</f>
        <v/>
      </c>
      <c r="Q73" s="51">
        <f>IF(K73="Received",1,0)</f>
        <v/>
      </c>
      <c r="R73" s="51">
        <f>IF(Q73=1,F73-D73,0)</f>
        <v/>
      </c>
      <c r="S73" s="51">
        <f>IF(Q73=1,IF(F73&lt;=E73,1,0),0)</f>
        <v/>
      </c>
      <c r="T73" s="51">
        <f>IF(Q73=1,IF(H73&gt;=G73,1,0),0)</f>
        <v/>
      </c>
      <c r="U73" s="51">
        <f>S73*T73</f>
        <v/>
      </c>
      <c r="V73" s="51">
        <f>IF(Q73=1,MAX(0,F73-E73),0)</f>
        <v/>
      </c>
    </row>
    <row r="74">
      <c r="A74" s="43" t="inlineStr">
        <is>
          <t>PO100292</t>
        </is>
      </c>
      <c r="B74" s="43" t="inlineStr">
        <is>
          <t>CMD-0014</t>
        </is>
      </c>
      <c r="C74" s="43" t="inlineStr">
        <is>
          <t>S03</t>
        </is>
      </c>
      <c r="D74" s="47" t="n">
        <v>45571</v>
      </c>
      <c r="E74" s="47" t="n">
        <v>45704</v>
      </c>
      <c r="F74" s="47" t="n">
        <v>45701</v>
      </c>
      <c r="G74" s="46" t="n">
        <v>4524</v>
      </c>
      <c r="H74" s="46" t="n">
        <v>4524</v>
      </c>
      <c r="I74" s="46" t="n">
        <v>21</v>
      </c>
      <c r="J74" s="44" t="n">
        <v>12.62</v>
      </c>
      <c r="K74" s="43" t="inlineStr">
        <is>
          <t>Received</t>
        </is>
      </c>
      <c r="L74" s="17">
        <f>INDEX(Items!$C$2:$C$117,MATCH(B74,Items!$A$2:$A$117,0))</f>
        <v/>
      </c>
      <c r="M74" s="49">
        <f>INDEX(Items!$E$2:$E$117,MATCH(B74,Items!$A$2:$A$117,0))</f>
        <v/>
      </c>
      <c r="N74" s="17">
        <f>TEXT(D74,"yyyy-mm")</f>
        <v/>
      </c>
      <c r="O74" s="50">
        <f>G74*J74</f>
        <v/>
      </c>
      <c r="P74" s="50">
        <f>(J74-M74)*G74</f>
        <v/>
      </c>
      <c r="Q74" s="51">
        <f>IF(K74="Received",1,0)</f>
        <v/>
      </c>
      <c r="R74" s="51">
        <f>IF(Q74=1,F74-D74,0)</f>
        <v/>
      </c>
      <c r="S74" s="51">
        <f>IF(Q74=1,IF(F74&lt;=E74,1,0),0)</f>
        <v/>
      </c>
      <c r="T74" s="51">
        <f>IF(Q74=1,IF(H74&gt;=G74,1,0),0)</f>
        <v/>
      </c>
      <c r="U74" s="51">
        <f>S74*T74</f>
        <v/>
      </c>
      <c r="V74" s="51">
        <f>IF(Q74=1,MAX(0,F74-E74),0)</f>
        <v/>
      </c>
    </row>
    <row r="75">
      <c r="A75" s="43" t="inlineStr">
        <is>
          <t>PO101532</t>
        </is>
      </c>
      <c r="B75" s="43" t="inlineStr">
        <is>
          <t>CMD-0082</t>
        </is>
      </c>
      <c r="C75" s="43" t="inlineStr">
        <is>
          <t>S01</t>
        </is>
      </c>
      <c r="D75" s="47" t="n">
        <v>45571</v>
      </c>
      <c r="E75" s="47" t="n">
        <v>45585</v>
      </c>
      <c r="F75" s="47" t="n">
        <v>45582</v>
      </c>
      <c r="G75" s="46" t="n">
        <v>6589</v>
      </c>
      <c r="H75" s="46" t="n">
        <v>6589</v>
      </c>
      <c r="I75" s="46" t="n">
        <v>15</v>
      </c>
      <c r="J75" s="44" t="n">
        <v>2.32</v>
      </c>
      <c r="K75" s="43" t="inlineStr">
        <is>
          <t>Received</t>
        </is>
      </c>
      <c r="L75" s="17">
        <f>INDEX(Items!$C$2:$C$117,MATCH(B75,Items!$A$2:$A$117,0))</f>
        <v/>
      </c>
      <c r="M75" s="49">
        <f>INDEX(Items!$E$2:$E$117,MATCH(B75,Items!$A$2:$A$117,0))</f>
        <v/>
      </c>
      <c r="N75" s="17">
        <f>TEXT(D75,"yyyy-mm")</f>
        <v/>
      </c>
      <c r="O75" s="50">
        <f>G75*J75</f>
        <v/>
      </c>
      <c r="P75" s="50">
        <f>(J75-M75)*G75</f>
        <v/>
      </c>
      <c r="Q75" s="51">
        <f>IF(K75="Received",1,0)</f>
        <v/>
      </c>
      <c r="R75" s="51">
        <f>IF(Q75=1,F75-D75,0)</f>
        <v/>
      </c>
      <c r="S75" s="51">
        <f>IF(Q75=1,IF(F75&lt;=E75,1,0),0)</f>
        <v/>
      </c>
      <c r="T75" s="51">
        <f>IF(Q75=1,IF(H75&gt;=G75,1,0),0)</f>
        <v/>
      </c>
      <c r="U75" s="51">
        <f>S75*T75</f>
        <v/>
      </c>
      <c r="V75" s="51">
        <f>IF(Q75=1,MAX(0,F75-E75),0)</f>
        <v/>
      </c>
    </row>
    <row r="76">
      <c r="A76" s="43" t="inlineStr">
        <is>
          <t>PO101120</t>
        </is>
      </c>
      <c r="B76" s="43" t="inlineStr">
        <is>
          <t>CMD-0052</t>
        </is>
      </c>
      <c r="C76" s="43" t="inlineStr">
        <is>
          <t>S01</t>
        </is>
      </c>
      <c r="D76" s="47" t="n">
        <v>45571</v>
      </c>
      <c r="E76" s="47" t="n">
        <v>45592</v>
      </c>
      <c r="F76" s="47" t="n">
        <v>45596</v>
      </c>
      <c r="G76" s="46" t="n">
        <v>156823</v>
      </c>
      <c r="H76" s="46" t="n">
        <v>156823</v>
      </c>
      <c r="I76" s="46" t="n">
        <v>304</v>
      </c>
      <c r="J76" s="44" t="n">
        <v>0.2016</v>
      </c>
      <c r="K76" s="43" t="inlineStr">
        <is>
          <t>Received</t>
        </is>
      </c>
      <c r="L76" s="17">
        <f>INDEX(Items!$C$2:$C$117,MATCH(B76,Items!$A$2:$A$117,0))</f>
        <v/>
      </c>
      <c r="M76" s="49">
        <f>INDEX(Items!$E$2:$E$117,MATCH(B76,Items!$A$2:$A$117,0))</f>
        <v/>
      </c>
      <c r="N76" s="17">
        <f>TEXT(D76,"yyyy-mm")</f>
        <v/>
      </c>
      <c r="O76" s="50">
        <f>G76*J76</f>
        <v/>
      </c>
      <c r="P76" s="50">
        <f>(J76-M76)*G76</f>
        <v/>
      </c>
      <c r="Q76" s="51">
        <f>IF(K76="Received",1,0)</f>
        <v/>
      </c>
      <c r="R76" s="51">
        <f>IF(Q76=1,F76-D76,0)</f>
        <v/>
      </c>
      <c r="S76" s="51">
        <f>IF(Q76=1,IF(F76&lt;=E76,1,0),0)</f>
        <v/>
      </c>
      <c r="T76" s="51">
        <f>IF(Q76=1,IF(H76&gt;=G76,1,0),0)</f>
        <v/>
      </c>
      <c r="U76" s="51">
        <f>S76*T76</f>
        <v/>
      </c>
      <c r="V76" s="51">
        <f>IF(Q76=1,MAX(0,F76-E76),0)</f>
        <v/>
      </c>
    </row>
    <row r="77">
      <c r="A77" s="43" t="inlineStr">
        <is>
          <t>PO100616</t>
        </is>
      </c>
      <c r="B77" s="43" t="inlineStr">
        <is>
          <t>CMD-0028</t>
        </is>
      </c>
      <c r="C77" s="43" t="inlineStr">
        <is>
          <t>S11</t>
        </is>
      </c>
      <c r="D77" s="47" t="n">
        <v>45571</v>
      </c>
      <c r="E77" s="47" t="n">
        <v>45648</v>
      </c>
      <c r="F77" s="47" t="n">
        <v>45645</v>
      </c>
      <c r="G77" s="46" t="n">
        <v>3488</v>
      </c>
      <c r="H77" s="46" t="n">
        <v>2427</v>
      </c>
      <c r="I77" s="46" t="n">
        <v>9</v>
      </c>
      <c r="J77" s="44" t="n">
        <v>15.84</v>
      </c>
      <c r="K77" s="43" t="inlineStr">
        <is>
          <t>Received</t>
        </is>
      </c>
      <c r="L77" s="17">
        <f>INDEX(Items!$C$2:$C$117,MATCH(B77,Items!$A$2:$A$117,0))</f>
        <v/>
      </c>
      <c r="M77" s="49">
        <f>INDEX(Items!$E$2:$E$117,MATCH(B77,Items!$A$2:$A$117,0))</f>
        <v/>
      </c>
      <c r="N77" s="17">
        <f>TEXT(D77,"yyyy-mm")</f>
        <v/>
      </c>
      <c r="O77" s="50">
        <f>G77*J77</f>
        <v/>
      </c>
      <c r="P77" s="50">
        <f>(J77-M77)*G77</f>
        <v/>
      </c>
      <c r="Q77" s="51">
        <f>IF(K77="Received",1,0)</f>
        <v/>
      </c>
      <c r="R77" s="51">
        <f>IF(Q77=1,F77-D77,0)</f>
        <v/>
      </c>
      <c r="S77" s="51">
        <f>IF(Q77=1,IF(F77&lt;=E77,1,0),0)</f>
        <v/>
      </c>
      <c r="T77" s="51">
        <f>IF(Q77=1,IF(H77&gt;=G77,1,0),0)</f>
        <v/>
      </c>
      <c r="U77" s="51">
        <f>S77*T77</f>
        <v/>
      </c>
      <c r="V77" s="51">
        <f>IF(Q77=1,MAX(0,F77-E77),0)</f>
        <v/>
      </c>
    </row>
    <row r="78">
      <c r="A78" s="43" t="inlineStr">
        <is>
          <t>PO101332</t>
        </is>
      </c>
      <c r="B78" s="43" t="inlineStr">
        <is>
          <t>CMD-0066</t>
        </is>
      </c>
      <c r="C78" s="43" t="inlineStr">
        <is>
          <t>S10</t>
        </is>
      </c>
      <c r="D78" s="47" t="n">
        <v>45572</v>
      </c>
      <c r="E78" s="47" t="n">
        <v>45600</v>
      </c>
      <c r="F78" s="47" t="n">
        <v>45598</v>
      </c>
      <c r="G78" s="46" t="n">
        <v>53301</v>
      </c>
      <c r="H78" s="46" t="n">
        <v>53301</v>
      </c>
      <c r="I78" s="46" t="n">
        <v>50</v>
      </c>
      <c r="J78" s="44" t="n">
        <v>0.0573</v>
      </c>
      <c r="K78" s="43" t="inlineStr">
        <is>
          <t>Received</t>
        </is>
      </c>
      <c r="L78" s="17">
        <f>INDEX(Items!$C$2:$C$117,MATCH(B78,Items!$A$2:$A$117,0))</f>
        <v/>
      </c>
      <c r="M78" s="49">
        <f>INDEX(Items!$E$2:$E$117,MATCH(B78,Items!$A$2:$A$117,0))</f>
        <v/>
      </c>
      <c r="N78" s="17">
        <f>TEXT(D78,"yyyy-mm")</f>
        <v/>
      </c>
      <c r="O78" s="50">
        <f>G78*J78</f>
        <v/>
      </c>
      <c r="P78" s="50">
        <f>(J78-M78)*G78</f>
        <v/>
      </c>
      <c r="Q78" s="51">
        <f>IF(K78="Received",1,0)</f>
        <v/>
      </c>
      <c r="R78" s="51">
        <f>IF(Q78=1,F78-D78,0)</f>
        <v/>
      </c>
      <c r="S78" s="51">
        <f>IF(Q78=1,IF(F78&lt;=E78,1,0),0)</f>
        <v/>
      </c>
      <c r="T78" s="51">
        <f>IF(Q78=1,IF(H78&gt;=G78,1,0),0)</f>
        <v/>
      </c>
      <c r="U78" s="51">
        <f>S78*T78</f>
        <v/>
      </c>
      <c r="V78" s="51">
        <f>IF(Q78=1,MAX(0,F78-E78),0)</f>
        <v/>
      </c>
    </row>
    <row r="79">
      <c r="A79" s="43" t="inlineStr">
        <is>
          <t>PO100340</t>
        </is>
      </c>
      <c r="B79" s="43" t="inlineStr">
        <is>
          <t>CMD-0016</t>
        </is>
      </c>
      <c r="C79" s="43" t="inlineStr">
        <is>
          <t>S07</t>
        </is>
      </c>
      <c r="D79" s="47" t="n">
        <v>45572</v>
      </c>
      <c r="E79" s="47" t="n">
        <v>45663</v>
      </c>
      <c r="F79" s="47" t="n">
        <v>45662</v>
      </c>
      <c r="G79" s="46" t="n">
        <v>7444</v>
      </c>
      <c r="H79" s="46" t="n">
        <v>7444</v>
      </c>
      <c r="I79" s="46" t="n">
        <v>69</v>
      </c>
      <c r="J79" s="44" t="n">
        <v>27.02</v>
      </c>
      <c r="K79" s="43" t="inlineStr">
        <is>
          <t>Received</t>
        </is>
      </c>
      <c r="L79" s="17">
        <f>INDEX(Items!$C$2:$C$117,MATCH(B79,Items!$A$2:$A$117,0))</f>
        <v/>
      </c>
      <c r="M79" s="49">
        <f>INDEX(Items!$E$2:$E$117,MATCH(B79,Items!$A$2:$A$117,0))</f>
        <v/>
      </c>
      <c r="N79" s="17">
        <f>TEXT(D79,"yyyy-mm")</f>
        <v/>
      </c>
      <c r="O79" s="50">
        <f>G79*J79</f>
        <v/>
      </c>
      <c r="P79" s="50">
        <f>(J79-M79)*G79</f>
        <v/>
      </c>
      <c r="Q79" s="51">
        <f>IF(K79="Received",1,0)</f>
        <v/>
      </c>
      <c r="R79" s="51">
        <f>IF(Q79=1,F79-D79,0)</f>
        <v/>
      </c>
      <c r="S79" s="51">
        <f>IF(Q79=1,IF(F79&lt;=E79,1,0),0)</f>
        <v/>
      </c>
      <c r="T79" s="51">
        <f>IF(Q79=1,IF(H79&gt;=G79,1,0),0)</f>
        <v/>
      </c>
      <c r="U79" s="51">
        <f>S79*T79</f>
        <v/>
      </c>
      <c r="V79" s="51">
        <f>IF(Q79=1,MAX(0,F79-E79),0)</f>
        <v/>
      </c>
    </row>
    <row r="80">
      <c r="A80" s="43" t="inlineStr">
        <is>
          <t>PO100120</t>
        </is>
      </c>
      <c r="B80" s="43" t="inlineStr">
        <is>
          <t>CMD-0006</t>
        </is>
      </c>
      <c r="C80" s="43" t="inlineStr">
        <is>
          <t>S03</t>
        </is>
      </c>
      <c r="D80" s="47" t="n">
        <v>45572</v>
      </c>
      <c r="E80" s="47" t="n">
        <v>45705</v>
      </c>
      <c r="F80" s="47" t="n">
        <v>45703</v>
      </c>
      <c r="G80" s="46" t="n">
        <v>839</v>
      </c>
      <c r="H80" s="46" t="n">
        <v>839</v>
      </c>
      <c r="I80" s="46" t="n">
        <v>3</v>
      </c>
      <c r="J80" s="44" t="n">
        <v>30.55</v>
      </c>
      <c r="K80" s="43" t="inlineStr">
        <is>
          <t>Received</t>
        </is>
      </c>
      <c r="L80" s="17">
        <f>INDEX(Items!$C$2:$C$117,MATCH(B80,Items!$A$2:$A$117,0))</f>
        <v/>
      </c>
      <c r="M80" s="49">
        <f>INDEX(Items!$E$2:$E$117,MATCH(B80,Items!$A$2:$A$117,0))</f>
        <v/>
      </c>
      <c r="N80" s="17">
        <f>TEXT(D80,"yyyy-mm")</f>
        <v/>
      </c>
      <c r="O80" s="50">
        <f>G80*J80</f>
        <v/>
      </c>
      <c r="P80" s="50">
        <f>(J80-M80)*G80</f>
        <v/>
      </c>
      <c r="Q80" s="51">
        <f>IF(K80="Received",1,0)</f>
        <v/>
      </c>
      <c r="R80" s="51">
        <f>IF(Q80=1,F80-D80,0)</f>
        <v/>
      </c>
      <c r="S80" s="51">
        <f>IF(Q80=1,IF(F80&lt;=E80,1,0),0)</f>
        <v/>
      </c>
      <c r="T80" s="51">
        <f>IF(Q80=1,IF(H80&gt;=G80,1,0),0)</f>
        <v/>
      </c>
      <c r="U80" s="51">
        <f>S80*T80</f>
        <v/>
      </c>
      <c r="V80" s="51">
        <f>IF(Q80=1,MAX(0,F80-E80),0)</f>
        <v/>
      </c>
    </row>
    <row r="81">
      <c r="A81" s="43" t="inlineStr">
        <is>
          <t>PO101182</t>
        </is>
      </c>
      <c r="B81" s="43" t="inlineStr">
        <is>
          <t>CMD-0055</t>
        </is>
      </c>
      <c r="C81" s="43" t="inlineStr">
        <is>
          <t>S04</t>
        </is>
      </c>
      <c r="D81" s="47" t="n">
        <v>45572</v>
      </c>
      <c r="E81" s="47" t="n">
        <v>45607</v>
      </c>
      <c r="F81" s="47" t="n">
        <v>45604</v>
      </c>
      <c r="G81" s="46" t="n">
        <v>103425</v>
      </c>
      <c r="H81" s="46" t="n">
        <v>103425</v>
      </c>
      <c r="I81" s="46" t="n">
        <v>996</v>
      </c>
      <c r="J81" s="44" t="n">
        <v>0.09379999999999999</v>
      </c>
      <c r="K81" s="43" t="inlineStr">
        <is>
          <t>Received</t>
        </is>
      </c>
      <c r="L81" s="17">
        <f>INDEX(Items!$C$2:$C$117,MATCH(B81,Items!$A$2:$A$117,0))</f>
        <v/>
      </c>
      <c r="M81" s="49">
        <f>INDEX(Items!$E$2:$E$117,MATCH(B81,Items!$A$2:$A$117,0))</f>
        <v/>
      </c>
      <c r="N81" s="17">
        <f>TEXT(D81,"yyyy-mm")</f>
        <v/>
      </c>
      <c r="O81" s="50">
        <f>G81*J81</f>
        <v/>
      </c>
      <c r="P81" s="50">
        <f>(J81-M81)*G81</f>
        <v/>
      </c>
      <c r="Q81" s="51">
        <f>IF(K81="Received",1,0)</f>
        <v/>
      </c>
      <c r="R81" s="51">
        <f>IF(Q81=1,F81-D81,0)</f>
        <v/>
      </c>
      <c r="S81" s="51">
        <f>IF(Q81=1,IF(F81&lt;=E81,1,0),0)</f>
        <v/>
      </c>
      <c r="T81" s="51">
        <f>IF(Q81=1,IF(H81&gt;=G81,1,0),0)</f>
        <v/>
      </c>
      <c r="U81" s="51">
        <f>S81*T81</f>
        <v/>
      </c>
      <c r="V81" s="51">
        <f>IF(Q81=1,MAX(0,F81-E81),0)</f>
        <v/>
      </c>
    </row>
    <row r="82">
      <c r="A82" s="43" t="inlineStr">
        <is>
          <t>PO100842</t>
        </is>
      </c>
      <c r="B82" s="43" t="inlineStr">
        <is>
          <t>CMD-0038</t>
        </is>
      </c>
      <c r="C82" s="43" t="inlineStr">
        <is>
          <t>S01</t>
        </is>
      </c>
      <c r="D82" s="47" t="n">
        <v>45572</v>
      </c>
      <c r="E82" s="47" t="n">
        <v>45600</v>
      </c>
      <c r="F82" s="47" t="n">
        <v>45599</v>
      </c>
      <c r="G82" s="46" t="n">
        <v>827</v>
      </c>
      <c r="H82" s="46" t="n">
        <v>827</v>
      </c>
      <c r="I82" s="46" t="n">
        <v>1</v>
      </c>
      <c r="J82" s="44" t="n">
        <v>21.49</v>
      </c>
      <c r="K82" s="43" t="inlineStr">
        <is>
          <t>Received</t>
        </is>
      </c>
      <c r="L82" s="17">
        <f>INDEX(Items!$C$2:$C$117,MATCH(B82,Items!$A$2:$A$117,0))</f>
        <v/>
      </c>
      <c r="M82" s="49">
        <f>INDEX(Items!$E$2:$E$117,MATCH(B82,Items!$A$2:$A$117,0))</f>
        <v/>
      </c>
      <c r="N82" s="17">
        <f>TEXT(D82,"yyyy-mm")</f>
        <v/>
      </c>
      <c r="O82" s="50">
        <f>G82*J82</f>
        <v/>
      </c>
      <c r="P82" s="50">
        <f>(J82-M82)*G82</f>
        <v/>
      </c>
      <c r="Q82" s="51">
        <f>IF(K82="Received",1,0)</f>
        <v/>
      </c>
      <c r="R82" s="51">
        <f>IF(Q82=1,F82-D82,0)</f>
        <v/>
      </c>
      <c r="S82" s="51">
        <f>IF(Q82=1,IF(F82&lt;=E82,1,0),0)</f>
        <v/>
      </c>
      <c r="T82" s="51">
        <f>IF(Q82=1,IF(H82&gt;=G82,1,0),0)</f>
        <v/>
      </c>
      <c r="U82" s="51">
        <f>S82*T82</f>
        <v/>
      </c>
      <c r="V82" s="51">
        <f>IF(Q82=1,MAX(0,F82-E82),0)</f>
        <v/>
      </c>
    </row>
    <row r="83">
      <c r="A83" s="43" t="inlineStr">
        <is>
          <t>PO100746</t>
        </is>
      </c>
      <c r="B83" s="43" t="inlineStr">
        <is>
          <t>CMD-0034</t>
        </is>
      </c>
      <c r="C83" s="43" t="inlineStr">
        <is>
          <t>S04</t>
        </is>
      </c>
      <c r="D83" s="47" t="n">
        <v>45572</v>
      </c>
      <c r="E83" s="47" t="n">
        <v>45614</v>
      </c>
      <c r="F83" s="47" t="n">
        <v>45612</v>
      </c>
      <c r="G83" s="46" t="n">
        <v>646</v>
      </c>
      <c r="H83" s="46" t="n">
        <v>646</v>
      </c>
      <c r="I83" s="46" t="n">
        <v>5</v>
      </c>
      <c r="J83" s="44" t="n">
        <v>10.55</v>
      </c>
      <c r="K83" s="43" t="inlineStr">
        <is>
          <t>Received</t>
        </is>
      </c>
      <c r="L83" s="17">
        <f>INDEX(Items!$C$2:$C$117,MATCH(B83,Items!$A$2:$A$117,0))</f>
        <v/>
      </c>
      <c r="M83" s="49">
        <f>INDEX(Items!$E$2:$E$117,MATCH(B83,Items!$A$2:$A$117,0))</f>
        <v/>
      </c>
      <c r="N83" s="17">
        <f>TEXT(D83,"yyyy-mm")</f>
        <v/>
      </c>
      <c r="O83" s="50">
        <f>G83*J83</f>
        <v/>
      </c>
      <c r="P83" s="50">
        <f>(J83-M83)*G83</f>
        <v/>
      </c>
      <c r="Q83" s="51">
        <f>IF(K83="Received",1,0)</f>
        <v/>
      </c>
      <c r="R83" s="51">
        <f>IF(Q83=1,F83-D83,0)</f>
        <v/>
      </c>
      <c r="S83" s="51">
        <f>IF(Q83=1,IF(F83&lt;=E83,1,0),0)</f>
        <v/>
      </c>
      <c r="T83" s="51">
        <f>IF(Q83=1,IF(H83&gt;=G83,1,0),0)</f>
        <v/>
      </c>
      <c r="U83" s="51">
        <f>S83*T83</f>
        <v/>
      </c>
      <c r="V83" s="51">
        <f>IF(Q83=1,MAX(0,F83-E83),0)</f>
        <v/>
      </c>
    </row>
    <row r="84">
      <c r="A84" s="43" t="inlineStr">
        <is>
          <t>PO101690</t>
        </is>
      </c>
      <c r="B84" s="43" t="inlineStr">
        <is>
          <t>CMD-0093</t>
        </is>
      </c>
      <c r="C84" s="43" t="inlineStr">
        <is>
          <t>S08</t>
        </is>
      </c>
      <c r="D84" s="47" t="n">
        <v>45572</v>
      </c>
      <c r="E84" s="47" t="n">
        <v>45649</v>
      </c>
      <c r="F84" s="47" t="n">
        <v>45647</v>
      </c>
      <c r="G84" s="46" t="n">
        <v>716</v>
      </c>
      <c r="H84" s="46" t="n">
        <v>716</v>
      </c>
      <c r="I84" s="46" t="n">
        <v>9</v>
      </c>
      <c r="J84" s="44" t="n">
        <v>59.41</v>
      </c>
      <c r="K84" s="43" t="inlineStr">
        <is>
          <t>Received</t>
        </is>
      </c>
      <c r="L84" s="17">
        <f>INDEX(Items!$C$2:$C$117,MATCH(B84,Items!$A$2:$A$117,0))</f>
        <v/>
      </c>
      <c r="M84" s="49">
        <f>INDEX(Items!$E$2:$E$117,MATCH(B84,Items!$A$2:$A$117,0))</f>
        <v/>
      </c>
      <c r="N84" s="17">
        <f>TEXT(D84,"yyyy-mm")</f>
        <v/>
      </c>
      <c r="O84" s="50">
        <f>G84*J84</f>
        <v/>
      </c>
      <c r="P84" s="50">
        <f>(J84-M84)*G84</f>
        <v/>
      </c>
      <c r="Q84" s="51">
        <f>IF(K84="Received",1,0)</f>
        <v/>
      </c>
      <c r="R84" s="51">
        <f>IF(Q84=1,F84-D84,0)</f>
        <v/>
      </c>
      <c r="S84" s="51">
        <f>IF(Q84=1,IF(F84&lt;=E84,1,0),0)</f>
        <v/>
      </c>
      <c r="T84" s="51">
        <f>IF(Q84=1,IF(H84&gt;=G84,1,0),0)</f>
        <v/>
      </c>
      <c r="U84" s="51">
        <f>S84*T84</f>
        <v/>
      </c>
      <c r="V84" s="51">
        <f>IF(Q84=1,MAX(0,F84-E84),0)</f>
        <v/>
      </c>
    </row>
    <row r="85">
      <c r="A85" s="43" t="inlineStr">
        <is>
          <t>PO102004</t>
        </is>
      </c>
      <c r="B85" s="43" t="inlineStr">
        <is>
          <t>CMD-0114</t>
        </is>
      </c>
      <c r="C85" s="43" t="inlineStr">
        <is>
          <t>S12</t>
        </is>
      </c>
      <c r="D85" s="47" t="n">
        <v>45572</v>
      </c>
      <c r="E85" s="47" t="n">
        <v>45579</v>
      </c>
      <c r="F85" s="47" t="n">
        <v>45576</v>
      </c>
      <c r="G85" s="46" t="n">
        <v>15843</v>
      </c>
      <c r="H85" s="46" t="n">
        <v>15843</v>
      </c>
      <c r="I85" s="46" t="n">
        <v>19</v>
      </c>
      <c r="J85" s="44" t="n">
        <v>0.3431</v>
      </c>
      <c r="K85" s="43" t="inlineStr">
        <is>
          <t>Received</t>
        </is>
      </c>
      <c r="L85" s="17">
        <f>INDEX(Items!$C$2:$C$117,MATCH(B85,Items!$A$2:$A$117,0))</f>
        <v/>
      </c>
      <c r="M85" s="49">
        <f>INDEX(Items!$E$2:$E$117,MATCH(B85,Items!$A$2:$A$117,0))</f>
        <v/>
      </c>
      <c r="N85" s="17">
        <f>TEXT(D85,"yyyy-mm")</f>
        <v/>
      </c>
      <c r="O85" s="50">
        <f>G85*J85</f>
        <v/>
      </c>
      <c r="P85" s="50">
        <f>(J85-M85)*G85</f>
        <v/>
      </c>
      <c r="Q85" s="51">
        <f>IF(K85="Received",1,0)</f>
        <v/>
      </c>
      <c r="R85" s="51">
        <f>IF(Q85=1,F85-D85,0)</f>
        <v/>
      </c>
      <c r="S85" s="51">
        <f>IF(Q85=1,IF(F85&lt;=E85,1,0),0)</f>
        <v/>
      </c>
      <c r="T85" s="51">
        <f>IF(Q85=1,IF(H85&gt;=G85,1,0),0)</f>
        <v/>
      </c>
      <c r="U85" s="51">
        <f>S85*T85</f>
        <v/>
      </c>
      <c r="V85" s="51">
        <f>IF(Q85=1,MAX(0,F85-E85),0)</f>
        <v/>
      </c>
    </row>
    <row r="86">
      <c r="A86" s="43" t="inlineStr">
        <is>
          <t>PO100496</t>
        </is>
      </c>
      <c r="B86" s="43" t="inlineStr">
        <is>
          <t>CMD-0023</t>
        </is>
      </c>
      <c r="C86" s="43" t="inlineStr">
        <is>
          <t>S04</t>
        </is>
      </c>
      <c r="D86" s="47" t="n">
        <v>45572</v>
      </c>
      <c r="E86" s="47" t="n">
        <v>45642</v>
      </c>
      <c r="F86" s="47" t="n">
        <v>45641</v>
      </c>
      <c r="G86" s="46" t="n">
        <v>3777</v>
      </c>
      <c r="H86" s="46" t="n">
        <v>3777</v>
      </c>
      <c r="I86" s="46" t="n">
        <v>41</v>
      </c>
      <c r="J86" s="44" t="n">
        <v>8.800000000000001</v>
      </c>
      <c r="K86" s="43" t="inlineStr">
        <is>
          <t>Received</t>
        </is>
      </c>
      <c r="L86" s="17">
        <f>INDEX(Items!$C$2:$C$117,MATCH(B86,Items!$A$2:$A$117,0))</f>
        <v/>
      </c>
      <c r="M86" s="49">
        <f>INDEX(Items!$E$2:$E$117,MATCH(B86,Items!$A$2:$A$117,0))</f>
        <v/>
      </c>
      <c r="N86" s="17">
        <f>TEXT(D86,"yyyy-mm")</f>
        <v/>
      </c>
      <c r="O86" s="50">
        <f>G86*J86</f>
        <v/>
      </c>
      <c r="P86" s="50">
        <f>(J86-M86)*G86</f>
        <v/>
      </c>
      <c r="Q86" s="51">
        <f>IF(K86="Received",1,0)</f>
        <v/>
      </c>
      <c r="R86" s="51">
        <f>IF(Q86=1,F86-D86,0)</f>
        <v/>
      </c>
      <c r="S86" s="51">
        <f>IF(Q86=1,IF(F86&lt;=E86,1,0),0)</f>
        <v/>
      </c>
      <c r="T86" s="51">
        <f>IF(Q86=1,IF(H86&gt;=G86,1,0),0)</f>
        <v/>
      </c>
      <c r="U86" s="51">
        <f>S86*T86</f>
        <v/>
      </c>
      <c r="V86" s="51">
        <f>IF(Q86=1,MAX(0,F86-E86),0)</f>
        <v/>
      </c>
    </row>
    <row r="87">
      <c r="A87" s="43" t="inlineStr">
        <is>
          <t>PO100240</t>
        </is>
      </c>
      <c r="B87" s="43" t="inlineStr">
        <is>
          <t>CMD-0011</t>
        </is>
      </c>
      <c r="C87" s="43" t="inlineStr">
        <is>
          <t>S07</t>
        </is>
      </c>
      <c r="D87" s="47" t="n">
        <v>45572</v>
      </c>
      <c r="E87" s="47" t="n">
        <v>45663</v>
      </c>
      <c r="F87" s="47" t="n">
        <v>45660</v>
      </c>
      <c r="G87" s="46" t="n">
        <v>2978</v>
      </c>
      <c r="H87" s="46" t="n">
        <v>2733</v>
      </c>
      <c r="I87" s="46" t="n">
        <v>26</v>
      </c>
      <c r="J87" s="44" t="n">
        <v>8.08</v>
      </c>
      <c r="K87" s="43" t="inlineStr">
        <is>
          <t>Received</t>
        </is>
      </c>
      <c r="L87" s="17">
        <f>INDEX(Items!$C$2:$C$117,MATCH(B87,Items!$A$2:$A$117,0))</f>
        <v/>
      </c>
      <c r="M87" s="49">
        <f>INDEX(Items!$E$2:$E$117,MATCH(B87,Items!$A$2:$A$117,0))</f>
        <v/>
      </c>
      <c r="N87" s="17">
        <f>TEXT(D87,"yyyy-mm")</f>
        <v/>
      </c>
      <c r="O87" s="50">
        <f>G87*J87</f>
        <v/>
      </c>
      <c r="P87" s="50">
        <f>(J87-M87)*G87</f>
        <v/>
      </c>
      <c r="Q87" s="51">
        <f>IF(K87="Received",1,0)</f>
        <v/>
      </c>
      <c r="R87" s="51">
        <f>IF(Q87=1,F87-D87,0)</f>
        <v/>
      </c>
      <c r="S87" s="51">
        <f>IF(Q87=1,IF(F87&lt;=E87,1,0),0)</f>
        <v/>
      </c>
      <c r="T87" s="51">
        <f>IF(Q87=1,IF(H87&gt;=G87,1,0),0)</f>
        <v/>
      </c>
      <c r="U87" s="51">
        <f>S87*T87</f>
        <v/>
      </c>
      <c r="V87" s="51">
        <f>IF(Q87=1,MAX(0,F87-E87),0)</f>
        <v/>
      </c>
    </row>
    <row r="88">
      <c r="A88" s="43" t="inlineStr">
        <is>
          <t>PO101844</t>
        </is>
      </c>
      <c r="B88" s="43" t="inlineStr">
        <is>
          <t>CMD-0101</t>
        </is>
      </c>
      <c r="C88" s="43" t="inlineStr">
        <is>
          <t>S09</t>
        </is>
      </c>
      <c r="D88" s="47" t="n">
        <v>45572</v>
      </c>
      <c r="E88" s="47" t="n">
        <v>45593</v>
      </c>
      <c r="F88" s="47" t="n">
        <v>45590</v>
      </c>
      <c r="G88" s="46" t="n">
        <v>4590</v>
      </c>
      <c r="H88" s="46" t="n">
        <v>4590</v>
      </c>
      <c r="I88" s="46" t="n">
        <v>16</v>
      </c>
      <c r="J88" s="44" t="n">
        <v>3.7</v>
      </c>
      <c r="K88" s="43" t="inlineStr">
        <is>
          <t>Received</t>
        </is>
      </c>
      <c r="L88" s="17">
        <f>INDEX(Items!$C$2:$C$117,MATCH(B88,Items!$A$2:$A$117,0))</f>
        <v/>
      </c>
      <c r="M88" s="49">
        <f>INDEX(Items!$E$2:$E$117,MATCH(B88,Items!$A$2:$A$117,0))</f>
        <v/>
      </c>
      <c r="N88" s="17">
        <f>TEXT(D88,"yyyy-mm")</f>
        <v/>
      </c>
      <c r="O88" s="50">
        <f>G88*J88</f>
        <v/>
      </c>
      <c r="P88" s="50">
        <f>(J88-M88)*G88</f>
        <v/>
      </c>
      <c r="Q88" s="51">
        <f>IF(K88="Received",1,0)</f>
        <v/>
      </c>
      <c r="R88" s="51">
        <f>IF(Q88=1,F88-D88,0)</f>
        <v/>
      </c>
      <c r="S88" s="51">
        <f>IF(Q88=1,IF(F88&lt;=E88,1,0),0)</f>
        <v/>
      </c>
      <c r="T88" s="51">
        <f>IF(Q88=1,IF(H88&gt;=G88,1,0),0)</f>
        <v/>
      </c>
      <c r="U88" s="51">
        <f>S88*T88</f>
        <v/>
      </c>
      <c r="V88" s="51">
        <f>IF(Q88=1,MAX(0,F88-E88),0)</f>
        <v/>
      </c>
    </row>
    <row r="89">
      <c r="A89" s="43" t="inlineStr">
        <is>
          <t>PO101276</t>
        </is>
      </c>
      <c r="B89" s="43" t="inlineStr">
        <is>
          <t>CMD-0062</t>
        </is>
      </c>
      <c r="C89" s="43" t="inlineStr">
        <is>
          <t>S01</t>
        </is>
      </c>
      <c r="D89" s="47" t="n">
        <v>45572</v>
      </c>
      <c r="E89" s="47" t="n">
        <v>45593</v>
      </c>
      <c r="F89" s="47" t="n">
        <v>45591</v>
      </c>
      <c r="G89" s="46" t="n">
        <v>77990</v>
      </c>
      <c r="H89" s="46" t="n">
        <v>77990</v>
      </c>
      <c r="I89" s="46" t="n">
        <v>150</v>
      </c>
      <c r="J89" s="44" t="n">
        <v>0.1139</v>
      </c>
      <c r="K89" s="43" t="inlineStr">
        <is>
          <t>Received</t>
        </is>
      </c>
      <c r="L89" s="17">
        <f>INDEX(Items!$C$2:$C$117,MATCH(B89,Items!$A$2:$A$117,0))</f>
        <v/>
      </c>
      <c r="M89" s="49">
        <f>INDEX(Items!$E$2:$E$117,MATCH(B89,Items!$A$2:$A$117,0))</f>
        <v/>
      </c>
      <c r="N89" s="17">
        <f>TEXT(D89,"yyyy-mm")</f>
        <v/>
      </c>
      <c r="O89" s="50">
        <f>G89*J89</f>
        <v/>
      </c>
      <c r="P89" s="50">
        <f>(J89-M89)*G89</f>
        <v/>
      </c>
      <c r="Q89" s="51">
        <f>IF(K89="Received",1,0)</f>
        <v/>
      </c>
      <c r="R89" s="51">
        <f>IF(Q89=1,F89-D89,0)</f>
        <v/>
      </c>
      <c r="S89" s="51">
        <f>IF(Q89=1,IF(F89&lt;=E89,1,0),0)</f>
        <v/>
      </c>
      <c r="T89" s="51">
        <f>IF(Q89=1,IF(H89&gt;=G89,1,0),0)</f>
        <v/>
      </c>
      <c r="U89" s="51">
        <f>S89*T89</f>
        <v/>
      </c>
      <c r="V89" s="51">
        <f>IF(Q89=1,MAX(0,F89-E89),0)</f>
        <v/>
      </c>
    </row>
    <row r="90">
      <c r="A90" s="43" t="inlineStr">
        <is>
          <t>PO101272</t>
        </is>
      </c>
      <c r="B90" s="43" t="inlineStr">
        <is>
          <t>CMD-0061</t>
        </is>
      </c>
      <c r="C90" s="43" t="inlineStr">
        <is>
          <t>S01</t>
        </is>
      </c>
      <c r="D90" s="47" t="n">
        <v>45573</v>
      </c>
      <c r="E90" s="47" t="n">
        <v>45594</v>
      </c>
      <c r="F90" s="47" t="n">
        <v>45606</v>
      </c>
      <c r="G90" s="46" t="n">
        <v>78347</v>
      </c>
      <c r="H90" s="46" t="n">
        <v>78347</v>
      </c>
      <c r="I90" s="46" t="n">
        <v>157</v>
      </c>
      <c r="J90" s="44" t="n">
        <v>0.0235</v>
      </c>
      <c r="K90" s="43" t="inlineStr">
        <is>
          <t>Received</t>
        </is>
      </c>
      <c r="L90" s="17">
        <f>INDEX(Items!$C$2:$C$117,MATCH(B90,Items!$A$2:$A$117,0))</f>
        <v/>
      </c>
      <c r="M90" s="49">
        <f>INDEX(Items!$E$2:$E$117,MATCH(B90,Items!$A$2:$A$117,0))</f>
        <v/>
      </c>
      <c r="N90" s="17">
        <f>TEXT(D90,"yyyy-mm")</f>
        <v/>
      </c>
      <c r="O90" s="50">
        <f>G90*J90</f>
        <v/>
      </c>
      <c r="P90" s="50">
        <f>(J90-M90)*G90</f>
        <v/>
      </c>
      <c r="Q90" s="51">
        <f>IF(K90="Received",1,0)</f>
        <v/>
      </c>
      <c r="R90" s="51">
        <f>IF(Q90=1,F90-D90,0)</f>
        <v/>
      </c>
      <c r="S90" s="51">
        <f>IF(Q90=1,IF(F90&lt;=E90,1,0),0)</f>
        <v/>
      </c>
      <c r="T90" s="51">
        <f>IF(Q90=1,IF(H90&gt;=G90,1,0),0)</f>
        <v/>
      </c>
      <c r="U90" s="51">
        <f>S90*T90</f>
        <v/>
      </c>
      <c r="V90" s="51">
        <f>IF(Q90=1,MAX(0,F90-E90),0)</f>
        <v/>
      </c>
    </row>
    <row r="91">
      <c r="A91" s="43" t="inlineStr">
        <is>
          <t>PO101960</t>
        </is>
      </c>
      <c r="B91" s="43" t="inlineStr">
        <is>
          <t>CMD-0109</t>
        </is>
      </c>
      <c r="C91" s="43" t="inlineStr">
        <is>
          <t>S12</t>
        </is>
      </c>
      <c r="D91" s="47" t="n">
        <v>45573</v>
      </c>
      <c r="E91" s="47" t="n">
        <v>45580</v>
      </c>
      <c r="F91" s="47" t="n">
        <v>45579</v>
      </c>
      <c r="G91" s="46" t="n">
        <v>7223</v>
      </c>
      <c r="H91" s="46" t="n">
        <v>7223</v>
      </c>
      <c r="I91" s="46" t="n">
        <v>7</v>
      </c>
      <c r="J91" s="44" t="n">
        <v>1.7</v>
      </c>
      <c r="K91" s="43" t="inlineStr">
        <is>
          <t>Received</t>
        </is>
      </c>
      <c r="L91" s="17">
        <f>INDEX(Items!$C$2:$C$117,MATCH(B91,Items!$A$2:$A$117,0))</f>
        <v/>
      </c>
      <c r="M91" s="49">
        <f>INDEX(Items!$E$2:$E$117,MATCH(B91,Items!$A$2:$A$117,0))</f>
        <v/>
      </c>
      <c r="N91" s="17">
        <f>TEXT(D91,"yyyy-mm")</f>
        <v/>
      </c>
      <c r="O91" s="50">
        <f>G91*J91</f>
        <v/>
      </c>
      <c r="P91" s="50">
        <f>(J91-M91)*G91</f>
        <v/>
      </c>
      <c r="Q91" s="51">
        <f>IF(K91="Received",1,0)</f>
        <v/>
      </c>
      <c r="R91" s="51">
        <f>IF(Q91=1,F91-D91,0)</f>
        <v/>
      </c>
      <c r="S91" s="51">
        <f>IF(Q91=1,IF(F91&lt;=E91,1,0),0)</f>
        <v/>
      </c>
      <c r="T91" s="51">
        <f>IF(Q91=1,IF(H91&gt;=G91,1,0),0)</f>
        <v/>
      </c>
      <c r="U91" s="51">
        <f>S91*T91</f>
        <v/>
      </c>
      <c r="V91" s="51">
        <f>IF(Q91=1,MAX(0,F91-E91),0)</f>
        <v/>
      </c>
    </row>
    <row r="92">
      <c r="A92" s="43" t="inlineStr">
        <is>
          <t>PO100388</t>
        </is>
      </c>
      <c r="B92" s="43" t="inlineStr">
        <is>
          <t>CMD-0018</t>
        </is>
      </c>
      <c r="C92" s="43" t="inlineStr">
        <is>
          <t>S02</t>
        </is>
      </c>
      <c r="D92" s="47" t="n">
        <v>45573</v>
      </c>
      <c r="E92" s="47" t="n">
        <v>45629</v>
      </c>
      <c r="F92" s="47" t="n">
        <v>45628</v>
      </c>
      <c r="G92" s="46" t="n">
        <v>7531</v>
      </c>
      <c r="H92" s="46" t="n">
        <v>7531</v>
      </c>
      <c r="I92" s="46" t="n">
        <v>25</v>
      </c>
      <c r="J92" s="44" t="n">
        <v>37.92</v>
      </c>
      <c r="K92" s="43" t="inlineStr">
        <is>
          <t>Received</t>
        </is>
      </c>
      <c r="L92" s="17">
        <f>INDEX(Items!$C$2:$C$117,MATCH(B92,Items!$A$2:$A$117,0))</f>
        <v/>
      </c>
      <c r="M92" s="49">
        <f>INDEX(Items!$E$2:$E$117,MATCH(B92,Items!$A$2:$A$117,0))</f>
        <v/>
      </c>
      <c r="N92" s="17">
        <f>TEXT(D92,"yyyy-mm")</f>
        <v/>
      </c>
      <c r="O92" s="50">
        <f>G92*J92</f>
        <v/>
      </c>
      <c r="P92" s="50">
        <f>(J92-M92)*G92</f>
        <v/>
      </c>
      <c r="Q92" s="51">
        <f>IF(K92="Received",1,0)</f>
        <v/>
      </c>
      <c r="R92" s="51">
        <f>IF(Q92=1,F92-D92,0)</f>
        <v/>
      </c>
      <c r="S92" s="51">
        <f>IF(Q92=1,IF(F92&lt;=E92,1,0),0)</f>
        <v/>
      </c>
      <c r="T92" s="51">
        <f>IF(Q92=1,IF(H92&gt;=G92,1,0),0)</f>
        <v/>
      </c>
      <c r="U92" s="51">
        <f>S92*T92</f>
        <v/>
      </c>
      <c r="V92" s="51">
        <f>IF(Q92=1,MAX(0,F92-E92),0)</f>
        <v/>
      </c>
    </row>
    <row r="93">
      <c r="A93" s="43" t="inlineStr">
        <is>
          <t>PO101106</t>
        </is>
      </c>
      <c r="B93" s="43" t="inlineStr">
        <is>
          <t>CMD-0051</t>
        </is>
      </c>
      <c r="C93" s="43" t="inlineStr">
        <is>
          <t>S01</t>
        </is>
      </c>
      <c r="D93" s="47" t="n">
        <v>45573</v>
      </c>
      <c r="E93" s="47" t="n">
        <v>45594</v>
      </c>
      <c r="F93" s="47" t="n">
        <v>45594</v>
      </c>
      <c r="G93" s="46" t="n">
        <v>265412</v>
      </c>
      <c r="H93" s="46" t="n">
        <v>265412</v>
      </c>
      <c r="I93" s="46" t="n">
        <v>508</v>
      </c>
      <c r="J93" s="44" t="n">
        <v>0.0236</v>
      </c>
      <c r="K93" s="43" t="inlineStr">
        <is>
          <t>Received</t>
        </is>
      </c>
      <c r="L93" s="17">
        <f>INDEX(Items!$C$2:$C$117,MATCH(B93,Items!$A$2:$A$117,0))</f>
        <v/>
      </c>
      <c r="M93" s="49">
        <f>INDEX(Items!$E$2:$E$117,MATCH(B93,Items!$A$2:$A$117,0))</f>
        <v/>
      </c>
      <c r="N93" s="17">
        <f>TEXT(D93,"yyyy-mm")</f>
        <v/>
      </c>
      <c r="O93" s="50">
        <f>G93*J93</f>
        <v/>
      </c>
      <c r="P93" s="50">
        <f>(J93-M93)*G93</f>
        <v/>
      </c>
      <c r="Q93" s="51">
        <f>IF(K93="Received",1,0)</f>
        <v/>
      </c>
      <c r="R93" s="51">
        <f>IF(Q93=1,F93-D93,0)</f>
        <v/>
      </c>
      <c r="S93" s="51">
        <f>IF(Q93=1,IF(F93&lt;=E93,1,0),0)</f>
        <v/>
      </c>
      <c r="T93" s="51">
        <f>IF(Q93=1,IF(H93&gt;=G93,1,0),0)</f>
        <v/>
      </c>
      <c r="U93" s="51">
        <f>S93*T93</f>
        <v/>
      </c>
      <c r="V93" s="51">
        <f>IF(Q93=1,MAX(0,F93-E93),0)</f>
        <v/>
      </c>
    </row>
    <row r="94">
      <c r="A94" s="43" t="inlineStr">
        <is>
          <t>PO100316</t>
        </is>
      </c>
      <c r="B94" s="43" t="inlineStr">
        <is>
          <t>CMD-0015</t>
        </is>
      </c>
      <c r="C94" s="43" t="inlineStr">
        <is>
          <t>S03</t>
        </is>
      </c>
      <c r="D94" s="47" t="n">
        <v>45573</v>
      </c>
      <c r="E94" s="47" t="n">
        <v>45706</v>
      </c>
      <c r="F94" s="47" t="n">
        <v>45706</v>
      </c>
      <c r="G94" s="46" t="n">
        <v>3556</v>
      </c>
      <c r="H94" s="46" t="n">
        <v>2401</v>
      </c>
      <c r="I94" s="46" t="n">
        <v>8</v>
      </c>
      <c r="J94" s="44" t="n">
        <v>5.66</v>
      </c>
      <c r="K94" s="43" t="inlineStr">
        <is>
          <t>Received</t>
        </is>
      </c>
      <c r="L94" s="17">
        <f>INDEX(Items!$C$2:$C$117,MATCH(B94,Items!$A$2:$A$117,0))</f>
        <v/>
      </c>
      <c r="M94" s="49">
        <f>INDEX(Items!$E$2:$E$117,MATCH(B94,Items!$A$2:$A$117,0))</f>
        <v/>
      </c>
      <c r="N94" s="17">
        <f>TEXT(D94,"yyyy-mm")</f>
        <v/>
      </c>
      <c r="O94" s="50">
        <f>G94*J94</f>
        <v/>
      </c>
      <c r="P94" s="50">
        <f>(J94-M94)*G94</f>
        <v/>
      </c>
      <c r="Q94" s="51">
        <f>IF(K94="Received",1,0)</f>
        <v/>
      </c>
      <c r="R94" s="51">
        <f>IF(Q94=1,F94-D94,0)</f>
        <v/>
      </c>
      <c r="S94" s="51">
        <f>IF(Q94=1,IF(F94&lt;=E94,1,0),0)</f>
        <v/>
      </c>
      <c r="T94" s="51">
        <f>IF(Q94=1,IF(H94&gt;=G94,1,0),0)</f>
        <v/>
      </c>
      <c r="U94" s="51">
        <f>S94*T94</f>
        <v/>
      </c>
      <c r="V94" s="51">
        <f>IF(Q94=1,MAX(0,F94-E94),0)</f>
        <v/>
      </c>
    </row>
    <row r="95">
      <c r="A95" s="43" t="inlineStr">
        <is>
          <t>PO100900</t>
        </is>
      </c>
      <c r="B95" s="43" t="inlineStr">
        <is>
          <t>CMD-0041</t>
        </is>
      </c>
      <c r="C95" s="43" t="inlineStr">
        <is>
          <t>S05</t>
        </is>
      </c>
      <c r="D95" s="47" t="n">
        <v>45573</v>
      </c>
      <c r="E95" s="47" t="n">
        <v>45678</v>
      </c>
      <c r="F95" s="47" t="n">
        <v>45675</v>
      </c>
      <c r="G95" s="46" t="n">
        <v>1078</v>
      </c>
      <c r="H95" s="46" t="n">
        <v>893</v>
      </c>
      <c r="I95" s="46" t="n">
        <v>15</v>
      </c>
      <c r="J95" s="44" t="n">
        <v>5.63</v>
      </c>
      <c r="K95" s="43" t="inlineStr">
        <is>
          <t>Received</t>
        </is>
      </c>
      <c r="L95" s="17">
        <f>INDEX(Items!$C$2:$C$117,MATCH(B95,Items!$A$2:$A$117,0))</f>
        <v/>
      </c>
      <c r="M95" s="49">
        <f>INDEX(Items!$E$2:$E$117,MATCH(B95,Items!$A$2:$A$117,0))</f>
        <v/>
      </c>
      <c r="N95" s="17">
        <f>TEXT(D95,"yyyy-mm")</f>
        <v/>
      </c>
      <c r="O95" s="50">
        <f>G95*J95</f>
        <v/>
      </c>
      <c r="P95" s="50">
        <f>(J95-M95)*G95</f>
        <v/>
      </c>
      <c r="Q95" s="51">
        <f>IF(K95="Received",1,0)</f>
        <v/>
      </c>
      <c r="R95" s="51">
        <f>IF(Q95=1,F95-D95,0)</f>
        <v/>
      </c>
      <c r="S95" s="51">
        <f>IF(Q95=1,IF(F95&lt;=E95,1,0),0)</f>
        <v/>
      </c>
      <c r="T95" s="51">
        <f>IF(Q95=1,IF(H95&gt;=G95,1,0),0)</f>
        <v/>
      </c>
      <c r="U95" s="51">
        <f>S95*T95</f>
        <v/>
      </c>
      <c r="V95" s="51">
        <f>IF(Q95=1,MAX(0,F95-E95),0)</f>
        <v/>
      </c>
    </row>
    <row r="96">
      <c r="A96" s="43" t="inlineStr">
        <is>
          <t>PO100664</t>
        </is>
      </c>
      <c r="B96" s="43" t="inlineStr">
        <is>
          <t>CMD-0030</t>
        </is>
      </c>
      <c r="C96" s="43" t="inlineStr">
        <is>
          <t>S11</t>
        </is>
      </c>
      <c r="D96" s="47" t="n">
        <v>45573</v>
      </c>
      <c r="E96" s="47" t="n">
        <v>45650</v>
      </c>
      <c r="F96" s="47" t="n">
        <v>45647</v>
      </c>
      <c r="G96" s="46" t="n">
        <v>7496</v>
      </c>
      <c r="H96" s="46" t="n">
        <v>7496</v>
      </c>
      <c r="I96" s="46" t="n">
        <v>11</v>
      </c>
      <c r="J96" s="44" t="n">
        <v>23.19</v>
      </c>
      <c r="K96" s="43" t="inlineStr">
        <is>
          <t>Received</t>
        </is>
      </c>
      <c r="L96" s="17">
        <f>INDEX(Items!$C$2:$C$117,MATCH(B96,Items!$A$2:$A$117,0))</f>
        <v/>
      </c>
      <c r="M96" s="49">
        <f>INDEX(Items!$E$2:$E$117,MATCH(B96,Items!$A$2:$A$117,0))</f>
        <v/>
      </c>
      <c r="N96" s="17">
        <f>TEXT(D96,"yyyy-mm")</f>
        <v/>
      </c>
      <c r="O96" s="50">
        <f>G96*J96</f>
        <v/>
      </c>
      <c r="P96" s="50">
        <f>(J96-M96)*G96</f>
        <v/>
      </c>
      <c r="Q96" s="51">
        <f>IF(K96="Received",1,0)</f>
        <v/>
      </c>
      <c r="R96" s="51">
        <f>IF(Q96=1,F96-D96,0)</f>
        <v/>
      </c>
      <c r="S96" s="51">
        <f>IF(Q96=1,IF(F96&lt;=E96,1,0),0)</f>
        <v/>
      </c>
      <c r="T96" s="51">
        <f>IF(Q96=1,IF(H96&gt;=G96,1,0),0)</f>
        <v/>
      </c>
      <c r="U96" s="51">
        <f>S96*T96</f>
        <v/>
      </c>
      <c r="V96" s="51">
        <f>IF(Q96=1,MAX(0,F96-E96),0)</f>
        <v/>
      </c>
    </row>
    <row r="97">
      <c r="A97" s="43" t="inlineStr">
        <is>
          <t>PO101342</t>
        </is>
      </c>
      <c r="B97" s="43" t="inlineStr">
        <is>
          <t>CMD-0068</t>
        </is>
      </c>
      <c r="C97" s="43" t="inlineStr">
        <is>
          <t>S01</t>
        </is>
      </c>
      <c r="D97" s="47" t="n">
        <v>45573</v>
      </c>
      <c r="E97" s="47" t="n">
        <v>45594</v>
      </c>
      <c r="F97" s="47" t="n">
        <v>45591</v>
      </c>
      <c r="G97" s="46" t="n">
        <v>39246</v>
      </c>
      <c r="H97" s="46" t="n">
        <v>39246</v>
      </c>
      <c r="I97" s="46" t="n">
        <v>75</v>
      </c>
      <c r="J97" s="44" t="n">
        <v>0.1562</v>
      </c>
      <c r="K97" s="43" t="inlineStr">
        <is>
          <t>Received</t>
        </is>
      </c>
      <c r="L97" s="17">
        <f>INDEX(Items!$C$2:$C$117,MATCH(B97,Items!$A$2:$A$117,0))</f>
        <v/>
      </c>
      <c r="M97" s="49">
        <f>INDEX(Items!$E$2:$E$117,MATCH(B97,Items!$A$2:$A$117,0))</f>
        <v/>
      </c>
      <c r="N97" s="17">
        <f>TEXT(D97,"yyyy-mm")</f>
        <v/>
      </c>
      <c r="O97" s="50">
        <f>G97*J97</f>
        <v/>
      </c>
      <c r="P97" s="50">
        <f>(J97-M97)*G97</f>
        <v/>
      </c>
      <c r="Q97" s="51">
        <f>IF(K97="Received",1,0)</f>
        <v/>
      </c>
      <c r="R97" s="51">
        <f>IF(Q97=1,F97-D97,0)</f>
        <v/>
      </c>
      <c r="S97" s="51">
        <f>IF(Q97=1,IF(F97&lt;=E97,1,0),0)</f>
        <v/>
      </c>
      <c r="T97" s="51">
        <f>IF(Q97=1,IF(H97&gt;=G97,1,0),0)</f>
        <v/>
      </c>
      <c r="U97" s="51">
        <f>S97*T97</f>
        <v/>
      </c>
      <c r="V97" s="51">
        <f>IF(Q97=1,MAX(0,F97-E97),0)</f>
        <v/>
      </c>
    </row>
    <row r="98">
      <c r="A98" s="43" t="inlineStr">
        <is>
          <t>PO101956</t>
        </is>
      </c>
      <c r="B98" s="43" t="inlineStr">
        <is>
          <t>CMD-0108</t>
        </is>
      </c>
      <c r="C98" s="43" t="inlineStr">
        <is>
          <t>S12</t>
        </is>
      </c>
      <c r="D98" s="47" t="n">
        <v>45573</v>
      </c>
      <c r="E98" s="47" t="n">
        <v>45580</v>
      </c>
      <c r="F98" s="47" t="n">
        <v>45580</v>
      </c>
      <c r="G98" s="46" t="n">
        <v>2421</v>
      </c>
      <c r="H98" s="46" t="n">
        <v>2421</v>
      </c>
      <c r="I98" s="46" t="n">
        <v>2</v>
      </c>
      <c r="J98" s="44" t="n">
        <v>1.56</v>
      </c>
      <c r="K98" s="43" t="inlineStr">
        <is>
          <t>Received</t>
        </is>
      </c>
      <c r="L98" s="17">
        <f>INDEX(Items!$C$2:$C$117,MATCH(B98,Items!$A$2:$A$117,0))</f>
        <v/>
      </c>
      <c r="M98" s="49">
        <f>INDEX(Items!$E$2:$E$117,MATCH(B98,Items!$A$2:$A$117,0))</f>
        <v/>
      </c>
      <c r="N98" s="17">
        <f>TEXT(D98,"yyyy-mm")</f>
        <v/>
      </c>
      <c r="O98" s="50">
        <f>G98*J98</f>
        <v/>
      </c>
      <c r="P98" s="50">
        <f>(J98-M98)*G98</f>
        <v/>
      </c>
      <c r="Q98" s="51">
        <f>IF(K98="Received",1,0)</f>
        <v/>
      </c>
      <c r="R98" s="51">
        <f>IF(Q98=1,F98-D98,0)</f>
        <v/>
      </c>
      <c r="S98" s="51">
        <f>IF(Q98=1,IF(F98&lt;=E98,1,0),0)</f>
        <v/>
      </c>
      <c r="T98" s="51">
        <f>IF(Q98=1,IF(H98&gt;=G98,1,0),0)</f>
        <v/>
      </c>
      <c r="U98" s="51">
        <f>S98*T98</f>
        <v/>
      </c>
      <c r="V98" s="51">
        <f>IF(Q98=1,MAX(0,F98-E98),0)</f>
        <v/>
      </c>
    </row>
    <row r="99">
      <c r="A99" s="43" t="inlineStr">
        <is>
          <t>PO101914</t>
        </is>
      </c>
      <c r="B99" s="43" t="inlineStr">
        <is>
          <t>CMD-0105</t>
        </is>
      </c>
      <c r="C99" s="43" t="inlineStr">
        <is>
          <t>S09</t>
        </is>
      </c>
      <c r="D99" s="47" t="n">
        <v>45573</v>
      </c>
      <c r="E99" s="47" t="n">
        <v>45594</v>
      </c>
      <c r="F99" s="47" t="n">
        <v>45592</v>
      </c>
      <c r="G99" s="46" t="n">
        <v>2729</v>
      </c>
      <c r="H99" s="46" t="n">
        <v>2729</v>
      </c>
      <c r="I99" s="46" t="n">
        <v>13</v>
      </c>
      <c r="J99" s="44" t="n">
        <v>2.08</v>
      </c>
      <c r="K99" s="43" t="inlineStr">
        <is>
          <t>Received</t>
        </is>
      </c>
      <c r="L99" s="17">
        <f>INDEX(Items!$C$2:$C$117,MATCH(B99,Items!$A$2:$A$117,0))</f>
        <v/>
      </c>
      <c r="M99" s="49">
        <f>INDEX(Items!$E$2:$E$117,MATCH(B99,Items!$A$2:$A$117,0))</f>
        <v/>
      </c>
      <c r="N99" s="17">
        <f>TEXT(D99,"yyyy-mm")</f>
        <v/>
      </c>
      <c r="O99" s="50">
        <f>G99*J99</f>
        <v/>
      </c>
      <c r="P99" s="50">
        <f>(J99-M99)*G99</f>
        <v/>
      </c>
      <c r="Q99" s="51">
        <f>IF(K99="Received",1,0)</f>
        <v/>
      </c>
      <c r="R99" s="51">
        <f>IF(Q99=1,F99-D99,0)</f>
        <v/>
      </c>
      <c r="S99" s="51">
        <f>IF(Q99=1,IF(F99&lt;=E99,1,0),0)</f>
        <v/>
      </c>
      <c r="T99" s="51">
        <f>IF(Q99=1,IF(H99&gt;=G99,1,0),0)</f>
        <v/>
      </c>
      <c r="U99" s="51">
        <f>S99*T99</f>
        <v/>
      </c>
      <c r="V99" s="51">
        <f>IF(Q99=1,MAX(0,F99-E99),0)</f>
        <v/>
      </c>
    </row>
    <row r="100">
      <c r="A100" s="43" t="inlineStr">
        <is>
          <t>PO100048</t>
        </is>
      </c>
      <c r="B100" s="43" t="inlineStr">
        <is>
          <t>CMD-0003</t>
        </is>
      </c>
      <c r="C100" s="43" t="inlineStr">
        <is>
          <t>S11</t>
        </is>
      </c>
      <c r="D100" s="47" t="n">
        <v>45573</v>
      </c>
      <c r="E100" s="47" t="n">
        <v>45692</v>
      </c>
      <c r="F100" s="47" t="n">
        <v>45690</v>
      </c>
      <c r="G100" s="46" t="n">
        <v>9614</v>
      </c>
      <c r="H100" s="46" t="n">
        <v>9614</v>
      </c>
      <c r="I100" s="46" t="n">
        <v>23</v>
      </c>
      <c r="J100" s="44" t="n">
        <v>21.49</v>
      </c>
      <c r="K100" s="43" t="inlineStr">
        <is>
          <t>Received</t>
        </is>
      </c>
      <c r="L100" s="17">
        <f>INDEX(Items!$C$2:$C$117,MATCH(B100,Items!$A$2:$A$117,0))</f>
        <v/>
      </c>
      <c r="M100" s="49">
        <f>INDEX(Items!$E$2:$E$117,MATCH(B100,Items!$A$2:$A$117,0))</f>
        <v/>
      </c>
      <c r="N100" s="17">
        <f>TEXT(D100,"yyyy-mm")</f>
        <v/>
      </c>
      <c r="O100" s="50">
        <f>G100*J100</f>
        <v/>
      </c>
      <c r="P100" s="50">
        <f>(J100-M100)*G100</f>
        <v/>
      </c>
      <c r="Q100" s="51">
        <f>IF(K100="Received",1,0)</f>
        <v/>
      </c>
      <c r="R100" s="51">
        <f>IF(Q100=1,F100-D100,0)</f>
        <v/>
      </c>
      <c r="S100" s="51">
        <f>IF(Q100=1,IF(F100&lt;=E100,1,0),0)</f>
        <v/>
      </c>
      <c r="T100" s="51">
        <f>IF(Q100=1,IF(H100&gt;=G100,1,0),0)</f>
        <v/>
      </c>
      <c r="U100" s="51">
        <f>S100*T100</f>
        <v/>
      </c>
      <c r="V100" s="51">
        <f>IF(Q100=1,MAX(0,F100-E100),0)</f>
        <v/>
      </c>
    </row>
    <row r="101">
      <c r="A101" s="43" t="inlineStr">
        <is>
          <t>PO100192</t>
        </is>
      </c>
      <c r="B101" s="43" t="inlineStr">
        <is>
          <t>CMD-0009</t>
        </is>
      </c>
      <c r="C101" s="43" t="inlineStr">
        <is>
          <t>S11</t>
        </is>
      </c>
      <c r="D101" s="47" t="n">
        <v>45573</v>
      </c>
      <c r="E101" s="47" t="n">
        <v>45692</v>
      </c>
      <c r="F101" s="47" t="n">
        <v>45717</v>
      </c>
      <c r="G101" s="46" t="n">
        <v>7889</v>
      </c>
      <c r="H101" s="46" t="n">
        <v>7889</v>
      </c>
      <c r="I101" s="46" t="n">
        <v>17</v>
      </c>
      <c r="J101" s="44" t="n">
        <v>6.29</v>
      </c>
      <c r="K101" s="43" t="inlineStr">
        <is>
          <t>Received</t>
        </is>
      </c>
      <c r="L101" s="17">
        <f>INDEX(Items!$C$2:$C$117,MATCH(B101,Items!$A$2:$A$117,0))</f>
        <v/>
      </c>
      <c r="M101" s="49">
        <f>INDEX(Items!$E$2:$E$117,MATCH(B101,Items!$A$2:$A$117,0))</f>
        <v/>
      </c>
      <c r="N101" s="17">
        <f>TEXT(D101,"yyyy-mm")</f>
        <v/>
      </c>
      <c r="O101" s="50">
        <f>G101*J101</f>
        <v/>
      </c>
      <c r="P101" s="50">
        <f>(J101-M101)*G101</f>
        <v/>
      </c>
      <c r="Q101" s="51">
        <f>IF(K101="Received",1,0)</f>
        <v/>
      </c>
      <c r="R101" s="51">
        <f>IF(Q101=1,F101-D101,0)</f>
        <v/>
      </c>
      <c r="S101" s="51">
        <f>IF(Q101=1,IF(F101&lt;=E101,1,0),0)</f>
        <v/>
      </c>
      <c r="T101" s="51">
        <f>IF(Q101=1,IF(H101&gt;=G101,1,0),0)</f>
        <v/>
      </c>
      <c r="U101" s="51">
        <f>S101*T101</f>
        <v/>
      </c>
      <c r="V101" s="51">
        <f>IF(Q101=1,MAX(0,F101-E101),0)</f>
        <v/>
      </c>
    </row>
    <row r="102">
      <c r="A102" s="43" t="inlineStr">
        <is>
          <t>PO102016</t>
        </is>
      </c>
      <c r="B102" s="43" t="inlineStr">
        <is>
          <t>CMD-0115</t>
        </is>
      </c>
      <c r="C102" s="43" t="inlineStr">
        <is>
          <t>S12</t>
        </is>
      </c>
      <c r="D102" s="47" t="n">
        <v>45574</v>
      </c>
      <c r="E102" s="47" t="n">
        <v>45581</v>
      </c>
      <c r="F102" s="47" t="n">
        <v>45578</v>
      </c>
      <c r="G102" s="46" t="n">
        <v>8113</v>
      </c>
      <c r="H102" s="46" t="n">
        <v>8113</v>
      </c>
      <c r="I102" s="46" t="n">
        <v>7</v>
      </c>
      <c r="J102" s="44" t="n">
        <v>0.5566</v>
      </c>
      <c r="K102" s="43" t="inlineStr">
        <is>
          <t>Received</t>
        </is>
      </c>
      <c r="L102" s="17">
        <f>INDEX(Items!$C$2:$C$117,MATCH(B102,Items!$A$2:$A$117,0))</f>
        <v/>
      </c>
      <c r="M102" s="49">
        <f>INDEX(Items!$E$2:$E$117,MATCH(B102,Items!$A$2:$A$117,0))</f>
        <v/>
      </c>
      <c r="N102" s="17">
        <f>TEXT(D102,"yyyy-mm")</f>
        <v/>
      </c>
      <c r="O102" s="50">
        <f>G102*J102</f>
        <v/>
      </c>
      <c r="P102" s="50">
        <f>(J102-M102)*G102</f>
        <v/>
      </c>
      <c r="Q102" s="51">
        <f>IF(K102="Received",1,0)</f>
        <v/>
      </c>
      <c r="R102" s="51">
        <f>IF(Q102=1,F102-D102,0)</f>
        <v/>
      </c>
      <c r="S102" s="51">
        <f>IF(Q102=1,IF(F102&lt;=E102,1,0),0)</f>
        <v/>
      </c>
      <c r="T102" s="51">
        <f>IF(Q102=1,IF(H102&gt;=G102,1,0),0)</f>
        <v/>
      </c>
      <c r="U102" s="51">
        <f>S102*T102</f>
        <v/>
      </c>
      <c r="V102" s="51">
        <f>IF(Q102=1,MAX(0,F102-E102),0)</f>
        <v/>
      </c>
    </row>
    <row r="103">
      <c r="A103" s="43" t="inlineStr">
        <is>
          <t>PO101504</t>
        </is>
      </c>
      <c r="B103" s="43" t="inlineStr">
        <is>
          <t>CMD-0080</t>
        </is>
      </c>
      <c r="C103" s="43" t="inlineStr">
        <is>
          <t>S06</t>
        </is>
      </c>
      <c r="D103" s="47" t="n">
        <v>45574</v>
      </c>
      <c r="E103" s="47" t="n">
        <v>45595</v>
      </c>
      <c r="F103" s="47" t="n">
        <v>45595</v>
      </c>
      <c r="G103" s="46" t="n">
        <v>4606</v>
      </c>
      <c r="H103" s="46" t="n">
        <v>4606</v>
      </c>
      <c r="I103" s="46" t="n">
        <v>17</v>
      </c>
      <c r="J103" s="44" t="n">
        <v>5.53</v>
      </c>
      <c r="K103" s="43" t="inlineStr">
        <is>
          <t>Received</t>
        </is>
      </c>
      <c r="L103" s="17">
        <f>INDEX(Items!$C$2:$C$117,MATCH(B103,Items!$A$2:$A$117,0))</f>
        <v/>
      </c>
      <c r="M103" s="49">
        <f>INDEX(Items!$E$2:$E$117,MATCH(B103,Items!$A$2:$A$117,0))</f>
        <v/>
      </c>
      <c r="N103" s="17">
        <f>TEXT(D103,"yyyy-mm")</f>
        <v/>
      </c>
      <c r="O103" s="50">
        <f>G103*J103</f>
        <v/>
      </c>
      <c r="P103" s="50">
        <f>(J103-M103)*G103</f>
        <v/>
      </c>
      <c r="Q103" s="51">
        <f>IF(K103="Received",1,0)</f>
        <v/>
      </c>
      <c r="R103" s="51">
        <f>IF(Q103=1,F103-D103,0)</f>
        <v/>
      </c>
      <c r="S103" s="51">
        <f>IF(Q103=1,IF(F103&lt;=E103,1,0),0)</f>
        <v/>
      </c>
      <c r="T103" s="51">
        <f>IF(Q103=1,IF(H103&gt;=G103,1,0),0)</f>
        <v/>
      </c>
      <c r="U103" s="51">
        <f>S103*T103</f>
        <v/>
      </c>
      <c r="V103" s="51">
        <f>IF(Q103=1,MAX(0,F103-E103),0)</f>
        <v/>
      </c>
    </row>
    <row r="104">
      <c r="A104" s="43" t="inlineStr">
        <is>
          <t>PO102000</t>
        </is>
      </c>
      <c r="B104" s="43" t="inlineStr">
        <is>
          <t>CMD-0113</t>
        </is>
      </c>
      <c r="C104" s="43" t="inlineStr">
        <is>
          <t>S12</t>
        </is>
      </c>
      <c r="D104" s="47" t="n">
        <v>45574</v>
      </c>
      <c r="E104" s="47" t="n">
        <v>45581</v>
      </c>
      <c r="F104" s="47" t="n">
        <v>45578</v>
      </c>
      <c r="G104" s="46" t="n">
        <v>2141</v>
      </c>
      <c r="H104" s="46" t="n">
        <v>2141</v>
      </c>
      <c r="I104" s="46" t="n">
        <v>2</v>
      </c>
      <c r="J104" s="44" t="n">
        <v>0.2866</v>
      </c>
      <c r="K104" s="43" t="inlineStr">
        <is>
          <t>Received</t>
        </is>
      </c>
      <c r="L104" s="17">
        <f>INDEX(Items!$C$2:$C$117,MATCH(B104,Items!$A$2:$A$117,0))</f>
        <v/>
      </c>
      <c r="M104" s="49">
        <f>INDEX(Items!$E$2:$E$117,MATCH(B104,Items!$A$2:$A$117,0))</f>
        <v/>
      </c>
      <c r="N104" s="17">
        <f>TEXT(D104,"yyyy-mm")</f>
        <v/>
      </c>
      <c r="O104" s="50">
        <f>G104*J104</f>
        <v/>
      </c>
      <c r="P104" s="50">
        <f>(J104-M104)*G104</f>
        <v/>
      </c>
      <c r="Q104" s="51">
        <f>IF(K104="Received",1,0)</f>
        <v/>
      </c>
      <c r="R104" s="51">
        <f>IF(Q104=1,F104-D104,0)</f>
        <v/>
      </c>
      <c r="S104" s="51">
        <f>IF(Q104=1,IF(F104&lt;=E104,1,0),0)</f>
        <v/>
      </c>
      <c r="T104" s="51">
        <f>IF(Q104=1,IF(H104&gt;=G104,1,0),0)</f>
        <v/>
      </c>
      <c r="U104" s="51">
        <f>S104*T104</f>
        <v/>
      </c>
      <c r="V104" s="51">
        <f>IF(Q104=1,MAX(0,F104-E104),0)</f>
        <v/>
      </c>
    </row>
    <row r="105">
      <c r="A105" s="43" t="inlineStr">
        <is>
          <t>PO101600</t>
        </is>
      </c>
      <c r="B105" s="43" t="inlineStr">
        <is>
          <t>CMD-0089</t>
        </is>
      </c>
      <c r="C105" s="43" t="inlineStr">
        <is>
          <t>S01</t>
        </is>
      </c>
      <c r="D105" s="47" t="n">
        <v>45574</v>
      </c>
      <c r="E105" s="47" t="n">
        <v>45588</v>
      </c>
      <c r="F105" s="47" t="n">
        <v>45587</v>
      </c>
      <c r="G105" s="46" t="n">
        <v>696</v>
      </c>
      <c r="H105" s="46" t="n">
        <v>696</v>
      </c>
      <c r="I105" s="46" t="n">
        <v>1</v>
      </c>
      <c r="J105" s="44" t="n">
        <v>9.49</v>
      </c>
      <c r="K105" s="43" t="inlineStr">
        <is>
          <t>Received</t>
        </is>
      </c>
      <c r="L105" s="17">
        <f>INDEX(Items!$C$2:$C$117,MATCH(B105,Items!$A$2:$A$117,0))</f>
        <v/>
      </c>
      <c r="M105" s="49">
        <f>INDEX(Items!$E$2:$E$117,MATCH(B105,Items!$A$2:$A$117,0))</f>
        <v/>
      </c>
      <c r="N105" s="17">
        <f>TEXT(D105,"yyyy-mm")</f>
        <v/>
      </c>
      <c r="O105" s="50">
        <f>G105*J105</f>
        <v/>
      </c>
      <c r="P105" s="50">
        <f>(J105-M105)*G105</f>
        <v/>
      </c>
      <c r="Q105" s="51">
        <f>IF(K105="Received",1,0)</f>
        <v/>
      </c>
      <c r="R105" s="51">
        <f>IF(Q105=1,F105-D105,0)</f>
        <v/>
      </c>
      <c r="S105" s="51">
        <f>IF(Q105=1,IF(F105&lt;=E105,1,0),0)</f>
        <v/>
      </c>
      <c r="T105" s="51">
        <f>IF(Q105=1,IF(H105&gt;=G105,1,0),0)</f>
        <v/>
      </c>
      <c r="U105" s="51">
        <f>S105*T105</f>
        <v/>
      </c>
      <c r="V105" s="51">
        <f>IF(Q105=1,MAX(0,F105-E105),0)</f>
        <v/>
      </c>
    </row>
    <row r="106">
      <c r="A106" s="43" t="inlineStr">
        <is>
          <t>PO100144</t>
        </is>
      </c>
      <c r="B106" s="43" t="inlineStr">
        <is>
          <t>CMD-0007</t>
        </is>
      </c>
      <c r="C106" s="43" t="inlineStr">
        <is>
          <t>S03</t>
        </is>
      </c>
      <c r="D106" s="47" t="n">
        <v>45574</v>
      </c>
      <c r="E106" s="47" t="n">
        <v>45707</v>
      </c>
      <c r="F106" s="47" t="n">
        <v>45704</v>
      </c>
      <c r="G106" s="46" t="n">
        <v>4435</v>
      </c>
      <c r="H106" s="46" t="n">
        <v>4435</v>
      </c>
      <c r="I106" s="46" t="n">
        <v>26</v>
      </c>
      <c r="J106" s="44" t="n">
        <v>19.39</v>
      </c>
      <c r="K106" s="43" t="inlineStr">
        <is>
          <t>Received</t>
        </is>
      </c>
      <c r="L106" s="17">
        <f>INDEX(Items!$C$2:$C$117,MATCH(B106,Items!$A$2:$A$117,0))</f>
        <v/>
      </c>
      <c r="M106" s="49">
        <f>INDEX(Items!$E$2:$E$117,MATCH(B106,Items!$A$2:$A$117,0))</f>
        <v/>
      </c>
      <c r="N106" s="17">
        <f>TEXT(D106,"yyyy-mm")</f>
        <v/>
      </c>
      <c r="O106" s="50">
        <f>G106*J106</f>
        <v/>
      </c>
      <c r="P106" s="50">
        <f>(J106-M106)*G106</f>
        <v/>
      </c>
      <c r="Q106" s="51">
        <f>IF(K106="Received",1,0)</f>
        <v/>
      </c>
      <c r="R106" s="51">
        <f>IF(Q106=1,F106-D106,0)</f>
        <v/>
      </c>
      <c r="S106" s="51">
        <f>IF(Q106=1,IF(F106&lt;=E106,1,0),0)</f>
        <v/>
      </c>
      <c r="T106" s="51">
        <f>IF(Q106=1,IF(H106&gt;=G106,1,0),0)</f>
        <v/>
      </c>
      <c r="U106" s="51">
        <f>S106*T106</f>
        <v/>
      </c>
      <c r="V106" s="51">
        <f>IF(Q106=1,MAX(0,F106-E106),0)</f>
        <v/>
      </c>
    </row>
    <row r="107">
      <c r="A107" s="43" t="inlineStr">
        <is>
          <t>PO101868</t>
        </is>
      </c>
      <c r="B107" s="43" t="inlineStr">
        <is>
          <t>CMD-0102</t>
        </is>
      </c>
      <c r="C107" s="43" t="inlineStr">
        <is>
          <t>S09</t>
        </is>
      </c>
      <c r="D107" s="47" t="n">
        <v>45574</v>
      </c>
      <c r="E107" s="47" t="n">
        <v>45595</v>
      </c>
      <c r="F107" s="47" t="n">
        <v>45595</v>
      </c>
      <c r="G107" s="46" t="n">
        <v>2478</v>
      </c>
      <c r="H107" s="46" t="n">
        <v>2478</v>
      </c>
      <c r="I107" s="46" t="n">
        <v>10</v>
      </c>
      <c r="J107" s="44" t="n">
        <v>6.71</v>
      </c>
      <c r="K107" s="43" t="inlineStr">
        <is>
          <t>Received</t>
        </is>
      </c>
      <c r="L107" s="17">
        <f>INDEX(Items!$C$2:$C$117,MATCH(B107,Items!$A$2:$A$117,0))</f>
        <v/>
      </c>
      <c r="M107" s="49">
        <f>INDEX(Items!$E$2:$E$117,MATCH(B107,Items!$A$2:$A$117,0))</f>
        <v/>
      </c>
      <c r="N107" s="17">
        <f>TEXT(D107,"yyyy-mm")</f>
        <v/>
      </c>
      <c r="O107" s="50">
        <f>G107*J107</f>
        <v/>
      </c>
      <c r="P107" s="50">
        <f>(J107-M107)*G107</f>
        <v/>
      </c>
      <c r="Q107" s="51">
        <f>IF(K107="Received",1,0)</f>
        <v/>
      </c>
      <c r="R107" s="51">
        <f>IF(Q107=1,F107-D107,0)</f>
        <v/>
      </c>
      <c r="S107" s="51">
        <f>IF(Q107=1,IF(F107&lt;=E107,1,0),0)</f>
        <v/>
      </c>
      <c r="T107" s="51">
        <f>IF(Q107=1,IF(H107&gt;=G107,1,0),0)</f>
        <v/>
      </c>
      <c r="U107" s="51">
        <f>S107*T107</f>
        <v/>
      </c>
      <c r="V107" s="51">
        <f>IF(Q107=1,MAX(0,F107-E107),0)</f>
        <v/>
      </c>
    </row>
    <row r="108">
      <c r="A108" s="43" t="inlineStr">
        <is>
          <t>PO100794</t>
        </is>
      </c>
      <c r="B108" s="43" t="inlineStr">
        <is>
          <t>CMD-0036</t>
        </is>
      </c>
      <c r="C108" s="43" t="inlineStr">
        <is>
          <t>S04</t>
        </is>
      </c>
      <c r="D108" s="47" t="n">
        <v>45574</v>
      </c>
      <c r="E108" s="47" t="n">
        <v>45616</v>
      </c>
      <c r="F108" s="47" t="n">
        <v>45625</v>
      </c>
      <c r="G108" s="46" t="n">
        <v>565</v>
      </c>
      <c r="H108" s="46" t="n">
        <v>565</v>
      </c>
      <c r="I108" s="46" t="n">
        <v>4</v>
      </c>
      <c r="J108" s="44" t="n">
        <v>12.36</v>
      </c>
      <c r="K108" s="43" t="inlineStr">
        <is>
          <t>Received</t>
        </is>
      </c>
      <c r="L108" s="17">
        <f>INDEX(Items!$C$2:$C$117,MATCH(B108,Items!$A$2:$A$117,0))</f>
        <v/>
      </c>
      <c r="M108" s="49">
        <f>INDEX(Items!$E$2:$E$117,MATCH(B108,Items!$A$2:$A$117,0))</f>
        <v/>
      </c>
      <c r="N108" s="17">
        <f>TEXT(D108,"yyyy-mm")</f>
        <v/>
      </c>
      <c r="O108" s="50">
        <f>G108*J108</f>
        <v/>
      </c>
      <c r="P108" s="50">
        <f>(J108-M108)*G108</f>
        <v/>
      </c>
      <c r="Q108" s="51">
        <f>IF(K108="Received",1,0)</f>
        <v/>
      </c>
      <c r="R108" s="51">
        <f>IF(Q108=1,F108-D108,0)</f>
        <v/>
      </c>
      <c r="S108" s="51">
        <f>IF(Q108=1,IF(F108&lt;=E108,1,0),0)</f>
        <v/>
      </c>
      <c r="T108" s="51">
        <f>IF(Q108=1,IF(H108&gt;=G108,1,0),0)</f>
        <v/>
      </c>
      <c r="U108" s="51">
        <f>S108*T108</f>
        <v/>
      </c>
      <c r="V108" s="51">
        <f>IF(Q108=1,MAX(0,F108-E108),0)</f>
        <v/>
      </c>
    </row>
    <row r="109">
      <c r="A109" s="43" t="inlineStr">
        <is>
          <t>PO101426</t>
        </is>
      </c>
      <c r="B109" s="43" t="inlineStr">
        <is>
          <t>CMD-0076</t>
        </is>
      </c>
      <c r="C109" s="43" t="inlineStr">
        <is>
          <t>S04</t>
        </is>
      </c>
      <c r="D109" s="47" t="n">
        <v>45574</v>
      </c>
      <c r="E109" s="47" t="n">
        <v>45609</v>
      </c>
      <c r="F109" s="47" t="n">
        <v>45606</v>
      </c>
      <c r="G109" s="46" t="n">
        <v>469580</v>
      </c>
      <c r="H109" s="46" t="n">
        <v>469580</v>
      </c>
      <c r="I109" s="46" t="n">
        <v>4733</v>
      </c>
      <c r="J109" s="44" t="n">
        <v>0.0145</v>
      </c>
      <c r="K109" s="43" t="inlineStr">
        <is>
          <t>Received</t>
        </is>
      </c>
      <c r="L109" s="17">
        <f>INDEX(Items!$C$2:$C$117,MATCH(B109,Items!$A$2:$A$117,0))</f>
        <v/>
      </c>
      <c r="M109" s="49">
        <f>INDEX(Items!$E$2:$E$117,MATCH(B109,Items!$A$2:$A$117,0))</f>
        <v/>
      </c>
      <c r="N109" s="17">
        <f>TEXT(D109,"yyyy-mm")</f>
        <v/>
      </c>
      <c r="O109" s="50">
        <f>G109*J109</f>
        <v/>
      </c>
      <c r="P109" s="50">
        <f>(J109-M109)*G109</f>
        <v/>
      </c>
      <c r="Q109" s="51">
        <f>IF(K109="Received",1,0)</f>
        <v/>
      </c>
      <c r="R109" s="51">
        <f>IF(Q109=1,F109-D109,0)</f>
        <v/>
      </c>
      <c r="S109" s="51">
        <f>IF(Q109=1,IF(F109&lt;=E109,1,0),0)</f>
        <v/>
      </c>
      <c r="T109" s="51">
        <f>IF(Q109=1,IF(H109&gt;=G109,1,0),0)</f>
        <v/>
      </c>
      <c r="U109" s="51">
        <f>S109*T109</f>
        <v/>
      </c>
      <c r="V109" s="51">
        <f>IF(Q109=1,MAX(0,F109-E109),0)</f>
        <v/>
      </c>
    </row>
    <row r="110">
      <c r="A110" s="43" t="inlineStr">
        <is>
          <t>PO101738</t>
        </is>
      </c>
      <c r="B110" s="43" t="inlineStr">
        <is>
          <t>CMD-0095</t>
        </is>
      </c>
      <c r="C110" s="43" t="inlineStr">
        <is>
          <t>S08</t>
        </is>
      </c>
      <c r="D110" s="47" t="n">
        <v>45574</v>
      </c>
      <c r="E110" s="47" t="n">
        <v>45651</v>
      </c>
      <c r="F110" s="47" t="n">
        <v>45650</v>
      </c>
      <c r="G110" s="46" t="n">
        <v>295</v>
      </c>
      <c r="H110" s="46" t="n">
        <v>295</v>
      </c>
      <c r="I110" s="46" t="n">
        <v>5</v>
      </c>
      <c r="J110" s="44" t="n">
        <v>91.83</v>
      </c>
      <c r="K110" s="43" t="inlineStr">
        <is>
          <t>Received</t>
        </is>
      </c>
      <c r="L110" s="17">
        <f>INDEX(Items!$C$2:$C$117,MATCH(B110,Items!$A$2:$A$117,0))</f>
        <v/>
      </c>
      <c r="M110" s="49">
        <f>INDEX(Items!$E$2:$E$117,MATCH(B110,Items!$A$2:$A$117,0))</f>
        <v/>
      </c>
      <c r="N110" s="17">
        <f>TEXT(D110,"yyyy-mm")</f>
        <v/>
      </c>
      <c r="O110" s="50">
        <f>G110*J110</f>
        <v/>
      </c>
      <c r="P110" s="50">
        <f>(J110-M110)*G110</f>
        <v/>
      </c>
      <c r="Q110" s="51">
        <f>IF(K110="Received",1,0)</f>
        <v/>
      </c>
      <c r="R110" s="51">
        <f>IF(Q110=1,F110-D110,0)</f>
        <v/>
      </c>
      <c r="S110" s="51">
        <f>IF(Q110=1,IF(F110&lt;=E110,1,0),0)</f>
        <v/>
      </c>
      <c r="T110" s="51">
        <f>IF(Q110=1,IF(H110&gt;=G110,1,0),0)</f>
        <v/>
      </c>
      <c r="U110" s="51">
        <f>S110*T110</f>
        <v/>
      </c>
      <c r="V110" s="51">
        <f>IF(Q110=1,MAX(0,F110-E110),0)</f>
        <v/>
      </c>
    </row>
    <row r="111">
      <c r="A111" s="43" t="inlineStr">
        <is>
          <t>PO101336</t>
        </is>
      </c>
      <c r="B111" s="43" t="inlineStr">
        <is>
          <t>CMD-0067</t>
        </is>
      </c>
      <c r="C111" s="43" t="inlineStr">
        <is>
          <t>S04</t>
        </is>
      </c>
      <c r="D111" s="47" t="n">
        <v>45574</v>
      </c>
      <c r="E111" s="47" t="n">
        <v>45609</v>
      </c>
      <c r="F111" s="47" t="n">
        <v>45606</v>
      </c>
      <c r="G111" s="46" t="n">
        <v>15086</v>
      </c>
      <c r="H111" s="46" t="n">
        <v>15086</v>
      </c>
      <c r="I111" s="46" t="n">
        <v>161</v>
      </c>
      <c r="J111" s="44" t="n">
        <v>0.3432</v>
      </c>
      <c r="K111" s="43" t="inlineStr">
        <is>
          <t>Received</t>
        </is>
      </c>
      <c r="L111" s="17">
        <f>INDEX(Items!$C$2:$C$117,MATCH(B111,Items!$A$2:$A$117,0))</f>
        <v/>
      </c>
      <c r="M111" s="49">
        <f>INDEX(Items!$E$2:$E$117,MATCH(B111,Items!$A$2:$A$117,0))</f>
        <v/>
      </c>
      <c r="N111" s="17">
        <f>TEXT(D111,"yyyy-mm")</f>
        <v/>
      </c>
      <c r="O111" s="50">
        <f>G111*J111</f>
        <v/>
      </c>
      <c r="P111" s="50">
        <f>(J111-M111)*G111</f>
        <v/>
      </c>
      <c r="Q111" s="51">
        <f>IF(K111="Received",1,0)</f>
        <v/>
      </c>
      <c r="R111" s="51">
        <f>IF(Q111=1,F111-D111,0)</f>
        <v/>
      </c>
      <c r="S111" s="51">
        <f>IF(Q111=1,IF(F111&lt;=E111,1,0),0)</f>
        <v/>
      </c>
      <c r="T111" s="51">
        <f>IF(Q111=1,IF(H111&gt;=G111,1,0),0)</f>
        <v/>
      </c>
      <c r="U111" s="51">
        <f>S111*T111</f>
        <v/>
      </c>
      <c r="V111" s="51">
        <f>IF(Q111=1,MAX(0,F111-E111),0)</f>
        <v/>
      </c>
    </row>
    <row r="112">
      <c r="A112" s="43" t="inlineStr">
        <is>
          <t>PO100910</t>
        </is>
      </c>
      <c r="B112" s="43" t="inlineStr">
        <is>
          <t>CMD-0042</t>
        </is>
      </c>
      <c r="C112" s="43" t="inlineStr">
        <is>
          <t>S05</t>
        </is>
      </c>
      <c r="D112" s="47" t="n">
        <v>45574</v>
      </c>
      <c r="E112" s="47" t="n">
        <v>45679</v>
      </c>
      <c r="F112" s="47" t="n">
        <v>45678</v>
      </c>
      <c r="G112" s="46" t="n">
        <v>682</v>
      </c>
      <c r="H112" s="46" t="n">
        <v>682</v>
      </c>
      <c r="I112" s="46" t="n">
        <v>16</v>
      </c>
      <c r="J112" s="44" t="n">
        <v>8.91</v>
      </c>
      <c r="K112" s="43" t="inlineStr">
        <is>
          <t>Received</t>
        </is>
      </c>
      <c r="L112" s="17">
        <f>INDEX(Items!$C$2:$C$117,MATCH(B112,Items!$A$2:$A$117,0))</f>
        <v/>
      </c>
      <c r="M112" s="49">
        <f>INDEX(Items!$E$2:$E$117,MATCH(B112,Items!$A$2:$A$117,0))</f>
        <v/>
      </c>
      <c r="N112" s="17">
        <f>TEXT(D112,"yyyy-mm")</f>
        <v/>
      </c>
      <c r="O112" s="50">
        <f>G112*J112</f>
        <v/>
      </c>
      <c r="P112" s="50">
        <f>(J112-M112)*G112</f>
        <v/>
      </c>
      <c r="Q112" s="51">
        <f>IF(K112="Received",1,0)</f>
        <v/>
      </c>
      <c r="R112" s="51">
        <f>IF(Q112=1,F112-D112,0)</f>
        <v/>
      </c>
      <c r="S112" s="51">
        <f>IF(Q112=1,IF(F112&lt;=E112,1,0),0)</f>
        <v/>
      </c>
      <c r="T112" s="51">
        <f>IF(Q112=1,IF(H112&gt;=G112,1,0),0)</f>
        <v/>
      </c>
      <c r="U112" s="51">
        <f>S112*T112</f>
        <v/>
      </c>
      <c r="V112" s="51">
        <f>IF(Q112=1,MAX(0,F112-E112),0)</f>
        <v/>
      </c>
    </row>
    <row r="113">
      <c r="A113" s="43" t="inlineStr">
        <is>
          <t>PO101220</t>
        </is>
      </c>
      <c r="B113" s="43" t="inlineStr">
        <is>
          <t>CMD-0057</t>
        </is>
      </c>
      <c r="C113" s="43" t="inlineStr">
        <is>
          <t>S01</t>
        </is>
      </c>
      <c r="D113" s="47" t="n">
        <v>45574</v>
      </c>
      <c r="E113" s="47" t="n">
        <v>45595</v>
      </c>
      <c r="F113" s="47" t="n">
        <v>45593</v>
      </c>
      <c r="G113" s="46" t="n">
        <v>54154</v>
      </c>
      <c r="H113" s="46" t="n">
        <v>54154</v>
      </c>
      <c r="I113" s="46" t="n">
        <v>94</v>
      </c>
      <c r="J113" s="44" t="n">
        <v>0.1124</v>
      </c>
      <c r="K113" s="43" t="inlineStr">
        <is>
          <t>Received</t>
        </is>
      </c>
      <c r="L113" s="17">
        <f>INDEX(Items!$C$2:$C$117,MATCH(B113,Items!$A$2:$A$117,0))</f>
        <v/>
      </c>
      <c r="M113" s="49">
        <f>INDEX(Items!$E$2:$E$117,MATCH(B113,Items!$A$2:$A$117,0))</f>
        <v/>
      </c>
      <c r="N113" s="17">
        <f>TEXT(D113,"yyyy-mm")</f>
        <v/>
      </c>
      <c r="O113" s="50">
        <f>G113*J113</f>
        <v/>
      </c>
      <c r="P113" s="50">
        <f>(J113-M113)*G113</f>
        <v/>
      </c>
      <c r="Q113" s="51">
        <f>IF(K113="Received",1,0)</f>
        <v/>
      </c>
      <c r="R113" s="51">
        <f>IF(Q113=1,F113-D113,0)</f>
        <v/>
      </c>
      <c r="S113" s="51">
        <f>IF(Q113=1,IF(F113&lt;=E113,1,0),0)</f>
        <v/>
      </c>
      <c r="T113" s="51">
        <f>IF(Q113=1,IF(H113&gt;=G113,1,0),0)</f>
        <v/>
      </c>
      <c r="U113" s="51">
        <f>S113*T113</f>
        <v/>
      </c>
      <c r="V113" s="51">
        <f>IF(Q113=1,MAX(0,F113-E113),0)</f>
        <v/>
      </c>
    </row>
    <row r="114">
      <c r="A114" s="43" t="inlineStr">
        <is>
          <t>PO101932</t>
        </is>
      </c>
      <c r="B114" s="43" t="inlineStr">
        <is>
          <t>CMD-0107</t>
        </is>
      </c>
      <c r="C114" s="43" t="inlineStr">
        <is>
          <t>S09</t>
        </is>
      </c>
      <c r="D114" s="47" t="n">
        <v>45574</v>
      </c>
      <c r="E114" s="47" t="n">
        <v>45595</v>
      </c>
      <c r="F114" s="47" t="n">
        <v>45594</v>
      </c>
      <c r="G114" s="46" t="n">
        <v>1008</v>
      </c>
      <c r="H114" s="46" t="n">
        <v>1008</v>
      </c>
      <c r="I114" s="46" t="n">
        <v>1</v>
      </c>
      <c r="J114" s="44" t="n">
        <v>6.95</v>
      </c>
      <c r="K114" s="43" t="inlineStr">
        <is>
          <t>Received</t>
        </is>
      </c>
      <c r="L114" s="17">
        <f>INDEX(Items!$C$2:$C$117,MATCH(B114,Items!$A$2:$A$117,0))</f>
        <v/>
      </c>
      <c r="M114" s="49">
        <f>INDEX(Items!$E$2:$E$117,MATCH(B114,Items!$A$2:$A$117,0))</f>
        <v/>
      </c>
      <c r="N114" s="17">
        <f>TEXT(D114,"yyyy-mm")</f>
        <v/>
      </c>
      <c r="O114" s="50">
        <f>G114*J114</f>
        <v/>
      </c>
      <c r="P114" s="50">
        <f>(J114-M114)*G114</f>
        <v/>
      </c>
      <c r="Q114" s="51">
        <f>IF(K114="Received",1,0)</f>
        <v/>
      </c>
      <c r="R114" s="51">
        <f>IF(Q114=1,F114-D114,0)</f>
        <v/>
      </c>
      <c r="S114" s="51">
        <f>IF(Q114=1,IF(F114&lt;=E114,1,0),0)</f>
        <v/>
      </c>
      <c r="T114" s="51">
        <f>IF(Q114=1,IF(H114&gt;=G114,1,0),0)</f>
        <v/>
      </c>
      <c r="U114" s="51">
        <f>S114*T114</f>
        <v/>
      </c>
      <c r="V114" s="51">
        <f>IF(Q114=1,MAX(0,F114-E114),0)</f>
        <v/>
      </c>
    </row>
    <row r="115">
      <c r="A115" s="43" t="inlineStr">
        <is>
          <t>PO100024</t>
        </is>
      </c>
      <c r="B115" s="43" t="inlineStr">
        <is>
          <t>CMD-0002</t>
        </is>
      </c>
      <c r="C115" s="43" t="inlineStr">
        <is>
          <t>S11</t>
        </is>
      </c>
      <c r="D115" s="47" t="n">
        <v>45574</v>
      </c>
      <c r="E115" s="47" t="n">
        <v>45693</v>
      </c>
      <c r="F115" s="47" t="n">
        <v>45740</v>
      </c>
      <c r="G115" s="46" t="n">
        <v>8278</v>
      </c>
      <c r="H115" s="46" t="n">
        <v>8278</v>
      </c>
      <c r="I115" s="46" t="n">
        <v>23</v>
      </c>
      <c r="J115" s="44" t="n">
        <v>6.85</v>
      </c>
      <c r="K115" s="43" t="inlineStr">
        <is>
          <t>Received</t>
        </is>
      </c>
      <c r="L115" s="17">
        <f>INDEX(Items!$C$2:$C$117,MATCH(B115,Items!$A$2:$A$117,0))</f>
        <v/>
      </c>
      <c r="M115" s="49">
        <f>INDEX(Items!$E$2:$E$117,MATCH(B115,Items!$A$2:$A$117,0))</f>
        <v/>
      </c>
      <c r="N115" s="17">
        <f>TEXT(D115,"yyyy-mm")</f>
        <v/>
      </c>
      <c r="O115" s="50">
        <f>G115*J115</f>
        <v/>
      </c>
      <c r="P115" s="50">
        <f>(J115-M115)*G115</f>
        <v/>
      </c>
      <c r="Q115" s="51">
        <f>IF(K115="Received",1,0)</f>
        <v/>
      </c>
      <c r="R115" s="51">
        <f>IF(Q115=1,F115-D115,0)</f>
        <v/>
      </c>
      <c r="S115" s="51">
        <f>IF(Q115=1,IF(F115&lt;=E115,1,0),0)</f>
        <v/>
      </c>
      <c r="T115" s="51">
        <f>IF(Q115=1,IF(H115&gt;=G115,1,0),0)</f>
        <v/>
      </c>
      <c r="U115" s="51">
        <f>S115*T115</f>
        <v/>
      </c>
      <c r="V115" s="51">
        <f>IF(Q115=1,MAX(0,F115-E115),0)</f>
        <v/>
      </c>
    </row>
    <row r="116">
      <c r="A116" s="43" t="inlineStr">
        <is>
          <t>PO101456</t>
        </is>
      </c>
      <c r="B116" s="43" t="inlineStr">
        <is>
          <t>CMD-0078</t>
        </is>
      </c>
      <c r="C116" s="43" t="inlineStr">
        <is>
          <t>S06</t>
        </is>
      </c>
      <c r="D116" s="47" t="n">
        <v>45574</v>
      </c>
      <c r="E116" s="47" t="n">
        <v>45595</v>
      </c>
      <c r="F116" s="47" t="n">
        <v>45592</v>
      </c>
      <c r="G116" s="46" t="n">
        <v>4897</v>
      </c>
      <c r="H116" s="46" t="n">
        <v>4897</v>
      </c>
      <c r="I116" s="46" t="n">
        <v>28</v>
      </c>
      <c r="J116" s="44" t="n">
        <v>2.6</v>
      </c>
      <c r="K116" s="43" t="inlineStr">
        <is>
          <t>Received</t>
        </is>
      </c>
      <c r="L116" s="17">
        <f>INDEX(Items!$C$2:$C$117,MATCH(B116,Items!$A$2:$A$117,0))</f>
        <v/>
      </c>
      <c r="M116" s="49">
        <f>INDEX(Items!$E$2:$E$117,MATCH(B116,Items!$A$2:$A$117,0))</f>
        <v/>
      </c>
      <c r="N116" s="17">
        <f>TEXT(D116,"yyyy-mm")</f>
        <v/>
      </c>
      <c r="O116" s="50">
        <f>G116*J116</f>
        <v/>
      </c>
      <c r="P116" s="50">
        <f>(J116-M116)*G116</f>
        <v/>
      </c>
      <c r="Q116" s="51">
        <f>IF(K116="Received",1,0)</f>
        <v/>
      </c>
      <c r="R116" s="51">
        <f>IF(Q116=1,F116-D116,0)</f>
        <v/>
      </c>
      <c r="S116" s="51">
        <f>IF(Q116=1,IF(F116&lt;=E116,1,0),0)</f>
        <v/>
      </c>
      <c r="T116" s="51">
        <f>IF(Q116=1,IF(H116&gt;=G116,1,0),0)</f>
        <v/>
      </c>
      <c r="U116" s="51">
        <f>S116*T116</f>
        <v/>
      </c>
      <c r="V116" s="51">
        <f>IF(Q116=1,MAX(0,F116-E116),0)</f>
        <v/>
      </c>
    </row>
    <row r="117">
      <c r="A117" s="43" t="inlineStr">
        <is>
          <t>PO100866</t>
        </is>
      </c>
      <c r="B117" s="43" t="inlineStr">
        <is>
          <t>CMD-0039</t>
        </is>
      </c>
      <c r="C117" s="43" t="inlineStr">
        <is>
          <t>S07</t>
        </is>
      </c>
      <c r="D117" s="47" t="n">
        <v>45574</v>
      </c>
      <c r="E117" s="47" t="n">
        <v>45616</v>
      </c>
      <c r="F117" s="47" t="n">
        <v>45615</v>
      </c>
      <c r="G117" s="46" t="n">
        <v>363</v>
      </c>
      <c r="H117" s="46" t="n">
        <v>363</v>
      </c>
      <c r="I117" s="46" t="n">
        <v>5</v>
      </c>
      <c r="J117" s="44" t="n">
        <v>51.99</v>
      </c>
      <c r="K117" s="43" t="inlineStr">
        <is>
          <t>Received</t>
        </is>
      </c>
      <c r="L117" s="17">
        <f>INDEX(Items!$C$2:$C$117,MATCH(B117,Items!$A$2:$A$117,0))</f>
        <v/>
      </c>
      <c r="M117" s="49">
        <f>INDEX(Items!$E$2:$E$117,MATCH(B117,Items!$A$2:$A$117,0))</f>
        <v/>
      </c>
      <c r="N117" s="17">
        <f>TEXT(D117,"yyyy-mm")</f>
        <v/>
      </c>
      <c r="O117" s="50">
        <f>G117*J117</f>
        <v/>
      </c>
      <c r="P117" s="50">
        <f>(J117-M117)*G117</f>
        <v/>
      </c>
      <c r="Q117" s="51">
        <f>IF(K117="Received",1,0)</f>
        <v/>
      </c>
      <c r="R117" s="51">
        <f>IF(Q117=1,F117-D117,0)</f>
        <v/>
      </c>
      <c r="S117" s="51">
        <f>IF(Q117=1,IF(F117&lt;=E117,1,0),0)</f>
        <v/>
      </c>
      <c r="T117" s="51">
        <f>IF(Q117=1,IF(H117&gt;=G117,1,0),0)</f>
        <v/>
      </c>
      <c r="U117" s="51">
        <f>S117*T117</f>
        <v/>
      </c>
      <c r="V117" s="51">
        <f>IF(Q117=1,MAX(0,F117-E117),0)</f>
        <v/>
      </c>
    </row>
    <row r="118">
      <c r="A118" s="43" t="inlineStr">
        <is>
          <t>PO100217</t>
        </is>
      </c>
      <c r="B118" s="43" t="inlineStr">
        <is>
          <t>CMD-0010</t>
        </is>
      </c>
      <c r="C118" s="43" t="inlineStr">
        <is>
          <t>S03</t>
        </is>
      </c>
      <c r="D118" s="47" t="n">
        <v>45597</v>
      </c>
      <c r="E118" s="47" t="n">
        <v>45730</v>
      </c>
      <c r="F118" s="47" t="n">
        <v>45730</v>
      </c>
      <c r="G118" s="46" t="n">
        <v>4198</v>
      </c>
      <c r="H118" s="46" t="n">
        <v>4198</v>
      </c>
      <c r="I118" s="46" t="n">
        <v>25</v>
      </c>
      <c r="J118" s="44" t="n">
        <v>4.63</v>
      </c>
      <c r="K118" s="43" t="inlineStr">
        <is>
          <t>Received</t>
        </is>
      </c>
      <c r="L118" s="17">
        <f>INDEX(Items!$C$2:$C$117,MATCH(B118,Items!$A$2:$A$117,0))</f>
        <v/>
      </c>
      <c r="M118" s="49">
        <f>INDEX(Items!$E$2:$E$117,MATCH(B118,Items!$A$2:$A$117,0))</f>
        <v/>
      </c>
      <c r="N118" s="17">
        <f>TEXT(D118,"yyyy-mm")</f>
        <v/>
      </c>
      <c r="O118" s="50">
        <f>G118*J118</f>
        <v/>
      </c>
      <c r="P118" s="50">
        <f>(J118-M118)*G118</f>
        <v/>
      </c>
      <c r="Q118" s="51">
        <f>IF(K118="Received",1,0)</f>
        <v/>
      </c>
      <c r="R118" s="51">
        <f>IF(Q118=1,F118-D118,0)</f>
        <v/>
      </c>
      <c r="S118" s="51">
        <f>IF(Q118=1,IF(F118&lt;=E118,1,0),0)</f>
        <v/>
      </c>
      <c r="T118" s="51">
        <f>IF(Q118=1,IF(H118&gt;=G118,1,0),0)</f>
        <v/>
      </c>
      <c r="U118" s="51">
        <f>S118*T118</f>
        <v/>
      </c>
      <c r="V118" s="51">
        <f>IF(Q118=1,MAX(0,F118-E118),0)</f>
        <v/>
      </c>
    </row>
    <row r="119">
      <c r="A119" s="43" t="inlineStr">
        <is>
          <t>PO100911</t>
        </is>
      </c>
      <c r="B119" s="43" t="inlineStr">
        <is>
          <t>CMD-0042</t>
        </is>
      </c>
      <c r="C119" s="43" t="inlineStr">
        <is>
          <t>S05</t>
        </is>
      </c>
      <c r="D119" s="47" t="n">
        <v>45597</v>
      </c>
      <c r="E119" s="47" t="n">
        <v>45702</v>
      </c>
      <c r="F119" s="47" t="n">
        <v>45702</v>
      </c>
      <c r="G119" s="46" t="n">
        <v>715</v>
      </c>
      <c r="H119" s="46" t="n">
        <v>715</v>
      </c>
      <c r="I119" s="46" t="n">
        <v>9</v>
      </c>
      <c r="J119" s="44" t="n">
        <v>8.91</v>
      </c>
      <c r="K119" s="43" t="inlineStr">
        <is>
          <t>Received</t>
        </is>
      </c>
      <c r="L119" s="17">
        <f>INDEX(Items!$C$2:$C$117,MATCH(B119,Items!$A$2:$A$117,0))</f>
        <v/>
      </c>
      <c r="M119" s="49">
        <f>INDEX(Items!$E$2:$E$117,MATCH(B119,Items!$A$2:$A$117,0))</f>
        <v/>
      </c>
      <c r="N119" s="17">
        <f>TEXT(D119,"yyyy-mm")</f>
        <v/>
      </c>
      <c r="O119" s="50">
        <f>G119*J119</f>
        <v/>
      </c>
      <c r="P119" s="50">
        <f>(J119-M119)*G119</f>
        <v/>
      </c>
      <c r="Q119" s="51">
        <f>IF(K119="Received",1,0)</f>
        <v/>
      </c>
      <c r="R119" s="51">
        <f>IF(Q119=1,F119-D119,0)</f>
        <v/>
      </c>
      <c r="S119" s="51">
        <f>IF(Q119=1,IF(F119&lt;=E119,1,0),0)</f>
        <v/>
      </c>
      <c r="T119" s="51">
        <f>IF(Q119=1,IF(H119&gt;=G119,1,0),0)</f>
        <v/>
      </c>
      <c r="U119" s="51">
        <f>S119*T119</f>
        <v/>
      </c>
      <c r="V119" s="51">
        <f>IF(Q119=1,MAX(0,F119-E119),0)</f>
        <v/>
      </c>
    </row>
    <row r="120">
      <c r="A120" s="43" t="inlineStr">
        <is>
          <t>PO100935</t>
        </is>
      </c>
      <c r="B120" s="43" t="inlineStr">
        <is>
          <t>CMD-0043</t>
        </is>
      </c>
      <c r="C120" s="43" t="inlineStr">
        <is>
          <t>S05</t>
        </is>
      </c>
      <c r="D120" s="47" t="n">
        <v>45597</v>
      </c>
      <c r="E120" s="47" t="n">
        <v>45702</v>
      </c>
      <c r="F120" s="47" t="n">
        <v>45701</v>
      </c>
      <c r="G120" s="46" t="n">
        <v>6367</v>
      </c>
      <c r="H120" s="46" t="n">
        <v>6367</v>
      </c>
      <c r="I120" s="46" t="n">
        <v>111</v>
      </c>
      <c r="J120" s="44" t="n">
        <v>3.69</v>
      </c>
      <c r="K120" s="43" t="inlineStr">
        <is>
          <t>Received</t>
        </is>
      </c>
      <c r="L120" s="17">
        <f>INDEX(Items!$C$2:$C$117,MATCH(B120,Items!$A$2:$A$117,0))</f>
        <v/>
      </c>
      <c r="M120" s="49">
        <f>INDEX(Items!$E$2:$E$117,MATCH(B120,Items!$A$2:$A$117,0))</f>
        <v/>
      </c>
      <c r="N120" s="17">
        <f>TEXT(D120,"yyyy-mm")</f>
        <v/>
      </c>
      <c r="O120" s="50">
        <f>G120*J120</f>
        <v/>
      </c>
      <c r="P120" s="50">
        <f>(J120-M120)*G120</f>
        <v/>
      </c>
      <c r="Q120" s="51">
        <f>IF(K120="Received",1,0)</f>
        <v/>
      </c>
      <c r="R120" s="51">
        <f>IF(Q120=1,F120-D120,0)</f>
        <v/>
      </c>
      <c r="S120" s="51">
        <f>IF(Q120=1,IF(F120&lt;=E120,1,0),0)</f>
        <v/>
      </c>
      <c r="T120" s="51">
        <f>IF(Q120=1,IF(H120&gt;=G120,1,0),0)</f>
        <v/>
      </c>
      <c r="U120" s="51">
        <f>S120*T120</f>
        <v/>
      </c>
      <c r="V120" s="51">
        <f>IF(Q120=1,MAX(0,F120-E120),0)</f>
        <v/>
      </c>
    </row>
    <row r="121">
      <c r="A121" s="43" t="inlineStr">
        <is>
          <t>PO101457</t>
        </is>
      </c>
      <c r="B121" s="43" t="inlineStr">
        <is>
          <t>CMD-0078</t>
        </is>
      </c>
      <c r="C121" s="43" t="inlineStr">
        <is>
          <t>S06</t>
        </is>
      </c>
      <c r="D121" s="47" t="n">
        <v>45597</v>
      </c>
      <c r="E121" s="47" t="n">
        <v>45618</v>
      </c>
      <c r="F121" s="47" t="n">
        <v>45615</v>
      </c>
      <c r="G121" s="46" t="n">
        <v>4726</v>
      </c>
      <c r="H121" s="46" t="n">
        <v>4726</v>
      </c>
      <c r="I121" s="46" t="n">
        <v>22</v>
      </c>
      <c r="J121" s="44" t="n">
        <v>2.6</v>
      </c>
      <c r="K121" s="43" t="inlineStr">
        <is>
          <t>Received</t>
        </is>
      </c>
      <c r="L121" s="17">
        <f>INDEX(Items!$C$2:$C$117,MATCH(B121,Items!$A$2:$A$117,0))</f>
        <v/>
      </c>
      <c r="M121" s="49">
        <f>INDEX(Items!$E$2:$E$117,MATCH(B121,Items!$A$2:$A$117,0))</f>
        <v/>
      </c>
      <c r="N121" s="17">
        <f>TEXT(D121,"yyyy-mm")</f>
        <v/>
      </c>
      <c r="O121" s="50">
        <f>G121*J121</f>
        <v/>
      </c>
      <c r="P121" s="50">
        <f>(J121-M121)*G121</f>
        <v/>
      </c>
      <c r="Q121" s="51">
        <f>IF(K121="Received",1,0)</f>
        <v/>
      </c>
      <c r="R121" s="51">
        <f>IF(Q121=1,F121-D121,0)</f>
        <v/>
      </c>
      <c r="S121" s="51">
        <f>IF(Q121=1,IF(F121&lt;=E121,1,0),0)</f>
        <v/>
      </c>
      <c r="T121" s="51">
        <f>IF(Q121=1,IF(H121&gt;=G121,1,0),0)</f>
        <v/>
      </c>
      <c r="U121" s="51">
        <f>S121*T121</f>
        <v/>
      </c>
      <c r="V121" s="51">
        <f>IF(Q121=1,MAX(0,F121-E121),0)</f>
        <v/>
      </c>
    </row>
    <row r="122">
      <c r="A122" s="43" t="inlineStr">
        <is>
          <t>PO100641</t>
        </is>
      </c>
      <c r="B122" s="43" t="inlineStr">
        <is>
          <t>CMD-0029</t>
        </is>
      </c>
      <c r="C122" s="43" t="inlineStr">
        <is>
          <t>S11</t>
        </is>
      </c>
      <c r="D122" s="47" t="n">
        <v>45597</v>
      </c>
      <c r="E122" s="47" t="n">
        <v>45674</v>
      </c>
      <c r="F122" s="47" t="n">
        <v>45673</v>
      </c>
      <c r="G122" s="46" t="n">
        <v>3911</v>
      </c>
      <c r="H122" s="46" t="n">
        <v>3911</v>
      </c>
      <c r="I122" s="46" t="n">
        <v>4</v>
      </c>
      <c r="J122" s="44" t="n">
        <v>6.87</v>
      </c>
      <c r="K122" s="43" t="inlineStr">
        <is>
          <t>Received</t>
        </is>
      </c>
      <c r="L122" s="17">
        <f>INDEX(Items!$C$2:$C$117,MATCH(B122,Items!$A$2:$A$117,0))</f>
        <v/>
      </c>
      <c r="M122" s="49">
        <f>INDEX(Items!$E$2:$E$117,MATCH(B122,Items!$A$2:$A$117,0))</f>
        <v/>
      </c>
      <c r="N122" s="17">
        <f>TEXT(D122,"yyyy-mm")</f>
        <v/>
      </c>
      <c r="O122" s="50">
        <f>G122*J122</f>
        <v/>
      </c>
      <c r="P122" s="50">
        <f>(J122-M122)*G122</f>
        <v/>
      </c>
      <c r="Q122" s="51">
        <f>IF(K122="Received",1,0)</f>
        <v/>
      </c>
      <c r="R122" s="51">
        <f>IF(Q122=1,F122-D122,0)</f>
        <v/>
      </c>
      <c r="S122" s="51">
        <f>IF(Q122=1,IF(F122&lt;=E122,1,0),0)</f>
        <v/>
      </c>
      <c r="T122" s="51">
        <f>IF(Q122=1,IF(H122&gt;=G122,1,0),0)</f>
        <v/>
      </c>
      <c r="U122" s="51">
        <f>S122*T122</f>
        <v/>
      </c>
      <c r="V122" s="51">
        <f>IF(Q122=1,MAX(0,F122-E122),0)</f>
        <v/>
      </c>
    </row>
    <row r="123">
      <c r="A123" s="43" t="inlineStr">
        <is>
          <t>PO100097</t>
        </is>
      </c>
      <c r="B123" s="43" t="inlineStr">
        <is>
          <t>CMD-0005</t>
        </is>
      </c>
      <c r="C123" s="43" t="inlineStr">
        <is>
          <t>S07</t>
        </is>
      </c>
      <c r="D123" s="47" t="n">
        <v>45597</v>
      </c>
      <c r="E123" s="47" t="n">
        <v>45688</v>
      </c>
      <c r="F123" s="47" t="n">
        <v>45685</v>
      </c>
      <c r="G123" s="46" t="n">
        <v>4669</v>
      </c>
      <c r="H123" s="46" t="n">
        <v>4669</v>
      </c>
      <c r="I123" s="46" t="n">
        <v>43</v>
      </c>
      <c r="J123" s="44" t="n">
        <v>5.63</v>
      </c>
      <c r="K123" s="43" t="inlineStr">
        <is>
          <t>Received</t>
        </is>
      </c>
      <c r="L123" s="17">
        <f>INDEX(Items!$C$2:$C$117,MATCH(B123,Items!$A$2:$A$117,0))</f>
        <v/>
      </c>
      <c r="M123" s="49">
        <f>INDEX(Items!$E$2:$E$117,MATCH(B123,Items!$A$2:$A$117,0))</f>
        <v/>
      </c>
      <c r="N123" s="17">
        <f>TEXT(D123,"yyyy-mm")</f>
        <v/>
      </c>
      <c r="O123" s="50">
        <f>G123*J123</f>
        <v/>
      </c>
      <c r="P123" s="50">
        <f>(J123-M123)*G123</f>
        <v/>
      </c>
      <c r="Q123" s="51">
        <f>IF(K123="Received",1,0)</f>
        <v/>
      </c>
      <c r="R123" s="51">
        <f>IF(Q123=1,F123-D123,0)</f>
        <v/>
      </c>
      <c r="S123" s="51">
        <f>IF(Q123=1,IF(F123&lt;=E123,1,0),0)</f>
        <v/>
      </c>
      <c r="T123" s="51">
        <f>IF(Q123=1,IF(H123&gt;=G123,1,0),0)</f>
        <v/>
      </c>
      <c r="U123" s="51">
        <f>S123*T123</f>
        <v/>
      </c>
      <c r="V123" s="51">
        <f>IF(Q123=1,MAX(0,F123-E123),0)</f>
        <v/>
      </c>
    </row>
    <row r="124">
      <c r="A124" s="43" t="inlineStr">
        <is>
          <t>PO100269</t>
        </is>
      </c>
      <c r="B124" s="43" t="inlineStr">
        <is>
          <t>CMD-0013</t>
        </is>
      </c>
      <c r="C124" s="43" t="inlineStr">
        <is>
          <t>S11</t>
        </is>
      </c>
      <c r="D124" s="47" t="n">
        <v>45597</v>
      </c>
      <c r="E124" s="47" t="n">
        <v>45716</v>
      </c>
      <c r="F124" s="47" t="n">
        <v>45715</v>
      </c>
      <c r="G124" s="46" t="n">
        <v>883</v>
      </c>
      <c r="H124" s="46" t="n">
        <v>883</v>
      </c>
      <c r="I124" s="46" t="n">
        <v>2</v>
      </c>
      <c r="J124" s="44" t="n">
        <v>6.75</v>
      </c>
      <c r="K124" s="43" t="inlineStr">
        <is>
          <t>Received</t>
        </is>
      </c>
      <c r="L124" s="17">
        <f>INDEX(Items!$C$2:$C$117,MATCH(B124,Items!$A$2:$A$117,0))</f>
        <v/>
      </c>
      <c r="M124" s="49">
        <f>INDEX(Items!$E$2:$E$117,MATCH(B124,Items!$A$2:$A$117,0))</f>
        <v/>
      </c>
      <c r="N124" s="17">
        <f>TEXT(D124,"yyyy-mm")</f>
        <v/>
      </c>
      <c r="O124" s="50">
        <f>G124*J124</f>
        <v/>
      </c>
      <c r="P124" s="50">
        <f>(J124-M124)*G124</f>
        <v/>
      </c>
      <c r="Q124" s="51">
        <f>IF(K124="Received",1,0)</f>
        <v/>
      </c>
      <c r="R124" s="51">
        <f>IF(Q124=1,F124-D124,0)</f>
        <v/>
      </c>
      <c r="S124" s="51">
        <f>IF(Q124=1,IF(F124&lt;=E124,1,0),0)</f>
        <v/>
      </c>
      <c r="T124" s="51">
        <f>IF(Q124=1,IF(H124&gt;=G124,1,0),0)</f>
        <v/>
      </c>
      <c r="U124" s="51">
        <f>S124*T124</f>
        <v/>
      </c>
      <c r="V124" s="51">
        <f>IF(Q124=1,MAX(0,F124-E124),0)</f>
        <v/>
      </c>
    </row>
    <row r="125">
      <c r="A125" s="43" t="inlineStr">
        <is>
          <t>PO101845</t>
        </is>
      </c>
      <c r="B125" s="43" t="inlineStr">
        <is>
          <t>CMD-0101</t>
        </is>
      </c>
      <c r="C125" s="43" t="inlineStr">
        <is>
          <t>S09</t>
        </is>
      </c>
      <c r="D125" s="47" t="n">
        <v>45597</v>
      </c>
      <c r="E125" s="47" t="n">
        <v>45618</v>
      </c>
      <c r="F125" s="47" t="n">
        <v>45616</v>
      </c>
      <c r="G125" s="46" t="n">
        <v>4049</v>
      </c>
      <c r="H125" s="46" t="n">
        <v>4049</v>
      </c>
      <c r="I125" s="46" t="n">
        <v>15</v>
      </c>
      <c r="J125" s="44" t="n">
        <v>3.7</v>
      </c>
      <c r="K125" s="43" t="inlineStr">
        <is>
          <t>Received</t>
        </is>
      </c>
      <c r="L125" s="17">
        <f>INDEX(Items!$C$2:$C$117,MATCH(B125,Items!$A$2:$A$117,0))</f>
        <v/>
      </c>
      <c r="M125" s="49">
        <f>INDEX(Items!$E$2:$E$117,MATCH(B125,Items!$A$2:$A$117,0))</f>
        <v/>
      </c>
      <c r="N125" s="17">
        <f>TEXT(D125,"yyyy-mm")</f>
        <v/>
      </c>
      <c r="O125" s="50">
        <f>G125*J125</f>
        <v/>
      </c>
      <c r="P125" s="50">
        <f>(J125-M125)*G125</f>
        <v/>
      </c>
      <c r="Q125" s="51">
        <f>IF(K125="Received",1,0)</f>
        <v/>
      </c>
      <c r="R125" s="51">
        <f>IF(Q125=1,F125-D125,0)</f>
        <v/>
      </c>
      <c r="S125" s="51">
        <f>IF(Q125=1,IF(F125&lt;=E125,1,0),0)</f>
        <v/>
      </c>
      <c r="T125" s="51">
        <f>IF(Q125=1,IF(H125&gt;=G125,1,0),0)</f>
        <v/>
      </c>
      <c r="U125" s="51">
        <f>S125*T125</f>
        <v/>
      </c>
      <c r="V125" s="51">
        <f>IF(Q125=1,MAX(0,F125-E125),0)</f>
        <v/>
      </c>
    </row>
    <row r="126">
      <c r="A126" s="43" t="inlineStr">
        <is>
          <t>PO100497</t>
        </is>
      </c>
      <c r="B126" s="43" t="inlineStr">
        <is>
          <t>CMD-0023</t>
        </is>
      </c>
      <c r="C126" s="43" t="inlineStr">
        <is>
          <t>S04</t>
        </is>
      </c>
      <c r="D126" s="47" t="n">
        <v>45598</v>
      </c>
      <c r="E126" s="47" t="n">
        <v>45668</v>
      </c>
      <c r="F126" s="47" t="n">
        <v>45665</v>
      </c>
      <c r="G126" s="46" t="n">
        <v>4033</v>
      </c>
      <c r="H126" s="46" t="n">
        <v>4033</v>
      </c>
      <c r="I126" s="46" t="n">
        <v>40</v>
      </c>
      <c r="J126" s="44" t="n">
        <v>8.800000000000001</v>
      </c>
      <c r="K126" s="43" t="inlineStr">
        <is>
          <t>Received</t>
        </is>
      </c>
      <c r="L126" s="17">
        <f>INDEX(Items!$C$2:$C$117,MATCH(B126,Items!$A$2:$A$117,0))</f>
        <v/>
      </c>
      <c r="M126" s="49">
        <f>INDEX(Items!$E$2:$E$117,MATCH(B126,Items!$A$2:$A$117,0))</f>
        <v/>
      </c>
      <c r="N126" s="17">
        <f>TEXT(D126,"yyyy-mm")</f>
        <v/>
      </c>
      <c r="O126" s="50">
        <f>G126*J126</f>
        <v/>
      </c>
      <c r="P126" s="50">
        <f>(J126-M126)*G126</f>
        <v/>
      </c>
      <c r="Q126" s="51">
        <f>IF(K126="Received",1,0)</f>
        <v/>
      </c>
      <c r="R126" s="51">
        <f>IF(Q126=1,F126-D126,0)</f>
        <v/>
      </c>
      <c r="S126" s="51">
        <f>IF(Q126=1,IF(F126&lt;=E126,1,0),0)</f>
        <v/>
      </c>
      <c r="T126" s="51">
        <f>IF(Q126=1,IF(H126&gt;=G126,1,0),0)</f>
        <v/>
      </c>
      <c r="U126" s="51">
        <f>S126*T126</f>
        <v/>
      </c>
      <c r="V126" s="51">
        <f>IF(Q126=1,MAX(0,F126-E126),0)</f>
        <v/>
      </c>
    </row>
    <row r="127">
      <c r="A127" s="43" t="inlineStr">
        <is>
          <t>PO101053</t>
        </is>
      </c>
      <c r="B127" s="43" t="inlineStr">
        <is>
          <t>CMD-0048</t>
        </is>
      </c>
      <c r="C127" s="43" t="inlineStr">
        <is>
          <t>S10</t>
        </is>
      </c>
      <c r="D127" s="47" t="n">
        <v>45598</v>
      </c>
      <c r="E127" s="47" t="n">
        <v>45626</v>
      </c>
      <c r="F127" s="47" t="n">
        <v>45625</v>
      </c>
      <c r="G127" s="46" t="n">
        <v>17498</v>
      </c>
      <c r="H127" s="46" t="n">
        <v>17498</v>
      </c>
      <c r="I127" s="46" t="n">
        <v>15</v>
      </c>
      <c r="J127" s="44" t="n">
        <v>0.3231</v>
      </c>
      <c r="K127" s="43" t="inlineStr">
        <is>
          <t>Received</t>
        </is>
      </c>
      <c r="L127" s="17">
        <f>INDEX(Items!$C$2:$C$117,MATCH(B127,Items!$A$2:$A$117,0))</f>
        <v/>
      </c>
      <c r="M127" s="49">
        <f>INDEX(Items!$E$2:$E$117,MATCH(B127,Items!$A$2:$A$117,0))</f>
        <v/>
      </c>
      <c r="N127" s="17">
        <f>TEXT(D127,"yyyy-mm")</f>
        <v/>
      </c>
      <c r="O127" s="50">
        <f>G127*J127</f>
        <v/>
      </c>
      <c r="P127" s="50">
        <f>(J127-M127)*G127</f>
        <v/>
      </c>
      <c r="Q127" s="51">
        <f>IF(K127="Received",1,0)</f>
        <v/>
      </c>
      <c r="R127" s="51">
        <f>IF(Q127=1,F127-D127,0)</f>
        <v/>
      </c>
      <c r="S127" s="51">
        <f>IF(Q127=1,IF(F127&lt;=E127,1,0),0)</f>
        <v/>
      </c>
      <c r="T127" s="51">
        <f>IF(Q127=1,IF(H127&gt;=G127,1,0),0)</f>
        <v/>
      </c>
      <c r="U127" s="51">
        <f>S127*T127</f>
        <v/>
      </c>
      <c r="V127" s="51">
        <f>IF(Q127=1,MAX(0,F127-E127),0)</f>
        <v/>
      </c>
    </row>
    <row r="128">
      <c r="A128" s="43" t="inlineStr">
        <is>
          <t>PO100073</t>
        </is>
      </c>
      <c r="B128" s="43" t="inlineStr">
        <is>
          <t>CMD-0004</t>
        </is>
      </c>
      <c r="C128" s="43" t="inlineStr">
        <is>
          <t>S07</t>
        </is>
      </c>
      <c r="D128" s="47" t="n">
        <v>45598</v>
      </c>
      <c r="E128" s="47" t="n">
        <v>45689</v>
      </c>
      <c r="F128" s="47" t="n">
        <v>45688</v>
      </c>
      <c r="G128" s="46" t="n">
        <v>3712</v>
      </c>
      <c r="H128" s="46" t="n">
        <v>3712</v>
      </c>
      <c r="I128" s="46" t="n">
        <v>29</v>
      </c>
      <c r="J128" s="44" t="n">
        <v>4.05</v>
      </c>
      <c r="K128" s="43" t="inlineStr">
        <is>
          <t>Received</t>
        </is>
      </c>
      <c r="L128" s="17">
        <f>INDEX(Items!$C$2:$C$117,MATCH(B128,Items!$A$2:$A$117,0))</f>
        <v/>
      </c>
      <c r="M128" s="49">
        <f>INDEX(Items!$E$2:$E$117,MATCH(B128,Items!$A$2:$A$117,0))</f>
        <v/>
      </c>
      <c r="N128" s="17">
        <f>TEXT(D128,"yyyy-mm")</f>
        <v/>
      </c>
      <c r="O128" s="50">
        <f>G128*J128</f>
        <v/>
      </c>
      <c r="P128" s="50">
        <f>(J128-M128)*G128</f>
        <v/>
      </c>
      <c r="Q128" s="51">
        <f>IF(K128="Received",1,0)</f>
        <v/>
      </c>
      <c r="R128" s="51">
        <f>IF(Q128=1,F128-D128,0)</f>
        <v/>
      </c>
      <c r="S128" s="51">
        <f>IF(Q128=1,IF(F128&lt;=E128,1,0),0)</f>
        <v/>
      </c>
      <c r="T128" s="51">
        <f>IF(Q128=1,IF(H128&gt;=G128,1,0),0)</f>
        <v/>
      </c>
      <c r="U128" s="51">
        <f>S128*T128</f>
        <v/>
      </c>
      <c r="V128" s="51">
        <f>IF(Q128=1,MAX(0,F128-E128),0)</f>
        <v/>
      </c>
    </row>
    <row r="129">
      <c r="A129" s="43" t="inlineStr">
        <is>
          <t>PO101739</t>
        </is>
      </c>
      <c r="B129" s="43" t="inlineStr">
        <is>
          <t>CMD-0095</t>
        </is>
      </c>
      <c r="C129" s="43" t="inlineStr">
        <is>
          <t>S08</t>
        </is>
      </c>
      <c r="D129" s="47" t="n">
        <v>45598</v>
      </c>
      <c r="E129" s="47" t="n">
        <v>45675</v>
      </c>
      <c r="F129" s="47" t="n">
        <v>45709</v>
      </c>
      <c r="G129" s="46" t="n">
        <v>339</v>
      </c>
      <c r="H129" s="46" t="n">
        <v>339</v>
      </c>
      <c r="I129" s="46" t="n">
        <v>5</v>
      </c>
      <c r="J129" s="44" t="n">
        <v>91.83</v>
      </c>
      <c r="K129" s="43" t="inlineStr">
        <is>
          <t>Received</t>
        </is>
      </c>
      <c r="L129" s="17">
        <f>INDEX(Items!$C$2:$C$117,MATCH(B129,Items!$A$2:$A$117,0))</f>
        <v/>
      </c>
      <c r="M129" s="49">
        <f>INDEX(Items!$E$2:$E$117,MATCH(B129,Items!$A$2:$A$117,0))</f>
        <v/>
      </c>
      <c r="N129" s="17">
        <f>TEXT(D129,"yyyy-mm")</f>
        <v/>
      </c>
      <c r="O129" s="50">
        <f>G129*J129</f>
        <v/>
      </c>
      <c r="P129" s="50">
        <f>(J129-M129)*G129</f>
        <v/>
      </c>
      <c r="Q129" s="51">
        <f>IF(K129="Received",1,0)</f>
        <v/>
      </c>
      <c r="R129" s="51">
        <f>IF(Q129=1,F129-D129,0)</f>
        <v/>
      </c>
      <c r="S129" s="51">
        <f>IF(Q129=1,IF(F129&lt;=E129,1,0),0)</f>
        <v/>
      </c>
      <c r="T129" s="51">
        <f>IF(Q129=1,IF(H129&gt;=G129,1,0),0)</f>
        <v/>
      </c>
      <c r="U129" s="51">
        <f>S129*T129</f>
        <v/>
      </c>
      <c r="V129" s="51">
        <f>IF(Q129=1,MAX(0,F129-E129),0)</f>
        <v/>
      </c>
    </row>
    <row r="130">
      <c r="A130" s="43" t="inlineStr">
        <is>
          <t>PO100545</t>
        </is>
      </c>
      <c r="B130" s="43" t="inlineStr">
        <is>
          <t>CMD-0025</t>
        </is>
      </c>
      <c r="C130" s="43" t="inlineStr">
        <is>
          <t>S02</t>
        </is>
      </c>
      <c r="D130" s="47" t="n">
        <v>45598</v>
      </c>
      <c r="E130" s="47" t="n">
        <v>45654</v>
      </c>
      <c r="F130" s="47" t="n">
        <v>45652</v>
      </c>
      <c r="G130" s="46" t="n">
        <v>1114</v>
      </c>
      <c r="H130" s="46" t="n">
        <v>1114</v>
      </c>
      <c r="I130" s="46" t="n">
        <v>4</v>
      </c>
      <c r="J130" s="44" t="n">
        <v>10.52</v>
      </c>
      <c r="K130" s="43" t="inlineStr">
        <is>
          <t>Received</t>
        </is>
      </c>
      <c r="L130" s="17">
        <f>INDEX(Items!$C$2:$C$117,MATCH(B130,Items!$A$2:$A$117,0))</f>
        <v/>
      </c>
      <c r="M130" s="49">
        <f>INDEX(Items!$E$2:$E$117,MATCH(B130,Items!$A$2:$A$117,0))</f>
        <v/>
      </c>
      <c r="N130" s="17">
        <f>TEXT(D130,"yyyy-mm")</f>
        <v/>
      </c>
      <c r="O130" s="50">
        <f>G130*J130</f>
        <v/>
      </c>
      <c r="P130" s="50">
        <f>(J130-M130)*G130</f>
        <v/>
      </c>
      <c r="Q130" s="51">
        <f>IF(K130="Received",1,0)</f>
        <v/>
      </c>
      <c r="R130" s="51">
        <f>IF(Q130=1,F130-D130,0)</f>
        <v/>
      </c>
      <c r="S130" s="51">
        <f>IF(Q130=1,IF(F130&lt;=E130,1,0),0)</f>
        <v/>
      </c>
      <c r="T130" s="51">
        <f>IF(Q130=1,IF(H130&gt;=G130,1,0),0)</f>
        <v/>
      </c>
      <c r="U130" s="51">
        <f>S130*T130</f>
        <v/>
      </c>
      <c r="V130" s="51">
        <f>IF(Q130=1,MAX(0,F130-E130),0)</f>
        <v/>
      </c>
    </row>
    <row r="131">
      <c r="A131" s="43" t="inlineStr">
        <is>
          <t>PO100317</t>
        </is>
      </c>
      <c r="B131" s="43" t="inlineStr">
        <is>
          <t>CMD-0015</t>
        </is>
      </c>
      <c r="C131" s="43" t="inlineStr">
        <is>
          <t>S03</t>
        </is>
      </c>
      <c r="D131" s="47" t="n">
        <v>45599</v>
      </c>
      <c r="E131" s="47" t="n">
        <v>45732</v>
      </c>
      <c r="F131" s="47" t="n">
        <v>45729</v>
      </c>
      <c r="G131" s="46" t="n">
        <v>3706</v>
      </c>
      <c r="H131" s="46" t="n">
        <v>3706</v>
      </c>
      <c r="I131" s="46" t="n">
        <v>32</v>
      </c>
      <c r="J131" s="44" t="n">
        <v>5.66</v>
      </c>
      <c r="K131" s="43" t="inlineStr">
        <is>
          <t>Received</t>
        </is>
      </c>
      <c r="L131" s="17">
        <f>INDEX(Items!$C$2:$C$117,MATCH(B131,Items!$A$2:$A$117,0))</f>
        <v/>
      </c>
      <c r="M131" s="49">
        <f>INDEX(Items!$E$2:$E$117,MATCH(B131,Items!$A$2:$A$117,0))</f>
        <v/>
      </c>
      <c r="N131" s="17">
        <f>TEXT(D131,"yyyy-mm")</f>
        <v/>
      </c>
      <c r="O131" s="50">
        <f>G131*J131</f>
        <v/>
      </c>
      <c r="P131" s="50">
        <f>(J131-M131)*G131</f>
        <v/>
      </c>
      <c r="Q131" s="51">
        <f>IF(K131="Received",1,0)</f>
        <v/>
      </c>
      <c r="R131" s="51">
        <f>IF(Q131=1,F131-D131,0)</f>
        <v/>
      </c>
      <c r="S131" s="51">
        <f>IF(Q131=1,IF(F131&lt;=E131,1,0),0)</f>
        <v/>
      </c>
      <c r="T131" s="51">
        <f>IF(Q131=1,IF(H131&gt;=G131,1,0),0)</f>
        <v/>
      </c>
      <c r="U131" s="51">
        <f>S131*T131</f>
        <v/>
      </c>
      <c r="V131" s="51">
        <f>IF(Q131=1,MAX(0,F131-E131),0)</f>
        <v/>
      </c>
    </row>
    <row r="132">
      <c r="A132" s="43" t="inlineStr">
        <is>
          <t>PO101691</t>
        </is>
      </c>
      <c r="B132" s="43" t="inlineStr">
        <is>
          <t>CMD-0093</t>
        </is>
      </c>
      <c r="C132" s="43" t="inlineStr">
        <is>
          <t>S08</t>
        </is>
      </c>
      <c r="D132" s="47" t="n">
        <v>45599</v>
      </c>
      <c r="E132" s="47" t="n">
        <v>45676</v>
      </c>
      <c r="F132" s="47" t="n">
        <v>45674</v>
      </c>
      <c r="G132" s="46" t="n">
        <v>629</v>
      </c>
      <c r="H132" s="46" t="n">
        <v>629</v>
      </c>
      <c r="I132" s="46" t="n">
        <v>4</v>
      </c>
      <c r="J132" s="44" t="n">
        <v>59.41</v>
      </c>
      <c r="K132" s="43" t="inlineStr">
        <is>
          <t>Received</t>
        </is>
      </c>
      <c r="L132" s="17">
        <f>INDEX(Items!$C$2:$C$117,MATCH(B132,Items!$A$2:$A$117,0))</f>
        <v/>
      </c>
      <c r="M132" s="49">
        <f>INDEX(Items!$E$2:$E$117,MATCH(B132,Items!$A$2:$A$117,0))</f>
        <v/>
      </c>
      <c r="N132" s="17">
        <f>TEXT(D132,"yyyy-mm")</f>
        <v/>
      </c>
      <c r="O132" s="50">
        <f>G132*J132</f>
        <v/>
      </c>
      <c r="P132" s="50">
        <f>(J132-M132)*G132</f>
        <v/>
      </c>
      <c r="Q132" s="51">
        <f>IF(K132="Received",1,0)</f>
        <v/>
      </c>
      <c r="R132" s="51">
        <f>IF(Q132=1,F132-D132,0)</f>
        <v/>
      </c>
      <c r="S132" s="51">
        <f>IF(Q132=1,IF(F132&lt;=E132,1,0),0)</f>
        <v/>
      </c>
      <c r="T132" s="51">
        <f>IF(Q132=1,IF(H132&gt;=G132,1,0),0)</f>
        <v/>
      </c>
      <c r="U132" s="51">
        <f>S132*T132</f>
        <v/>
      </c>
      <c r="V132" s="51">
        <f>IF(Q132=1,MAX(0,F132-E132),0)</f>
        <v/>
      </c>
    </row>
    <row r="133">
      <c r="A133" s="43" t="inlineStr">
        <is>
          <t>PO100025</t>
        </is>
      </c>
      <c r="B133" s="43" t="inlineStr">
        <is>
          <t>CMD-0002</t>
        </is>
      </c>
      <c r="C133" s="43" t="inlineStr">
        <is>
          <t>S11</t>
        </is>
      </c>
      <c r="D133" s="47" t="n">
        <v>45599</v>
      </c>
      <c r="E133" s="47" t="n">
        <v>45718</v>
      </c>
      <c r="F133" s="47" t="n">
        <v>45716</v>
      </c>
      <c r="G133" s="46" t="n">
        <v>7098</v>
      </c>
      <c r="H133" s="46" t="n">
        <v>7098</v>
      </c>
      <c r="I133" s="46" t="n">
        <v>9</v>
      </c>
      <c r="J133" s="44" t="n">
        <v>6.85</v>
      </c>
      <c r="K133" s="43" t="inlineStr">
        <is>
          <t>Received</t>
        </is>
      </c>
      <c r="L133" s="17">
        <f>INDEX(Items!$C$2:$C$117,MATCH(B133,Items!$A$2:$A$117,0))</f>
        <v/>
      </c>
      <c r="M133" s="49">
        <f>INDEX(Items!$E$2:$E$117,MATCH(B133,Items!$A$2:$A$117,0))</f>
        <v/>
      </c>
      <c r="N133" s="17">
        <f>TEXT(D133,"yyyy-mm")</f>
        <v/>
      </c>
      <c r="O133" s="50">
        <f>G133*J133</f>
        <v/>
      </c>
      <c r="P133" s="50">
        <f>(J133-M133)*G133</f>
        <v/>
      </c>
      <c r="Q133" s="51">
        <f>IF(K133="Received",1,0)</f>
        <v/>
      </c>
      <c r="R133" s="51">
        <f>IF(Q133=1,F133-D133,0)</f>
        <v/>
      </c>
      <c r="S133" s="51">
        <f>IF(Q133=1,IF(F133&lt;=E133,1,0),0)</f>
        <v/>
      </c>
      <c r="T133" s="51">
        <f>IF(Q133=1,IF(H133&gt;=G133,1,0),0)</f>
        <v/>
      </c>
      <c r="U133" s="51">
        <f>S133*T133</f>
        <v/>
      </c>
      <c r="V133" s="51">
        <f>IF(Q133=1,MAX(0,F133-E133),0)</f>
        <v/>
      </c>
    </row>
    <row r="134">
      <c r="A134" s="43" t="inlineStr">
        <is>
          <t>PO101715</t>
        </is>
      </c>
      <c r="B134" s="43" t="inlineStr">
        <is>
          <t>CMD-0094</t>
        </is>
      </c>
      <c r="C134" s="43" t="inlineStr">
        <is>
          <t>S08</t>
        </is>
      </c>
      <c r="D134" s="47" t="n">
        <v>45599</v>
      </c>
      <c r="E134" s="47" t="n">
        <v>45676</v>
      </c>
      <c r="F134" s="47" t="n">
        <v>45695</v>
      </c>
      <c r="G134" s="46" t="n">
        <v>391</v>
      </c>
      <c r="H134" s="46" t="n">
        <v>391</v>
      </c>
      <c r="I134" s="46" t="n">
        <v>6</v>
      </c>
      <c r="J134" s="44" t="n">
        <v>74.09</v>
      </c>
      <c r="K134" s="43" t="inlineStr">
        <is>
          <t>Received</t>
        </is>
      </c>
      <c r="L134" s="17">
        <f>INDEX(Items!$C$2:$C$117,MATCH(B134,Items!$A$2:$A$117,0))</f>
        <v/>
      </c>
      <c r="M134" s="49">
        <f>INDEX(Items!$E$2:$E$117,MATCH(B134,Items!$A$2:$A$117,0))</f>
        <v/>
      </c>
      <c r="N134" s="17">
        <f>TEXT(D134,"yyyy-mm")</f>
        <v/>
      </c>
      <c r="O134" s="50">
        <f>G134*J134</f>
        <v/>
      </c>
      <c r="P134" s="50">
        <f>(J134-M134)*G134</f>
        <v/>
      </c>
      <c r="Q134" s="51">
        <f>IF(K134="Received",1,0)</f>
        <v/>
      </c>
      <c r="R134" s="51">
        <f>IF(Q134=1,F134-D134,0)</f>
        <v/>
      </c>
      <c r="S134" s="51">
        <f>IF(Q134=1,IF(F134&lt;=E134,1,0),0)</f>
        <v/>
      </c>
      <c r="T134" s="51">
        <f>IF(Q134=1,IF(H134&gt;=G134,1,0),0)</f>
        <v/>
      </c>
      <c r="U134" s="51">
        <f>S134*T134</f>
        <v/>
      </c>
      <c r="V134" s="51">
        <f>IF(Q134=1,MAX(0,F134-E134),0)</f>
        <v/>
      </c>
    </row>
    <row r="135">
      <c r="A135" s="43" t="inlineStr">
        <is>
          <t>PO100593</t>
        </is>
      </c>
      <c r="B135" s="43" t="inlineStr">
        <is>
          <t>CMD-0027</t>
        </is>
      </c>
      <c r="C135" s="43" t="inlineStr">
        <is>
          <t>S04</t>
        </is>
      </c>
      <c r="D135" s="47" t="n">
        <v>45599</v>
      </c>
      <c r="E135" s="47" t="n">
        <v>45669</v>
      </c>
      <c r="F135" s="47" t="n">
        <v>45669</v>
      </c>
      <c r="G135" s="46" t="n">
        <v>7434</v>
      </c>
      <c r="H135" s="46" t="n">
        <v>7434</v>
      </c>
      <c r="I135" s="46" t="n">
        <v>79</v>
      </c>
      <c r="J135" s="44" t="n">
        <v>8.85</v>
      </c>
      <c r="K135" s="43" t="inlineStr">
        <is>
          <t>Received</t>
        </is>
      </c>
      <c r="L135" s="17">
        <f>INDEX(Items!$C$2:$C$117,MATCH(B135,Items!$A$2:$A$117,0))</f>
        <v/>
      </c>
      <c r="M135" s="49">
        <f>INDEX(Items!$E$2:$E$117,MATCH(B135,Items!$A$2:$A$117,0))</f>
        <v/>
      </c>
      <c r="N135" s="17">
        <f>TEXT(D135,"yyyy-mm")</f>
        <v/>
      </c>
      <c r="O135" s="50">
        <f>G135*J135</f>
        <v/>
      </c>
      <c r="P135" s="50">
        <f>(J135-M135)*G135</f>
        <v/>
      </c>
      <c r="Q135" s="51">
        <f>IF(K135="Received",1,0)</f>
        <v/>
      </c>
      <c r="R135" s="51">
        <f>IF(Q135=1,F135-D135,0)</f>
        <v/>
      </c>
      <c r="S135" s="51">
        <f>IF(Q135=1,IF(F135&lt;=E135,1,0),0)</f>
        <v/>
      </c>
      <c r="T135" s="51">
        <f>IF(Q135=1,IF(H135&gt;=G135,1,0),0)</f>
        <v/>
      </c>
      <c r="U135" s="51">
        <f>S135*T135</f>
        <v/>
      </c>
      <c r="V135" s="51">
        <f>IF(Q135=1,MAX(0,F135-E135),0)</f>
        <v/>
      </c>
    </row>
    <row r="136">
      <c r="A136" s="43" t="inlineStr">
        <is>
          <t>PO100341</t>
        </is>
      </c>
      <c r="B136" s="43" t="inlineStr">
        <is>
          <t>CMD-0016</t>
        </is>
      </c>
      <c r="C136" s="43" t="inlineStr">
        <is>
          <t>S07</t>
        </is>
      </c>
      <c r="D136" s="47" t="n">
        <v>45599</v>
      </c>
      <c r="E136" s="47" t="n">
        <v>45690</v>
      </c>
      <c r="F136" s="47" t="n">
        <v>45690</v>
      </c>
      <c r="G136" s="46" t="n">
        <v>7240</v>
      </c>
      <c r="H136" s="46" t="n">
        <v>7240</v>
      </c>
      <c r="I136" s="46" t="n">
        <v>39</v>
      </c>
      <c r="J136" s="44" t="n">
        <v>27.02</v>
      </c>
      <c r="K136" s="43" t="inlineStr">
        <is>
          <t>Received</t>
        </is>
      </c>
      <c r="L136" s="17">
        <f>INDEX(Items!$C$2:$C$117,MATCH(B136,Items!$A$2:$A$117,0))</f>
        <v/>
      </c>
      <c r="M136" s="49">
        <f>INDEX(Items!$E$2:$E$117,MATCH(B136,Items!$A$2:$A$117,0))</f>
        <v/>
      </c>
      <c r="N136" s="17">
        <f>TEXT(D136,"yyyy-mm")</f>
        <v/>
      </c>
      <c r="O136" s="50">
        <f>G136*J136</f>
        <v/>
      </c>
      <c r="P136" s="50">
        <f>(J136-M136)*G136</f>
        <v/>
      </c>
      <c r="Q136" s="51">
        <f>IF(K136="Received",1,0)</f>
        <v/>
      </c>
      <c r="R136" s="51">
        <f>IF(Q136=1,F136-D136,0)</f>
        <v/>
      </c>
      <c r="S136" s="51">
        <f>IF(Q136=1,IF(F136&lt;=E136,1,0),0)</f>
        <v/>
      </c>
      <c r="T136" s="51">
        <f>IF(Q136=1,IF(H136&gt;=G136,1,0),0)</f>
        <v/>
      </c>
      <c r="U136" s="51">
        <f>S136*T136</f>
        <v/>
      </c>
      <c r="V136" s="51">
        <f>IF(Q136=1,MAX(0,F136-E136),0)</f>
        <v/>
      </c>
    </row>
    <row r="137">
      <c r="A137" s="43" t="inlineStr">
        <is>
          <t>PO100867</t>
        </is>
      </c>
      <c r="B137" s="43" t="inlineStr">
        <is>
          <t>CMD-0039</t>
        </is>
      </c>
      <c r="C137" s="43" t="inlineStr">
        <is>
          <t>S07</t>
        </is>
      </c>
      <c r="D137" s="47" t="n">
        <v>45599</v>
      </c>
      <c r="E137" s="47" t="n">
        <v>45641</v>
      </c>
      <c r="F137" s="47" t="n">
        <v>45641</v>
      </c>
      <c r="G137" s="46" t="n">
        <v>322</v>
      </c>
      <c r="H137" s="46" t="n">
        <v>322</v>
      </c>
      <c r="I137" s="46" t="n">
        <v>2</v>
      </c>
      <c r="J137" s="44" t="n">
        <v>51.99</v>
      </c>
      <c r="K137" s="43" t="inlineStr">
        <is>
          <t>Received</t>
        </is>
      </c>
      <c r="L137" s="17">
        <f>INDEX(Items!$C$2:$C$117,MATCH(B137,Items!$A$2:$A$117,0))</f>
        <v/>
      </c>
      <c r="M137" s="49">
        <f>INDEX(Items!$E$2:$E$117,MATCH(B137,Items!$A$2:$A$117,0))</f>
        <v/>
      </c>
      <c r="N137" s="17">
        <f>TEXT(D137,"yyyy-mm")</f>
        <v/>
      </c>
      <c r="O137" s="50">
        <f>G137*J137</f>
        <v/>
      </c>
      <c r="P137" s="50">
        <f>(J137-M137)*G137</f>
        <v/>
      </c>
      <c r="Q137" s="51">
        <f>IF(K137="Received",1,0)</f>
        <v/>
      </c>
      <c r="R137" s="51">
        <f>IF(Q137=1,F137-D137,0)</f>
        <v/>
      </c>
      <c r="S137" s="51">
        <f>IF(Q137=1,IF(F137&lt;=E137,1,0),0)</f>
        <v/>
      </c>
      <c r="T137" s="51">
        <f>IF(Q137=1,IF(H137&gt;=G137,1,0),0)</f>
        <v/>
      </c>
      <c r="U137" s="51">
        <f>S137*T137</f>
        <v/>
      </c>
      <c r="V137" s="51">
        <f>IF(Q137=1,MAX(0,F137-E137),0)</f>
        <v/>
      </c>
    </row>
    <row r="138">
      <c r="A138" s="43" t="inlineStr">
        <is>
          <t>PO100983</t>
        </is>
      </c>
      <c r="B138" s="43" t="inlineStr">
        <is>
          <t>CMD-0045</t>
        </is>
      </c>
      <c r="C138" s="43" t="inlineStr">
        <is>
          <t>S05</t>
        </is>
      </c>
      <c r="D138" s="47" t="n">
        <v>45599</v>
      </c>
      <c r="E138" s="47" t="n">
        <v>45704</v>
      </c>
      <c r="F138" s="47" t="n">
        <v>45704</v>
      </c>
      <c r="G138" s="46" t="n">
        <v>3545</v>
      </c>
      <c r="H138" s="46" t="n">
        <v>3545</v>
      </c>
      <c r="I138" s="46" t="n">
        <v>77</v>
      </c>
      <c r="J138" s="44" t="n">
        <v>8.99</v>
      </c>
      <c r="K138" s="43" t="inlineStr">
        <is>
          <t>Received</t>
        </is>
      </c>
      <c r="L138" s="17">
        <f>INDEX(Items!$C$2:$C$117,MATCH(B138,Items!$A$2:$A$117,0))</f>
        <v/>
      </c>
      <c r="M138" s="49">
        <f>INDEX(Items!$E$2:$E$117,MATCH(B138,Items!$A$2:$A$117,0))</f>
        <v/>
      </c>
      <c r="N138" s="17">
        <f>TEXT(D138,"yyyy-mm")</f>
        <v/>
      </c>
      <c r="O138" s="50">
        <f>G138*J138</f>
        <v/>
      </c>
      <c r="P138" s="50">
        <f>(J138-M138)*G138</f>
        <v/>
      </c>
      <c r="Q138" s="51">
        <f>IF(K138="Received",1,0)</f>
        <v/>
      </c>
      <c r="R138" s="51">
        <f>IF(Q138=1,F138-D138,0)</f>
        <v/>
      </c>
      <c r="S138" s="51">
        <f>IF(Q138=1,IF(F138&lt;=E138,1,0),0)</f>
        <v/>
      </c>
      <c r="T138" s="51">
        <f>IF(Q138=1,IF(H138&gt;=G138,1,0),0)</f>
        <v/>
      </c>
      <c r="U138" s="51">
        <f>S138*T138</f>
        <v/>
      </c>
      <c r="V138" s="51">
        <f>IF(Q138=1,MAX(0,F138-E138),0)</f>
        <v/>
      </c>
    </row>
    <row r="139">
      <c r="A139" s="43" t="inlineStr">
        <is>
          <t>PO101229</t>
        </is>
      </c>
      <c r="B139" s="43" t="inlineStr">
        <is>
          <t>CMD-0058</t>
        </is>
      </c>
      <c r="C139" s="43" t="inlineStr">
        <is>
          <t>S04</t>
        </is>
      </c>
      <c r="D139" s="47" t="n">
        <v>45599</v>
      </c>
      <c r="E139" s="47" t="n">
        <v>45634</v>
      </c>
      <c r="F139" s="47" t="n">
        <v>45633</v>
      </c>
      <c r="G139" s="46" t="n">
        <v>67882</v>
      </c>
      <c r="H139" s="46" t="n">
        <v>67882</v>
      </c>
      <c r="I139" s="46" t="n">
        <v>682</v>
      </c>
      <c r="J139" s="44" t="n">
        <v>0.1178</v>
      </c>
      <c r="K139" s="43" t="inlineStr">
        <is>
          <t>Received</t>
        </is>
      </c>
      <c r="L139" s="17">
        <f>INDEX(Items!$C$2:$C$117,MATCH(B139,Items!$A$2:$A$117,0))</f>
        <v/>
      </c>
      <c r="M139" s="49">
        <f>INDEX(Items!$E$2:$E$117,MATCH(B139,Items!$A$2:$A$117,0))</f>
        <v/>
      </c>
      <c r="N139" s="17">
        <f>TEXT(D139,"yyyy-mm")</f>
        <v/>
      </c>
      <c r="O139" s="50">
        <f>G139*J139</f>
        <v/>
      </c>
      <c r="P139" s="50">
        <f>(J139-M139)*G139</f>
        <v/>
      </c>
      <c r="Q139" s="51">
        <f>IF(K139="Received",1,0)</f>
        <v/>
      </c>
      <c r="R139" s="51">
        <f>IF(Q139=1,F139-D139,0)</f>
        <v/>
      </c>
      <c r="S139" s="51">
        <f>IF(Q139=1,IF(F139&lt;=E139,1,0),0)</f>
        <v/>
      </c>
      <c r="T139" s="51">
        <f>IF(Q139=1,IF(H139&gt;=G139,1,0),0)</f>
        <v/>
      </c>
      <c r="U139" s="51">
        <f>S139*T139</f>
        <v/>
      </c>
      <c r="V139" s="51">
        <f>IF(Q139=1,MAX(0,F139-E139),0)</f>
        <v/>
      </c>
    </row>
    <row r="140">
      <c r="A140" s="43" t="inlineStr">
        <is>
          <t>PO101933</t>
        </is>
      </c>
      <c r="B140" s="43" t="inlineStr">
        <is>
          <t>CMD-0107</t>
        </is>
      </c>
      <c r="C140" s="43" t="inlineStr">
        <is>
          <t>S09</t>
        </is>
      </c>
      <c r="D140" s="47" t="n">
        <v>45600</v>
      </c>
      <c r="E140" s="47" t="n">
        <v>45621</v>
      </c>
      <c r="F140" s="47" t="n">
        <v>45620</v>
      </c>
      <c r="G140" s="46" t="n">
        <v>1098</v>
      </c>
      <c r="H140" s="46" t="n">
        <v>1098</v>
      </c>
      <c r="I140" s="46" t="n">
        <v>1</v>
      </c>
      <c r="J140" s="44" t="n">
        <v>6.95</v>
      </c>
      <c r="K140" s="43" t="inlineStr">
        <is>
          <t>Received</t>
        </is>
      </c>
      <c r="L140" s="17">
        <f>INDEX(Items!$C$2:$C$117,MATCH(B140,Items!$A$2:$A$117,0))</f>
        <v/>
      </c>
      <c r="M140" s="49">
        <f>INDEX(Items!$E$2:$E$117,MATCH(B140,Items!$A$2:$A$117,0))</f>
        <v/>
      </c>
      <c r="N140" s="17">
        <f>TEXT(D140,"yyyy-mm")</f>
        <v/>
      </c>
      <c r="O140" s="50">
        <f>G140*J140</f>
        <v/>
      </c>
      <c r="P140" s="50">
        <f>(J140-M140)*G140</f>
        <v/>
      </c>
      <c r="Q140" s="51">
        <f>IF(K140="Received",1,0)</f>
        <v/>
      </c>
      <c r="R140" s="51">
        <f>IF(Q140=1,F140-D140,0)</f>
        <v/>
      </c>
      <c r="S140" s="51">
        <f>IF(Q140=1,IF(F140&lt;=E140,1,0),0)</f>
        <v/>
      </c>
      <c r="T140" s="51">
        <f>IF(Q140=1,IF(H140&gt;=G140,1,0),0)</f>
        <v/>
      </c>
      <c r="U140" s="51">
        <f>S140*T140</f>
        <v/>
      </c>
      <c r="V140" s="51">
        <f>IF(Q140=1,MAX(0,F140-E140),0)</f>
        <v/>
      </c>
    </row>
    <row r="141">
      <c r="A141" s="43" t="inlineStr">
        <is>
          <t>PO101083</t>
        </is>
      </c>
      <c r="B141" s="43" t="inlineStr">
        <is>
          <t>CMD-0050</t>
        </is>
      </c>
      <c r="C141" s="43" t="inlineStr">
        <is>
          <t>S10</t>
        </is>
      </c>
      <c r="D141" s="47" t="n">
        <v>45600</v>
      </c>
      <c r="E141" s="47" t="n">
        <v>45628</v>
      </c>
      <c r="F141" s="47" t="n">
        <v>45627</v>
      </c>
      <c r="G141" s="46" t="n">
        <v>68466</v>
      </c>
      <c r="H141" s="46" t="n">
        <v>68466</v>
      </c>
      <c r="I141" s="46" t="n">
        <v>70</v>
      </c>
      <c r="J141" s="44" t="n">
        <v>0.075</v>
      </c>
      <c r="K141" s="43" t="inlineStr">
        <is>
          <t>Received</t>
        </is>
      </c>
      <c r="L141" s="17">
        <f>INDEX(Items!$C$2:$C$117,MATCH(B141,Items!$A$2:$A$117,0))</f>
        <v/>
      </c>
      <c r="M141" s="49">
        <f>INDEX(Items!$E$2:$E$117,MATCH(B141,Items!$A$2:$A$117,0))</f>
        <v/>
      </c>
      <c r="N141" s="17">
        <f>TEXT(D141,"yyyy-mm")</f>
        <v/>
      </c>
      <c r="O141" s="50">
        <f>G141*J141</f>
        <v/>
      </c>
      <c r="P141" s="50">
        <f>(J141-M141)*G141</f>
        <v/>
      </c>
      <c r="Q141" s="51">
        <f>IF(K141="Received",1,0)</f>
        <v/>
      </c>
      <c r="R141" s="51">
        <f>IF(Q141=1,F141-D141,0)</f>
        <v/>
      </c>
      <c r="S141" s="51">
        <f>IF(Q141=1,IF(F141&lt;=E141,1,0),0)</f>
        <v/>
      </c>
      <c r="T141" s="51">
        <f>IF(Q141=1,IF(H141&gt;=G141,1,0),0)</f>
        <v/>
      </c>
      <c r="U141" s="51">
        <f>S141*T141</f>
        <v/>
      </c>
      <c r="V141" s="51">
        <f>IF(Q141=1,MAX(0,F141-E141),0)</f>
        <v/>
      </c>
    </row>
    <row r="142">
      <c r="A142" s="43" t="inlineStr">
        <is>
          <t>PO100121</t>
        </is>
      </c>
      <c r="B142" s="43" t="inlineStr">
        <is>
          <t>CMD-0006</t>
        </is>
      </c>
      <c r="C142" s="43" t="inlineStr">
        <is>
          <t>S03</t>
        </is>
      </c>
      <c r="D142" s="47" t="n">
        <v>45600</v>
      </c>
      <c r="E142" s="47" t="n">
        <v>45733</v>
      </c>
      <c r="F142" s="47" t="n">
        <v>45731</v>
      </c>
      <c r="G142" s="46" t="n">
        <v>653</v>
      </c>
      <c r="H142" s="46" t="n">
        <v>653</v>
      </c>
      <c r="I142" s="46" t="n">
        <v>3</v>
      </c>
      <c r="J142" s="44" t="n">
        <v>30.55</v>
      </c>
      <c r="K142" s="43" t="inlineStr">
        <is>
          <t>Received</t>
        </is>
      </c>
      <c r="L142" s="17">
        <f>INDEX(Items!$C$2:$C$117,MATCH(B142,Items!$A$2:$A$117,0))</f>
        <v/>
      </c>
      <c r="M142" s="49">
        <f>INDEX(Items!$E$2:$E$117,MATCH(B142,Items!$A$2:$A$117,0))</f>
        <v/>
      </c>
      <c r="N142" s="17">
        <f>TEXT(D142,"yyyy-mm")</f>
        <v/>
      </c>
      <c r="O142" s="50">
        <f>G142*J142</f>
        <v/>
      </c>
      <c r="P142" s="50">
        <f>(J142-M142)*G142</f>
        <v/>
      </c>
      <c r="Q142" s="51">
        <f>IF(K142="Received",1,0)</f>
        <v/>
      </c>
      <c r="R142" s="51">
        <f>IF(Q142=1,F142-D142,0)</f>
        <v/>
      </c>
      <c r="S142" s="51">
        <f>IF(Q142=1,IF(F142&lt;=E142,1,0),0)</f>
        <v/>
      </c>
      <c r="T142" s="51">
        <f>IF(Q142=1,IF(H142&gt;=G142,1,0),0)</f>
        <v/>
      </c>
      <c r="U142" s="51">
        <f>S142*T142</f>
        <v/>
      </c>
      <c r="V142" s="51">
        <f>IF(Q142=1,MAX(0,F142-E142),0)</f>
        <v/>
      </c>
    </row>
    <row r="143">
      <c r="A143" s="43" t="inlineStr">
        <is>
          <t>PO100473</t>
        </is>
      </c>
      <c r="B143" s="43" t="inlineStr">
        <is>
          <t>CMD-0022</t>
        </is>
      </c>
      <c r="C143" s="43" t="inlineStr">
        <is>
          <t>S02</t>
        </is>
      </c>
      <c r="D143" s="47" t="n">
        <v>45600</v>
      </c>
      <c r="E143" s="47" t="n">
        <v>45656</v>
      </c>
      <c r="F143" s="47" t="n">
        <v>45654</v>
      </c>
      <c r="G143" s="46" t="n">
        <v>3395</v>
      </c>
      <c r="H143" s="46" t="n">
        <v>3395</v>
      </c>
      <c r="I143" s="46" t="n">
        <v>20</v>
      </c>
      <c r="J143" s="44" t="n">
        <v>17.18</v>
      </c>
      <c r="K143" s="43" t="inlineStr">
        <is>
          <t>Received</t>
        </is>
      </c>
      <c r="L143" s="17">
        <f>INDEX(Items!$C$2:$C$117,MATCH(B143,Items!$A$2:$A$117,0))</f>
        <v/>
      </c>
      <c r="M143" s="49">
        <f>INDEX(Items!$E$2:$E$117,MATCH(B143,Items!$A$2:$A$117,0))</f>
        <v/>
      </c>
      <c r="N143" s="17">
        <f>TEXT(D143,"yyyy-mm")</f>
        <v/>
      </c>
      <c r="O143" s="50">
        <f>G143*J143</f>
        <v/>
      </c>
      <c r="P143" s="50">
        <f>(J143-M143)*G143</f>
        <v/>
      </c>
      <c r="Q143" s="51">
        <f>IF(K143="Received",1,0)</f>
        <v/>
      </c>
      <c r="R143" s="51">
        <f>IF(Q143=1,F143-D143,0)</f>
        <v/>
      </c>
      <c r="S143" s="51">
        <f>IF(Q143=1,IF(F143&lt;=E143,1,0),0)</f>
        <v/>
      </c>
      <c r="T143" s="51">
        <f>IF(Q143=1,IF(H143&gt;=G143,1,0),0)</f>
        <v/>
      </c>
      <c r="U143" s="51">
        <f>S143*T143</f>
        <v/>
      </c>
      <c r="V143" s="51">
        <f>IF(Q143=1,MAX(0,F143-E143),0)</f>
        <v/>
      </c>
    </row>
    <row r="144">
      <c r="A144" s="43" t="inlineStr">
        <is>
          <t>PO100431</t>
        </is>
      </c>
      <c r="B144" s="43" t="inlineStr">
        <is>
          <t>CMD-0020</t>
        </is>
      </c>
      <c r="C144" s="43" t="inlineStr">
        <is>
          <t>S04</t>
        </is>
      </c>
      <c r="D144" s="47" t="n">
        <v>45600</v>
      </c>
      <c r="E144" s="47" t="n">
        <v>45670</v>
      </c>
      <c r="F144" s="47" t="n">
        <v>45669</v>
      </c>
      <c r="G144" s="46" t="n">
        <v>3512</v>
      </c>
      <c r="H144" s="46" t="n">
        <v>3512</v>
      </c>
      <c r="I144" s="46" t="n">
        <v>43</v>
      </c>
      <c r="J144" s="44" t="n">
        <v>5.03</v>
      </c>
      <c r="K144" s="43" t="inlineStr">
        <is>
          <t>Received</t>
        </is>
      </c>
      <c r="L144" s="17">
        <f>INDEX(Items!$C$2:$C$117,MATCH(B144,Items!$A$2:$A$117,0))</f>
        <v/>
      </c>
      <c r="M144" s="49">
        <f>INDEX(Items!$E$2:$E$117,MATCH(B144,Items!$A$2:$A$117,0))</f>
        <v/>
      </c>
      <c r="N144" s="17">
        <f>TEXT(D144,"yyyy-mm")</f>
        <v/>
      </c>
      <c r="O144" s="50">
        <f>G144*J144</f>
        <v/>
      </c>
      <c r="P144" s="50">
        <f>(J144-M144)*G144</f>
        <v/>
      </c>
      <c r="Q144" s="51">
        <f>IF(K144="Received",1,0)</f>
        <v/>
      </c>
      <c r="R144" s="51">
        <f>IF(Q144=1,F144-D144,0)</f>
        <v/>
      </c>
      <c r="S144" s="51">
        <f>IF(Q144=1,IF(F144&lt;=E144,1,0),0)</f>
        <v/>
      </c>
      <c r="T144" s="51">
        <f>IF(Q144=1,IF(H144&gt;=G144,1,0),0)</f>
        <v/>
      </c>
      <c r="U144" s="51">
        <f>S144*T144</f>
        <v/>
      </c>
      <c r="V144" s="51">
        <f>IF(Q144=1,MAX(0,F144-E144),0)</f>
        <v/>
      </c>
    </row>
    <row r="145">
      <c r="A145" s="43" t="inlineStr">
        <is>
          <t>PO100293</t>
        </is>
      </c>
      <c r="B145" s="43" t="inlineStr">
        <is>
          <t>CMD-0014</t>
        </is>
      </c>
      <c r="C145" s="43" t="inlineStr">
        <is>
          <t>S03</t>
        </is>
      </c>
      <c r="D145" s="47" t="n">
        <v>45600</v>
      </c>
      <c r="E145" s="47" t="n">
        <v>45733</v>
      </c>
      <c r="F145" s="47" t="n">
        <v>45735</v>
      </c>
      <c r="G145" s="46" t="n">
        <v>4057</v>
      </c>
      <c r="H145" s="46" t="n">
        <v>4057</v>
      </c>
      <c r="I145" s="46" t="n">
        <v>31</v>
      </c>
      <c r="J145" s="44" t="n">
        <v>12.62</v>
      </c>
      <c r="K145" s="43" t="inlineStr">
        <is>
          <t>Received</t>
        </is>
      </c>
      <c r="L145" s="17">
        <f>INDEX(Items!$C$2:$C$117,MATCH(B145,Items!$A$2:$A$117,0))</f>
        <v/>
      </c>
      <c r="M145" s="49">
        <f>INDEX(Items!$E$2:$E$117,MATCH(B145,Items!$A$2:$A$117,0))</f>
        <v/>
      </c>
      <c r="N145" s="17">
        <f>TEXT(D145,"yyyy-mm")</f>
        <v/>
      </c>
      <c r="O145" s="50">
        <f>G145*J145</f>
        <v/>
      </c>
      <c r="P145" s="50">
        <f>(J145-M145)*G145</f>
        <v/>
      </c>
      <c r="Q145" s="51">
        <f>IF(K145="Received",1,0)</f>
        <v/>
      </c>
      <c r="R145" s="51">
        <f>IF(Q145=1,F145-D145,0)</f>
        <v/>
      </c>
      <c r="S145" s="51">
        <f>IF(Q145=1,IF(F145&lt;=E145,1,0),0)</f>
        <v/>
      </c>
      <c r="T145" s="51">
        <f>IF(Q145=1,IF(H145&gt;=G145,1,0),0)</f>
        <v/>
      </c>
      <c r="U145" s="51">
        <f>S145*T145</f>
        <v/>
      </c>
      <c r="V145" s="51">
        <f>IF(Q145=1,MAX(0,F145-E145),0)</f>
        <v/>
      </c>
    </row>
    <row r="146">
      <c r="A146" s="43" t="inlineStr">
        <is>
          <t>PO101565</t>
        </is>
      </c>
      <c r="B146" s="43" t="inlineStr">
        <is>
          <t>CMD-0085</t>
        </is>
      </c>
      <c r="C146" s="43" t="inlineStr">
        <is>
          <t>S06</t>
        </is>
      </c>
      <c r="D146" s="47" t="n">
        <v>45600</v>
      </c>
      <c r="E146" s="47" t="n">
        <v>45621</v>
      </c>
      <c r="F146" s="47" t="n">
        <v>45618</v>
      </c>
      <c r="G146" s="46" t="n">
        <v>969</v>
      </c>
      <c r="H146" s="46" t="n">
        <v>969</v>
      </c>
      <c r="I146" s="46" t="n">
        <v>5</v>
      </c>
      <c r="J146" s="44" t="n">
        <v>10.56</v>
      </c>
      <c r="K146" s="43" t="inlineStr">
        <is>
          <t>Received</t>
        </is>
      </c>
      <c r="L146" s="17">
        <f>INDEX(Items!$C$2:$C$117,MATCH(B146,Items!$A$2:$A$117,0))</f>
        <v/>
      </c>
      <c r="M146" s="49">
        <f>INDEX(Items!$E$2:$E$117,MATCH(B146,Items!$A$2:$A$117,0))</f>
        <v/>
      </c>
      <c r="N146" s="17">
        <f>TEXT(D146,"yyyy-mm")</f>
        <v/>
      </c>
      <c r="O146" s="50">
        <f>G146*J146</f>
        <v/>
      </c>
      <c r="P146" s="50">
        <f>(J146-M146)*G146</f>
        <v/>
      </c>
      <c r="Q146" s="51">
        <f>IF(K146="Received",1,0)</f>
        <v/>
      </c>
      <c r="R146" s="51">
        <f>IF(Q146=1,F146-D146,0)</f>
        <v/>
      </c>
      <c r="S146" s="51">
        <f>IF(Q146=1,IF(F146&lt;=E146,1,0),0)</f>
        <v/>
      </c>
      <c r="T146" s="51">
        <f>IF(Q146=1,IF(H146&gt;=G146,1,0),0)</f>
        <v/>
      </c>
      <c r="U146" s="51">
        <f>S146*T146</f>
        <v/>
      </c>
      <c r="V146" s="51">
        <f>IF(Q146=1,MAX(0,F146-E146),0)</f>
        <v/>
      </c>
    </row>
    <row r="147">
      <c r="A147" s="43" t="inlineStr">
        <is>
          <t>PO100001</t>
        </is>
      </c>
      <c r="B147" s="43" t="inlineStr">
        <is>
          <t>CMD-0001</t>
        </is>
      </c>
      <c r="C147" s="43" t="inlineStr">
        <is>
          <t>S07</t>
        </is>
      </c>
      <c r="D147" s="47" t="n">
        <v>45601</v>
      </c>
      <c r="E147" s="47" t="n">
        <v>45692</v>
      </c>
      <c r="F147" s="47" t="n">
        <v>45690</v>
      </c>
      <c r="G147" s="46" t="n">
        <v>8392</v>
      </c>
      <c r="H147" s="46" t="n">
        <v>8392</v>
      </c>
      <c r="I147" s="46" t="n">
        <v>70</v>
      </c>
      <c r="J147" s="44" t="n">
        <v>14.26</v>
      </c>
      <c r="K147" s="43" t="inlineStr">
        <is>
          <t>Received</t>
        </is>
      </c>
      <c r="L147" s="17">
        <f>INDEX(Items!$C$2:$C$117,MATCH(B147,Items!$A$2:$A$117,0))</f>
        <v/>
      </c>
      <c r="M147" s="49">
        <f>INDEX(Items!$E$2:$E$117,MATCH(B147,Items!$A$2:$A$117,0))</f>
        <v/>
      </c>
      <c r="N147" s="17">
        <f>TEXT(D147,"yyyy-mm")</f>
        <v/>
      </c>
      <c r="O147" s="50">
        <f>G147*J147</f>
        <v/>
      </c>
      <c r="P147" s="50">
        <f>(J147-M147)*G147</f>
        <v/>
      </c>
      <c r="Q147" s="51">
        <f>IF(K147="Received",1,0)</f>
        <v/>
      </c>
      <c r="R147" s="51">
        <f>IF(Q147=1,F147-D147,0)</f>
        <v/>
      </c>
      <c r="S147" s="51">
        <f>IF(Q147=1,IF(F147&lt;=E147,1,0),0)</f>
        <v/>
      </c>
      <c r="T147" s="51">
        <f>IF(Q147=1,IF(H147&gt;=G147,1,0),0)</f>
        <v/>
      </c>
      <c r="U147" s="51">
        <f>S147*T147</f>
        <v/>
      </c>
      <c r="V147" s="51">
        <f>IF(Q147=1,MAX(0,F147-E147),0)</f>
        <v/>
      </c>
    </row>
    <row r="148">
      <c r="A148" s="43" t="inlineStr">
        <is>
          <t>PO100193</t>
        </is>
      </c>
      <c r="B148" s="43" t="inlineStr">
        <is>
          <t>CMD-0009</t>
        </is>
      </c>
      <c r="C148" s="43" t="inlineStr">
        <is>
          <t>S11</t>
        </is>
      </c>
      <c r="D148" s="47" t="n">
        <v>45601</v>
      </c>
      <c r="E148" s="47" t="n">
        <v>45720</v>
      </c>
      <c r="F148" s="47" t="n">
        <v>45717</v>
      </c>
      <c r="G148" s="46" t="n">
        <v>7308</v>
      </c>
      <c r="H148" s="46" t="n">
        <v>7308</v>
      </c>
      <c r="I148" s="46" t="n">
        <v>21</v>
      </c>
      <c r="J148" s="44" t="n">
        <v>6.29</v>
      </c>
      <c r="K148" s="43" t="inlineStr">
        <is>
          <t>Received</t>
        </is>
      </c>
      <c r="L148" s="17">
        <f>INDEX(Items!$C$2:$C$117,MATCH(B148,Items!$A$2:$A$117,0))</f>
        <v/>
      </c>
      <c r="M148" s="49">
        <f>INDEX(Items!$E$2:$E$117,MATCH(B148,Items!$A$2:$A$117,0))</f>
        <v/>
      </c>
      <c r="N148" s="17">
        <f>TEXT(D148,"yyyy-mm")</f>
        <v/>
      </c>
      <c r="O148" s="50">
        <f>G148*J148</f>
        <v/>
      </c>
      <c r="P148" s="50">
        <f>(J148-M148)*G148</f>
        <v/>
      </c>
      <c r="Q148" s="51">
        <f>IF(K148="Received",1,0)</f>
        <v/>
      </c>
      <c r="R148" s="51">
        <f>IF(Q148=1,F148-D148,0)</f>
        <v/>
      </c>
      <c r="S148" s="51">
        <f>IF(Q148=1,IF(F148&lt;=E148,1,0),0)</f>
        <v/>
      </c>
      <c r="T148" s="51">
        <f>IF(Q148=1,IF(H148&gt;=G148,1,0),0)</f>
        <v/>
      </c>
      <c r="U148" s="51">
        <f>S148*T148</f>
        <v/>
      </c>
      <c r="V148" s="51">
        <f>IF(Q148=1,MAX(0,F148-E148),0)</f>
        <v/>
      </c>
    </row>
    <row r="149">
      <c r="A149" s="43" t="inlineStr">
        <is>
          <t>PO100521</t>
        </is>
      </c>
      <c r="B149" s="43" t="inlineStr">
        <is>
          <t>CMD-0024</t>
        </is>
      </c>
      <c r="C149" s="43" t="inlineStr">
        <is>
          <t>S04</t>
        </is>
      </c>
      <c r="D149" s="47" t="n">
        <v>45601</v>
      </c>
      <c r="E149" s="47" t="n">
        <v>45671</v>
      </c>
      <c r="F149" s="47" t="n">
        <v>45669</v>
      </c>
      <c r="G149" s="46" t="n">
        <v>4547</v>
      </c>
      <c r="H149" s="46" t="n">
        <v>4547</v>
      </c>
      <c r="I149" s="46" t="n">
        <v>38</v>
      </c>
      <c r="J149" s="44" t="n">
        <v>3.31</v>
      </c>
      <c r="K149" s="43" t="inlineStr">
        <is>
          <t>Received</t>
        </is>
      </c>
      <c r="L149" s="17">
        <f>INDEX(Items!$C$2:$C$117,MATCH(B149,Items!$A$2:$A$117,0))</f>
        <v/>
      </c>
      <c r="M149" s="49">
        <f>INDEX(Items!$E$2:$E$117,MATCH(B149,Items!$A$2:$A$117,0))</f>
        <v/>
      </c>
      <c r="N149" s="17">
        <f>TEXT(D149,"yyyy-mm")</f>
        <v/>
      </c>
      <c r="O149" s="50">
        <f>G149*J149</f>
        <v/>
      </c>
      <c r="P149" s="50">
        <f>(J149-M149)*G149</f>
        <v/>
      </c>
      <c r="Q149" s="51">
        <f>IF(K149="Received",1,0)</f>
        <v/>
      </c>
      <c r="R149" s="51">
        <f>IF(Q149=1,F149-D149,0)</f>
        <v/>
      </c>
      <c r="S149" s="51">
        <f>IF(Q149=1,IF(F149&lt;=E149,1,0),0)</f>
        <v/>
      </c>
      <c r="T149" s="51">
        <f>IF(Q149=1,IF(H149&gt;=G149,1,0),0)</f>
        <v/>
      </c>
      <c r="U149" s="51">
        <f>S149*T149</f>
        <v/>
      </c>
      <c r="V149" s="51">
        <f>IF(Q149=1,MAX(0,F149-E149),0)</f>
        <v/>
      </c>
    </row>
    <row r="150">
      <c r="A150" s="43" t="inlineStr">
        <is>
          <t>PO100365</t>
        </is>
      </c>
      <c r="B150" s="43" t="inlineStr">
        <is>
          <t>CMD-0017</t>
        </is>
      </c>
      <c r="C150" s="43" t="inlineStr">
        <is>
          <t>S11</t>
        </is>
      </c>
      <c r="D150" s="47" t="n">
        <v>45601</v>
      </c>
      <c r="E150" s="47" t="n">
        <v>45678</v>
      </c>
      <c r="F150" s="47" t="n">
        <v>45678</v>
      </c>
      <c r="G150" s="46" t="n">
        <v>8150</v>
      </c>
      <c r="H150" s="46" t="n">
        <v>8150</v>
      </c>
      <c r="I150" s="46" t="n">
        <v>24</v>
      </c>
      <c r="J150" s="44" t="n">
        <v>12.69</v>
      </c>
      <c r="K150" s="43" t="inlineStr">
        <is>
          <t>Received</t>
        </is>
      </c>
      <c r="L150" s="17">
        <f>INDEX(Items!$C$2:$C$117,MATCH(B150,Items!$A$2:$A$117,0))</f>
        <v/>
      </c>
      <c r="M150" s="49">
        <f>INDEX(Items!$E$2:$E$117,MATCH(B150,Items!$A$2:$A$117,0))</f>
        <v/>
      </c>
      <c r="N150" s="17">
        <f>TEXT(D150,"yyyy-mm")</f>
        <v/>
      </c>
      <c r="O150" s="50">
        <f>G150*J150</f>
        <v/>
      </c>
      <c r="P150" s="50">
        <f>(J150-M150)*G150</f>
        <v/>
      </c>
      <c r="Q150" s="51">
        <f>IF(K150="Received",1,0)</f>
        <v/>
      </c>
      <c r="R150" s="51">
        <f>IF(Q150=1,F150-D150,0)</f>
        <v/>
      </c>
      <c r="S150" s="51">
        <f>IF(Q150=1,IF(F150&lt;=E150,1,0),0)</f>
        <v/>
      </c>
      <c r="T150" s="51">
        <f>IF(Q150=1,IF(H150&gt;=G150,1,0),0)</f>
        <v/>
      </c>
      <c r="U150" s="51">
        <f>S150*T150</f>
        <v/>
      </c>
      <c r="V150" s="51">
        <f>IF(Q150=1,MAX(0,F150-E150),0)</f>
        <v/>
      </c>
    </row>
    <row r="151">
      <c r="A151" s="43" t="inlineStr">
        <is>
          <t>PO101183</t>
        </is>
      </c>
      <c r="B151" s="43" t="inlineStr">
        <is>
          <t>CMD-0055</t>
        </is>
      </c>
      <c r="C151" s="43" t="inlineStr">
        <is>
          <t>S04</t>
        </is>
      </c>
      <c r="D151" s="47" t="n">
        <v>45601</v>
      </c>
      <c r="E151" s="47" t="n">
        <v>45636</v>
      </c>
      <c r="F151" s="47" t="n">
        <v>45633</v>
      </c>
      <c r="G151" s="46" t="n">
        <v>85751</v>
      </c>
      <c r="H151" s="46" t="n">
        <v>85751</v>
      </c>
      <c r="I151" s="46" t="n">
        <v>891</v>
      </c>
      <c r="J151" s="44" t="n">
        <v>0.09379999999999999</v>
      </c>
      <c r="K151" s="43" t="inlineStr">
        <is>
          <t>Received</t>
        </is>
      </c>
      <c r="L151" s="17">
        <f>INDEX(Items!$C$2:$C$117,MATCH(B151,Items!$A$2:$A$117,0))</f>
        <v/>
      </c>
      <c r="M151" s="49">
        <f>INDEX(Items!$E$2:$E$117,MATCH(B151,Items!$A$2:$A$117,0))</f>
        <v/>
      </c>
      <c r="N151" s="17">
        <f>TEXT(D151,"yyyy-mm")</f>
        <v/>
      </c>
      <c r="O151" s="50">
        <f>G151*J151</f>
        <v/>
      </c>
      <c r="P151" s="50">
        <f>(J151-M151)*G151</f>
        <v/>
      </c>
      <c r="Q151" s="51">
        <f>IF(K151="Received",1,0)</f>
        <v/>
      </c>
      <c r="R151" s="51">
        <f>IF(Q151=1,F151-D151,0)</f>
        <v/>
      </c>
      <c r="S151" s="51">
        <f>IF(Q151=1,IF(F151&lt;=E151,1,0),0)</f>
        <v/>
      </c>
      <c r="T151" s="51">
        <f>IF(Q151=1,IF(H151&gt;=G151,1,0),0)</f>
        <v/>
      </c>
      <c r="U151" s="51">
        <f>S151*T151</f>
        <v/>
      </c>
      <c r="V151" s="51">
        <f>IF(Q151=1,MAX(0,F151-E151),0)</f>
        <v/>
      </c>
    </row>
    <row r="152">
      <c r="A152" s="43" t="inlineStr">
        <is>
          <t>PO100771</t>
        </is>
      </c>
      <c r="B152" s="43" t="inlineStr">
        <is>
          <t>CMD-0035</t>
        </is>
      </c>
      <c r="C152" s="43" t="inlineStr">
        <is>
          <t>S01</t>
        </is>
      </c>
      <c r="D152" s="47" t="n">
        <v>45601</v>
      </c>
      <c r="E152" s="47" t="n">
        <v>45629</v>
      </c>
      <c r="F152" s="47" t="n">
        <v>45628</v>
      </c>
      <c r="G152" s="46" t="n">
        <v>633</v>
      </c>
      <c r="H152" s="46" t="n">
        <v>633</v>
      </c>
      <c r="I152" s="46" t="n">
        <v>1</v>
      </c>
      <c r="J152" s="44" t="n">
        <v>9.369999999999999</v>
      </c>
      <c r="K152" s="43" t="inlineStr">
        <is>
          <t>Received</t>
        </is>
      </c>
      <c r="L152" s="17">
        <f>INDEX(Items!$C$2:$C$117,MATCH(B152,Items!$A$2:$A$117,0))</f>
        <v/>
      </c>
      <c r="M152" s="49">
        <f>INDEX(Items!$E$2:$E$117,MATCH(B152,Items!$A$2:$A$117,0))</f>
        <v/>
      </c>
      <c r="N152" s="17">
        <f>TEXT(D152,"yyyy-mm")</f>
        <v/>
      </c>
      <c r="O152" s="50">
        <f>G152*J152</f>
        <v/>
      </c>
      <c r="P152" s="50">
        <f>(J152-M152)*G152</f>
        <v/>
      </c>
      <c r="Q152" s="51">
        <f>IF(K152="Received",1,0)</f>
        <v/>
      </c>
      <c r="R152" s="51">
        <f>IF(Q152=1,F152-D152,0)</f>
        <v/>
      </c>
      <c r="S152" s="51">
        <f>IF(Q152=1,IF(F152&lt;=E152,1,0),0)</f>
        <v/>
      </c>
      <c r="T152" s="51">
        <f>IF(Q152=1,IF(H152&gt;=G152,1,0),0)</f>
        <v/>
      </c>
      <c r="U152" s="51">
        <f>S152*T152</f>
        <v/>
      </c>
      <c r="V152" s="51">
        <f>IF(Q152=1,MAX(0,F152-E152),0)</f>
        <v/>
      </c>
    </row>
    <row r="153">
      <c r="A153" s="43" t="inlineStr">
        <is>
          <t>PO101481</t>
        </is>
      </c>
      <c r="B153" s="43" t="inlineStr">
        <is>
          <t>CMD-0079</t>
        </is>
      </c>
      <c r="C153" s="43" t="inlineStr">
        <is>
          <t>S06</t>
        </is>
      </c>
      <c r="D153" s="47" t="n">
        <v>45601</v>
      </c>
      <c r="E153" s="47" t="n">
        <v>45622</v>
      </c>
      <c r="F153" s="47" t="n">
        <v>45631</v>
      </c>
      <c r="G153" s="46" t="n">
        <v>2094</v>
      </c>
      <c r="H153" s="46" t="n">
        <v>2094</v>
      </c>
      <c r="I153" s="46" t="n">
        <v>14</v>
      </c>
      <c r="J153" s="44" t="n">
        <v>3.53</v>
      </c>
      <c r="K153" s="43" t="inlineStr">
        <is>
          <t>Received</t>
        </is>
      </c>
      <c r="L153" s="17">
        <f>INDEX(Items!$C$2:$C$117,MATCH(B153,Items!$A$2:$A$117,0))</f>
        <v/>
      </c>
      <c r="M153" s="49">
        <f>INDEX(Items!$E$2:$E$117,MATCH(B153,Items!$A$2:$A$117,0))</f>
        <v/>
      </c>
      <c r="N153" s="17">
        <f>TEXT(D153,"yyyy-mm")</f>
        <v/>
      </c>
      <c r="O153" s="50">
        <f>G153*J153</f>
        <v/>
      </c>
      <c r="P153" s="50">
        <f>(J153-M153)*G153</f>
        <v/>
      </c>
      <c r="Q153" s="51">
        <f>IF(K153="Received",1,0)</f>
        <v/>
      </c>
      <c r="R153" s="51">
        <f>IF(Q153=1,F153-D153,0)</f>
        <v/>
      </c>
      <c r="S153" s="51">
        <f>IF(Q153=1,IF(F153&lt;=E153,1,0),0)</f>
        <v/>
      </c>
      <c r="T153" s="51">
        <f>IF(Q153=1,IF(H153&gt;=G153,1,0),0)</f>
        <v/>
      </c>
      <c r="U153" s="51">
        <f>S153*T153</f>
        <v/>
      </c>
      <c r="V153" s="51">
        <f>IF(Q153=1,MAX(0,F153-E153),0)</f>
        <v/>
      </c>
    </row>
    <row r="154">
      <c r="A154" s="43" t="inlineStr">
        <is>
          <t>PO100241</t>
        </is>
      </c>
      <c r="B154" s="43" t="inlineStr">
        <is>
          <t>CMD-0011</t>
        </is>
      </c>
      <c r="C154" s="43" t="inlineStr">
        <is>
          <t>S07</t>
        </is>
      </c>
      <c r="D154" s="47" t="n">
        <v>45601</v>
      </c>
      <c r="E154" s="47" t="n">
        <v>45692</v>
      </c>
      <c r="F154" s="47" t="n">
        <v>45691</v>
      </c>
      <c r="G154" s="46" t="n">
        <v>3456</v>
      </c>
      <c r="H154" s="46" t="n">
        <v>3456</v>
      </c>
      <c r="I154" s="46" t="n">
        <v>26</v>
      </c>
      <c r="J154" s="44" t="n">
        <v>8.08</v>
      </c>
      <c r="K154" s="43" t="inlineStr">
        <is>
          <t>Received</t>
        </is>
      </c>
      <c r="L154" s="17">
        <f>INDEX(Items!$C$2:$C$117,MATCH(B154,Items!$A$2:$A$117,0))</f>
        <v/>
      </c>
      <c r="M154" s="49">
        <f>INDEX(Items!$E$2:$E$117,MATCH(B154,Items!$A$2:$A$117,0))</f>
        <v/>
      </c>
      <c r="N154" s="17">
        <f>TEXT(D154,"yyyy-mm")</f>
        <v/>
      </c>
      <c r="O154" s="50">
        <f>G154*J154</f>
        <v/>
      </c>
      <c r="P154" s="50">
        <f>(J154-M154)*G154</f>
        <v/>
      </c>
      <c r="Q154" s="51">
        <f>IF(K154="Received",1,0)</f>
        <v/>
      </c>
      <c r="R154" s="51">
        <f>IF(Q154=1,F154-D154,0)</f>
        <v/>
      </c>
      <c r="S154" s="51">
        <f>IF(Q154=1,IF(F154&lt;=E154,1,0),0)</f>
        <v/>
      </c>
      <c r="T154" s="51">
        <f>IF(Q154=1,IF(H154&gt;=G154,1,0),0)</f>
        <v/>
      </c>
      <c r="U154" s="51">
        <f>S154*T154</f>
        <v/>
      </c>
      <c r="V154" s="51">
        <f>IF(Q154=1,MAX(0,F154-E154),0)</f>
        <v/>
      </c>
    </row>
    <row r="155">
      <c r="A155" s="43" t="inlineStr">
        <is>
          <t>PO100843</t>
        </is>
      </c>
      <c r="B155" s="43" t="inlineStr">
        <is>
          <t>CMD-0038</t>
        </is>
      </c>
      <c r="C155" s="43" t="inlineStr">
        <is>
          <t>S01</t>
        </is>
      </c>
      <c r="D155" s="47" t="n">
        <v>45601</v>
      </c>
      <c r="E155" s="47" t="n">
        <v>45629</v>
      </c>
      <c r="F155" s="47" t="n">
        <v>45626</v>
      </c>
      <c r="G155" s="46" t="n">
        <v>891</v>
      </c>
      <c r="H155" s="46" t="n">
        <v>891</v>
      </c>
      <c r="I155" s="46" t="n">
        <v>2</v>
      </c>
      <c r="J155" s="44" t="n">
        <v>21.49</v>
      </c>
      <c r="K155" s="43" t="inlineStr">
        <is>
          <t>Received</t>
        </is>
      </c>
      <c r="L155" s="17">
        <f>INDEX(Items!$C$2:$C$117,MATCH(B155,Items!$A$2:$A$117,0))</f>
        <v/>
      </c>
      <c r="M155" s="49">
        <f>INDEX(Items!$E$2:$E$117,MATCH(B155,Items!$A$2:$A$117,0))</f>
        <v/>
      </c>
      <c r="N155" s="17">
        <f>TEXT(D155,"yyyy-mm")</f>
        <v/>
      </c>
      <c r="O155" s="50">
        <f>G155*J155</f>
        <v/>
      </c>
      <c r="P155" s="50">
        <f>(J155-M155)*G155</f>
        <v/>
      </c>
      <c r="Q155" s="51">
        <f>IF(K155="Received",1,0)</f>
        <v/>
      </c>
      <c r="R155" s="51">
        <f>IF(Q155=1,F155-D155,0)</f>
        <v/>
      </c>
      <c r="S155" s="51">
        <f>IF(Q155=1,IF(F155&lt;=E155,1,0),0)</f>
        <v/>
      </c>
      <c r="T155" s="51">
        <f>IF(Q155=1,IF(H155&gt;=G155,1,0),0)</f>
        <v/>
      </c>
      <c r="U155" s="51">
        <f>S155*T155</f>
        <v/>
      </c>
      <c r="V155" s="51">
        <f>IF(Q155=1,MAX(0,F155-E155),0)</f>
        <v/>
      </c>
    </row>
    <row r="156">
      <c r="A156" s="43" t="inlineStr">
        <is>
          <t>PO101309</t>
        </is>
      </c>
      <c r="B156" s="43" t="inlineStr">
        <is>
          <t>CMD-0065</t>
        </is>
      </c>
      <c r="C156" s="43" t="inlineStr">
        <is>
          <t>S10</t>
        </is>
      </c>
      <c r="D156" s="47" t="n">
        <v>45601</v>
      </c>
      <c r="E156" s="47" t="n">
        <v>45629</v>
      </c>
      <c r="F156" s="47" t="n">
        <v>45627</v>
      </c>
      <c r="G156" s="46" t="n">
        <v>120678</v>
      </c>
      <c r="H156" s="46" t="n">
        <v>120678</v>
      </c>
      <c r="I156" s="46" t="n">
        <v>93</v>
      </c>
      <c r="J156" s="44" t="n">
        <v>0.1155</v>
      </c>
      <c r="K156" s="43" t="inlineStr">
        <is>
          <t>Received</t>
        </is>
      </c>
      <c r="L156" s="17">
        <f>INDEX(Items!$C$2:$C$117,MATCH(B156,Items!$A$2:$A$117,0))</f>
        <v/>
      </c>
      <c r="M156" s="49">
        <f>INDEX(Items!$E$2:$E$117,MATCH(B156,Items!$A$2:$A$117,0))</f>
        <v/>
      </c>
      <c r="N156" s="17">
        <f>TEXT(D156,"yyyy-mm")</f>
        <v/>
      </c>
      <c r="O156" s="50">
        <f>G156*J156</f>
        <v/>
      </c>
      <c r="P156" s="50">
        <f>(J156-M156)*G156</f>
        <v/>
      </c>
      <c r="Q156" s="51">
        <f>IF(K156="Received",1,0)</f>
        <v/>
      </c>
      <c r="R156" s="51">
        <f>IF(Q156=1,F156-D156,0)</f>
        <v/>
      </c>
      <c r="S156" s="51">
        <f>IF(Q156=1,IF(F156&lt;=E156,1,0),0)</f>
        <v/>
      </c>
      <c r="T156" s="51">
        <f>IF(Q156=1,IF(H156&gt;=G156,1,0),0)</f>
        <v/>
      </c>
      <c r="U156" s="51">
        <f>S156*T156</f>
        <v/>
      </c>
      <c r="V156" s="51">
        <f>IF(Q156=1,MAX(0,F156-E156),0)</f>
        <v/>
      </c>
    </row>
    <row r="157">
      <c r="A157" s="43" t="inlineStr">
        <is>
          <t>PO100569</t>
        </is>
      </c>
      <c r="B157" s="43" t="inlineStr">
        <is>
          <t>CMD-0026</t>
        </is>
      </c>
      <c r="C157" s="43" t="inlineStr">
        <is>
          <t>S04</t>
        </is>
      </c>
      <c r="D157" s="47" t="n">
        <v>45601</v>
      </c>
      <c r="E157" s="47" t="n">
        <v>45671</v>
      </c>
      <c r="F157" s="47" t="n">
        <v>45668</v>
      </c>
      <c r="G157" s="46" t="n">
        <v>8318</v>
      </c>
      <c r="H157" s="46" t="n">
        <v>8318</v>
      </c>
      <c r="I157" s="46" t="n">
        <v>64</v>
      </c>
      <c r="J157" s="44" t="n">
        <v>5.96</v>
      </c>
      <c r="K157" s="43" t="inlineStr">
        <is>
          <t>Received</t>
        </is>
      </c>
      <c r="L157" s="17">
        <f>INDEX(Items!$C$2:$C$117,MATCH(B157,Items!$A$2:$A$117,0))</f>
        <v/>
      </c>
      <c r="M157" s="49">
        <f>INDEX(Items!$E$2:$E$117,MATCH(B157,Items!$A$2:$A$117,0))</f>
        <v/>
      </c>
      <c r="N157" s="17">
        <f>TEXT(D157,"yyyy-mm")</f>
        <v/>
      </c>
      <c r="O157" s="50">
        <f>G157*J157</f>
        <v/>
      </c>
      <c r="P157" s="50">
        <f>(J157-M157)*G157</f>
        <v/>
      </c>
      <c r="Q157" s="51">
        <f>IF(K157="Received",1,0)</f>
        <v/>
      </c>
      <c r="R157" s="51">
        <f>IF(Q157=1,F157-D157,0)</f>
        <v/>
      </c>
      <c r="S157" s="51">
        <f>IF(Q157=1,IF(F157&lt;=E157,1,0),0)</f>
        <v/>
      </c>
      <c r="T157" s="51">
        <f>IF(Q157=1,IF(H157&gt;=G157,1,0),0)</f>
        <v/>
      </c>
      <c r="U157" s="51">
        <f>S157*T157</f>
        <v/>
      </c>
      <c r="V157" s="51">
        <f>IF(Q157=1,MAX(0,F157-E157),0)</f>
        <v/>
      </c>
    </row>
    <row r="158">
      <c r="A158" s="43" t="inlineStr">
        <is>
          <t>PO101821</t>
        </is>
      </c>
      <c r="B158" s="43" t="inlineStr">
        <is>
          <t>CMD-0100</t>
        </is>
      </c>
      <c r="C158" s="43" t="inlineStr">
        <is>
          <t>S09</t>
        </is>
      </c>
      <c r="D158" s="47" t="n">
        <v>45601</v>
      </c>
      <c r="E158" s="47" t="n">
        <v>45622</v>
      </c>
      <c r="F158" s="47" t="n">
        <v>45619</v>
      </c>
      <c r="G158" s="46" t="n">
        <v>5743</v>
      </c>
      <c r="H158" s="46" t="n">
        <v>5743</v>
      </c>
      <c r="I158" s="46" t="n">
        <v>18</v>
      </c>
      <c r="J158" s="44" t="n">
        <v>4.94</v>
      </c>
      <c r="K158" s="43" t="inlineStr">
        <is>
          <t>Received</t>
        </is>
      </c>
      <c r="L158" s="17">
        <f>INDEX(Items!$C$2:$C$117,MATCH(B158,Items!$A$2:$A$117,0))</f>
        <v/>
      </c>
      <c r="M158" s="49">
        <f>INDEX(Items!$E$2:$E$117,MATCH(B158,Items!$A$2:$A$117,0))</f>
        <v/>
      </c>
      <c r="N158" s="17">
        <f>TEXT(D158,"yyyy-mm")</f>
        <v/>
      </c>
      <c r="O158" s="50">
        <f>G158*J158</f>
        <v/>
      </c>
      <c r="P158" s="50">
        <f>(J158-M158)*G158</f>
        <v/>
      </c>
      <c r="Q158" s="51">
        <f>IF(K158="Received",1,0)</f>
        <v/>
      </c>
      <c r="R158" s="51">
        <f>IF(Q158=1,F158-D158,0)</f>
        <v/>
      </c>
      <c r="S158" s="51">
        <f>IF(Q158=1,IF(F158&lt;=E158,1,0),0)</f>
        <v/>
      </c>
      <c r="T158" s="51">
        <f>IF(Q158=1,IF(H158&gt;=G158,1,0),0)</f>
        <v/>
      </c>
      <c r="U158" s="51">
        <f>S158*T158</f>
        <v/>
      </c>
      <c r="V158" s="51">
        <f>IF(Q158=1,MAX(0,F158-E158),0)</f>
        <v/>
      </c>
    </row>
    <row r="159">
      <c r="A159" s="43" t="inlineStr">
        <is>
          <t>PO101667</t>
        </is>
      </c>
      <c r="B159" s="43" t="inlineStr">
        <is>
          <t>CMD-0092</t>
        </is>
      </c>
      <c r="C159" s="43" t="inlineStr">
        <is>
          <t>S08</t>
        </is>
      </c>
      <c r="D159" s="47" t="n">
        <v>45601</v>
      </c>
      <c r="E159" s="47" t="n">
        <v>45678</v>
      </c>
      <c r="F159" s="47" t="n">
        <v>45675</v>
      </c>
      <c r="G159" s="46" t="n">
        <v>352</v>
      </c>
      <c r="H159" s="46" t="n">
        <v>352</v>
      </c>
      <c r="I159" s="46" t="n">
        <v>7</v>
      </c>
      <c r="J159" s="44" t="n">
        <v>29.47</v>
      </c>
      <c r="K159" s="43" t="inlineStr">
        <is>
          <t>Received</t>
        </is>
      </c>
      <c r="L159" s="17">
        <f>INDEX(Items!$C$2:$C$117,MATCH(B159,Items!$A$2:$A$117,0))</f>
        <v/>
      </c>
      <c r="M159" s="49">
        <f>INDEX(Items!$E$2:$E$117,MATCH(B159,Items!$A$2:$A$117,0))</f>
        <v/>
      </c>
      <c r="N159" s="17">
        <f>TEXT(D159,"yyyy-mm")</f>
        <v/>
      </c>
      <c r="O159" s="50">
        <f>G159*J159</f>
        <v/>
      </c>
      <c r="P159" s="50">
        <f>(J159-M159)*G159</f>
        <v/>
      </c>
      <c r="Q159" s="51">
        <f>IF(K159="Received",1,0)</f>
        <v/>
      </c>
      <c r="R159" s="51">
        <f>IF(Q159=1,F159-D159,0)</f>
        <v/>
      </c>
      <c r="S159" s="51">
        <f>IF(Q159=1,IF(F159&lt;=E159,1,0),0)</f>
        <v/>
      </c>
      <c r="T159" s="51">
        <f>IF(Q159=1,IF(H159&gt;=G159,1,0),0)</f>
        <v/>
      </c>
      <c r="U159" s="51">
        <f>S159*T159</f>
        <v/>
      </c>
      <c r="V159" s="51">
        <f>IF(Q159=1,MAX(0,F159-E159),0)</f>
        <v/>
      </c>
    </row>
    <row r="160">
      <c r="A160" s="43" t="inlineStr">
        <is>
          <t>PO100665</t>
        </is>
      </c>
      <c r="B160" s="43" t="inlineStr">
        <is>
          <t>CMD-0030</t>
        </is>
      </c>
      <c r="C160" s="43" t="inlineStr">
        <is>
          <t>S11</t>
        </is>
      </c>
      <c r="D160" s="47" t="n">
        <v>45601</v>
      </c>
      <c r="E160" s="47" t="n">
        <v>45678</v>
      </c>
      <c r="F160" s="47" t="n">
        <v>45676</v>
      </c>
      <c r="G160" s="46" t="n">
        <v>7507</v>
      </c>
      <c r="H160" s="46" t="n">
        <v>7507</v>
      </c>
      <c r="I160" s="46" t="n">
        <v>11</v>
      </c>
      <c r="J160" s="44" t="n">
        <v>23.19</v>
      </c>
      <c r="K160" s="43" t="inlineStr">
        <is>
          <t>Received</t>
        </is>
      </c>
      <c r="L160" s="17">
        <f>INDEX(Items!$C$2:$C$117,MATCH(B160,Items!$A$2:$A$117,0))</f>
        <v/>
      </c>
      <c r="M160" s="49">
        <f>INDEX(Items!$E$2:$E$117,MATCH(B160,Items!$A$2:$A$117,0))</f>
        <v/>
      </c>
      <c r="N160" s="17">
        <f>TEXT(D160,"yyyy-mm")</f>
        <v/>
      </c>
      <c r="O160" s="50">
        <f>G160*J160</f>
        <v/>
      </c>
      <c r="P160" s="50">
        <f>(J160-M160)*G160</f>
        <v/>
      </c>
      <c r="Q160" s="51">
        <f>IF(K160="Received",1,0)</f>
        <v/>
      </c>
      <c r="R160" s="51">
        <f>IF(Q160=1,F160-D160,0)</f>
        <v/>
      </c>
      <c r="S160" s="51">
        <f>IF(Q160=1,IF(F160&lt;=E160,1,0),0)</f>
        <v/>
      </c>
      <c r="T160" s="51">
        <f>IF(Q160=1,IF(H160&gt;=G160,1,0),0)</f>
        <v/>
      </c>
      <c r="U160" s="51">
        <f>S160*T160</f>
        <v/>
      </c>
      <c r="V160" s="51">
        <f>IF(Q160=1,MAX(0,F160-E160),0)</f>
        <v/>
      </c>
    </row>
    <row r="161">
      <c r="A161" s="43" t="inlineStr">
        <is>
          <t>PO101121</t>
        </is>
      </c>
      <c r="B161" s="43" t="inlineStr">
        <is>
          <t>CMD-0052</t>
        </is>
      </c>
      <c r="C161" s="43" t="inlineStr">
        <is>
          <t>S01</t>
        </is>
      </c>
      <c r="D161" s="47" t="n">
        <v>45602</v>
      </c>
      <c r="E161" s="47" t="n">
        <v>45623</v>
      </c>
      <c r="F161" s="47" t="n">
        <v>45621</v>
      </c>
      <c r="G161" s="46" t="n">
        <v>132093</v>
      </c>
      <c r="H161" s="46" t="n">
        <v>132093</v>
      </c>
      <c r="I161" s="46" t="n">
        <v>243</v>
      </c>
      <c r="J161" s="44" t="n">
        <v>0.2016</v>
      </c>
      <c r="K161" s="43" t="inlineStr">
        <is>
          <t>Received</t>
        </is>
      </c>
      <c r="L161" s="17">
        <f>INDEX(Items!$C$2:$C$117,MATCH(B161,Items!$A$2:$A$117,0))</f>
        <v/>
      </c>
      <c r="M161" s="49">
        <f>INDEX(Items!$E$2:$E$117,MATCH(B161,Items!$A$2:$A$117,0))</f>
        <v/>
      </c>
      <c r="N161" s="17">
        <f>TEXT(D161,"yyyy-mm")</f>
        <v/>
      </c>
      <c r="O161" s="50">
        <f>G161*J161</f>
        <v/>
      </c>
      <c r="P161" s="50">
        <f>(J161-M161)*G161</f>
        <v/>
      </c>
      <c r="Q161" s="51">
        <f>IF(K161="Received",1,0)</f>
        <v/>
      </c>
      <c r="R161" s="51">
        <f>IF(Q161=1,F161-D161,0)</f>
        <v/>
      </c>
      <c r="S161" s="51">
        <f>IF(Q161=1,IF(F161&lt;=E161,1,0),0)</f>
        <v/>
      </c>
      <c r="T161" s="51">
        <f>IF(Q161=1,IF(H161&gt;=G161,1,0),0)</f>
        <v/>
      </c>
      <c r="U161" s="51">
        <f>S161*T161</f>
        <v/>
      </c>
      <c r="V161" s="51">
        <f>IF(Q161=1,MAX(0,F161-E161),0)</f>
        <v/>
      </c>
    </row>
    <row r="162">
      <c r="A162" s="43" t="inlineStr">
        <is>
          <t>PO101277</t>
        </is>
      </c>
      <c r="B162" s="43" t="inlineStr">
        <is>
          <t>CMD-0062</t>
        </is>
      </c>
      <c r="C162" s="43" t="inlineStr">
        <is>
          <t>S01</t>
        </is>
      </c>
      <c r="D162" s="47" t="n">
        <v>45602</v>
      </c>
      <c r="E162" s="47" t="n">
        <v>45623</v>
      </c>
      <c r="F162" s="47" t="n">
        <v>45620</v>
      </c>
      <c r="G162" s="46" t="n">
        <v>74692</v>
      </c>
      <c r="H162" s="46" t="n">
        <v>74692</v>
      </c>
      <c r="I162" s="46" t="n">
        <v>167</v>
      </c>
      <c r="J162" s="44" t="n">
        <v>0.1139</v>
      </c>
      <c r="K162" s="43" t="inlineStr">
        <is>
          <t>Received</t>
        </is>
      </c>
      <c r="L162" s="17">
        <f>INDEX(Items!$C$2:$C$117,MATCH(B162,Items!$A$2:$A$117,0))</f>
        <v/>
      </c>
      <c r="M162" s="49">
        <f>INDEX(Items!$E$2:$E$117,MATCH(B162,Items!$A$2:$A$117,0))</f>
        <v/>
      </c>
      <c r="N162" s="17">
        <f>TEXT(D162,"yyyy-mm")</f>
        <v/>
      </c>
      <c r="O162" s="50">
        <f>G162*J162</f>
        <v/>
      </c>
      <c r="P162" s="50">
        <f>(J162-M162)*G162</f>
        <v/>
      </c>
      <c r="Q162" s="51">
        <f>IF(K162="Received",1,0)</f>
        <v/>
      </c>
      <c r="R162" s="51">
        <f>IF(Q162=1,F162-D162,0)</f>
        <v/>
      </c>
      <c r="S162" s="51">
        <f>IF(Q162=1,IF(F162&lt;=E162,1,0),0)</f>
        <v/>
      </c>
      <c r="T162" s="51">
        <f>IF(Q162=1,IF(H162&gt;=G162,1,0),0)</f>
        <v/>
      </c>
      <c r="U162" s="51">
        <f>S162*T162</f>
        <v/>
      </c>
      <c r="V162" s="51">
        <f>IF(Q162=1,MAX(0,F162-E162),0)</f>
        <v/>
      </c>
    </row>
    <row r="163">
      <c r="A163" s="43" t="inlineStr">
        <is>
          <t>PO101961</t>
        </is>
      </c>
      <c r="B163" s="43" t="inlineStr">
        <is>
          <t>CMD-0109</t>
        </is>
      </c>
      <c r="C163" s="43" t="inlineStr">
        <is>
          <t>S12</t>
        </is>
      </c>
      <c r="D163" s="47" t="n">
        <v>45602</v>
      </c>
      <c r="E163" s="47" t="n">
        <v>45609</v>
      </c>
      <c r="F163" s="47" t="n">
        <v>45606</v>
      </c>
      <c r="G163" s="46" t="n">
        <v>6654</v>
      </c>
      <c r="H163" s="46" t="n">
        <v>6654</v>
      </c>
      <c r="I163" s="46" t="n">
        <v>4</v>
      </c>
      <c r="J163" s="44" t="n">
        <v>1.7</v>
      </c>
      <c r="K163" s="43" t="inlineStr">
        <is>
          <t>Received</t>
        </is>
      </c>
      <c r="L163" s="17">
        <f>INDEX(Items!$C$2:$C$117,MATCH(B163,Items!$A$2:$A$117,0))</f>
        <v/>
      </c>
      <c r="M163" s="49">
        <f>INDEX(Items!$E$2:$E$117,MATCH(B163,Items!$A$2:$A$117,0))</f>
        <v/>
      </c>
      <c r="N163" s="17">
        <f>TEXT(D163,"yyyy-mm")</f>
        <v/>
      </c>
      <c r="O163" s="50">
        <f>G163*J163</f>
        <v/>
      </c>
      <c r="P163" s="50">
        <f>(J163-M163)*G163</f>
        <v/>
      </c>
      <c r="Q163" s="51">
        <f>IF(K163="Received",1,0)</f>
        <v/>
      </c>
      <c r="R163" s="51">
        <f>IF(Q163=1,F163-D163,0)</f>
        <v/>
      </c>
      <c r="S163" s="51">
        <f>IF(Q163=1,IF(F163&lt;=E163,1,0),0)</f>
        <v/>
      </c>
      <c r="T163" s="51">
        <f>IF(Q163=1,IF(H163&gt;=G163,1,0),0)</f>
        <v/>
      </c>
      <c r="U163" s="51">
        <f>S163*T163</f>
        <v/>
      </c>
      <c r="V163" s="51">
        <f>IF(Q163=1,MAX(0,F163-E163),0)</f>
        <v/>
      </c>
    </row>
    <row r="164">
      <c r="A164" s="43" t="inlineStr">
        <is>
          <t>PO101643</t>
        </is>
      </c>
      <c r="B164" s="43" t="inlineStr">
        <is>
          <t>CMD-0091</t>
        </is>
      </c>
      <c r="C164" s="43" t="inlineStr">
        <is>
          <t>S08</t>
        </is>
      </c>
      <c r="D164" s="47" t="n">
        <v>45602</v>
      </c>
      <c r="E164" s="47" t="n">
        <v>45679</v>
      </c>
      <c r="F164" s="47" t="n">
        <v>45679</v>
      </c>
      <c r="G164" s="46" t="n">
        <v>995</v>
      </c>
      <c r="H164" s="46" t="n">
        <v>995</v>
      </c>
      <c r="I164" s="46" t="n">
        <v>11</v>
      </c>
      <c r="J164" s="44" t="n">
        <v>23.8</v>
      </c>
      <c r="K164" s="43" t="inlineStr">
        <is>
          <t>Received</t>
        </is>
      </c>
      <c r="L164" s="17">
        <f>INDEX(Items!$C$2:$C$117,MATCH(B164,Items!$A$2:$A$117,0))</f>
        <v/>
      </c>
      <c r="M164" s="49">
        <f>INDEX(Items!$E$2:$E$117,MATCH(B164,Items!$A$2:$A$117,0))</f>
        <v/>
      </c>
      <c r="N164" s="17">
        <f>TEXT(D164,"yyyy-mm")</f>
        <v/>
      </c>
      <c r="O164" s="50">
        <f>G164*J164</f>
        <v/>
      </c>
      <c r="P164" s="50">
        <f>(J164-M164)*G164</f>
        <v/>
      </c>
      <c r="Q164" s="51">
        <f>IF(K164="Received",1,0)</f>
        <v/>
      </c>
      <c r="R164" s="51">
        <f>IF(Q164=1,F164-D164,0)</f>
        <v/>
      </c>
      <c r="S164" s="51">
        <f>IF(Q164=1,IF(F164&lt;=E164,1,0),0)</f>
        <v/>
      </c>
      <c r="T164" s="51">
        <f>IF(Q164=1,IF(H164&gt;=G164,1,0),0)</f>
        <v/>
      </c>
      <c r="U164" s="51">
        <f>S164*T164</f>
        <v/>
      </c>
      <c r="V164" s="51">
        <f>IF(Q164=1,MAX(0,F164-E164),0)</f>
        <v/>
      </c>
    </row>
    <row r="165">
      <c r="A165" s="43" t="inlineStr">
        <is>
          <t>PO101763</t>
        </is>
      </c>
      <c r="B165" s="43" t="inlineStr">
        <is>
          <t>CMD-0096</t>
        </is>
      </c>
      <c r="C165" s="43" t="inlineStr">
        <is>
          <t>S09</t>
        </is>
      </c>
      <c r="D165" s="47" t="n">
        <v>45602</v>
      </c>
      <c r="E165" s="47" t="n">
        <v>45623</v>
      </c>
      <c r="F165" s="47" t="n">
        <v>45620</v>
      </c>
      <c r="G165" s="46" t="n">
        <v>968</v>
      </c>
      <c r="H165" s="46" t="n">
        <v>968</v>
      </c>
      <c r="I165" s="46" t="n">
        <v>5</v>
      </c>
      <c r="J165" s="44" t="n">
        <v>6.42</v>
      </c>
      <c r="K165" s="43" t="inlineStr">
        <is>
          <t>Received</t>
        </is>
      </c>
      <c r="L165" s="17">
        <f>INDEX(Items!$C$2:$C$117,MATCH(B165,Items!$A$2:$A$117,0))</f>
        <v/>
      </c>
      <c r="M165" s="49">
        <f>INDEX(Items!$E$2:$E$117,MATCH(B165,Items!$A$2:$A$117,0))</f>
        <v/>
      </c>
      <c r="N165" s="17">
        <f>TEXT(D165,"yyyy-mm")</f>
        <v/>
      </c>
      <c r="O165" s="50">
        <f>G165*J165</f>
        <v/>
      </c>
      <c r="P165" s="50">
        <f>(J165-M165)*G165</f>
        <v/>
      </c>
      <c r="Q165" s="51">
        <f>IF(K165="Received",1,0)</f>
        <v/>
      </c>
      <c r="R165" s="51">
        <f>IF(Q165=1,F165-D165,0)</f>
        <v/>
      </c>
      <c r="S165" s="51">
        <f>IF(Q165=1,IF(F165&lt;=E165,1,0),0)</f>
        <v/>
      </c>
      <c r="T165" s="51">
        <f>IF(Q165=1,IF(H165&gt;=G165,1,0),0)</f>
        <v/>
      </c>
      <c r="U165" s="51">
        <f>S165*T165</f>
        <v/>
      </c>
      <c r="V165" s="51">
        <f>IF(Q165=1,MAX(0,F165-E165),0)</f>
        <v/>
      </c>
    </row>
    <row r="166">
      <c r="A166" s="43" t="inlineStr">
        <is>
          <t>PO101619</t>
        </is>
      </c>
      <c r="B166" s="43" t="inlineStr">
        <is>
          <t>CMD-0090</t>
        </is>
      </c>
      <c r="C166" s="43" t="inlineStr">
        <is>
          <t>S01</t>
        </is>
      </c>
      <c r="D166" s="47" t="n">
        <v>45602</v>
      </c>
      <c r="E166" s="47" t="n">
        <v>45616</v>
      </c>
      <c r="F166" s="47" t="n">
        <v>45613</v>
      </c>
      <c r="G166" s="46" t="n">
        <v>4289</v>
      </c>
      <c r="H166" s="46" t="n">
        <v>4289</v>
      </c>
      <c r="I166" s="46" t="n">
        <v>7</v>
      </c>
      <c r="J166" s="44" t="n">
        <v>6.99</v>
      </c>
      <c r="K166" s="43" t="inlineStr">
        <is>
          <t>Received</t>
        </is>
      </c>
      <c r="L166" s="17">
        <f>INDEX(Items!$C$2:$C$117,MATCH(B166,Items!$A$2:$A$117,0))</f>
        <v/>
      </c>
      <c r="M166" s="49">
        <f>INDEX(Items!$E$2:$E$117,MATCH(B166,Items!$A$2:$A$117,0))</f>
        <v/>
      </c>
      <c r="N166" s="17">
        <f>TEXT(D166,"yyyy-mm")</f>
        <v/>
      </c>
      <c r="O166" s="50">
        <f>G166*J166</f>
        <v/>
      </c>
      <c r="P166" s="50">
        <f>(J166-M166)*G166</f>
        <v/>
      </c>
      <c r="Q166" s="51">
        <f>IF(K166="Received",1,0)</f>
        <v/>
      </c>
      <c r="R166" s="51">
        <f>IF(Q166=1,F166-D166,0)</f>
        <v/>
      </c>
      <c r="S166" s="51">
        <f>IF(Q166=1,IF(F166&lt;=E166,1,0),0)</f>
        <v/>
      </c>
      <c r="T166" s="51">
        <f>IF(Q166=1,IF(H166&gt;=G166,1,0),0)</f>
        <v/>
      </c>
      <c r="U166" s="51">
        <f>S166*T166</f>
        <v/>
      </c>
      <c r="V166" s="51">
        <f>IF(Q166=1,MAX(0,F166-E166),0)</f>
        <v/>
      </c>
    </row>
    <row r="167">
      <c r="A167" s="43" t="inlineStr">
        <is>
          <t>PO101007</t>
        </is>
      </c>
      <c r="B167" s="43" t="inlineStr">
        <is>
          <t>CMD-0046</t>
        </is>
      </c>
      <c r="C167" s="43" t="inlineStr">
        <is>
          <t>S05</t>
        </is>
      </c>
      <c r="D167" s="47" t="n">
        <v>45602</v>
      </c>
      <c r="E167" s="47" t="n">
        <v>45707</v>
      </c>
      <c r="F167" s="47" t="n">
        <v>45704</v>
      </c>
      <c r="G167" s="46" t="n">
        <v>9006</v>
      </c>
      <c r="H167" s="46" t="n">
        <v>9006</v>
      </c>
      <c r="I167" s="46" t="n">
        <v>172</v>
      </c>
      <c r="J167" s="44" t="n">
        <v>10.57</v>
      </c>
      <c r="K167" s="43" t="inlineStr">
        <is>
          <t>Received</t>
        </is>
      </c>
      <c r="L167" s="17">
        <f>INDEX(Items!$C$2:$C$117,MATCH(B167,Items!$A$2:$A$117,0))</f>
        <v/>
      </c>
      <c r="M167" s="49">
        <f>INDEX(Items!$E$2:$E$117,MATCH(B167,Items!$A$2:$A$117,0))</f>
        <v/>
      </c>
      <c r="N167" s="17">
        <f>TEXT(D167,"yyyy-mm")</f>
        <v/>
      </c>
      <c r="O167" s="50">
        <f>G167*J167</f>
        <v/>
      </c>
      <c r="P167" s="50">
        <f>(J167-M167)*G167</f>
        <v/>
      </c>
      <c r="Q167" s="51">
        <f>IF(K167="Received",1,0)</f>
        <v/>
      </c>
      <c r="R167" s="51">
        <f>IF(Q167=1,F167-D167,0)</f>
        <v/>
      </c>
      <c r="S167" s="51">
        <f>IF(Q167=1,IF(F167&lt;=E167,1,0),0)</f>
        <v/>
      </c>
      <c r="T167" s="51">
        <f>IF(Q167=1,IF(H167&gt;=G167,1,0),0)</f>
        <v/>
      </c>
      <c r="U167" s="51">
        <f>S167*T167</f>
        <v/>
      </c>
      <c r="V167" s="51">
        <f>IF(Q167=1,MAX(0,F167-E167),0)</f>
        <v/>
      </c>
    </row>
    <row r="168">
      <c r="A168" s="43" t="inlineStr">
        <is>
          <t>PO101505</t>
        </is>
      </c>
      <c r="B168" s="43" t="inlineStr">
        <is>
          <t>CMD-0080</t>
        </is>
      </c>
      <c r="C168" s="43" t="inlineStr">
        <is>
          <t>S06</t>
        </is>
      </c>
      <c r="D168" s="47" t="n">
        <v>45602</v>
      </c>
      <c r="E168" s="47" t="n">
        <v>45623</v>
      </c>
      <c r="F168" s="47" t="n">
        <v>45621</v>
      </c>
      <c r="G168" s="46" t="n">
        <v>4457</v>
      </c>
      <c r="H168" s="46" t="n">
        <v>4457</v>
      </c>
      <c r="I168" s="46" t="n">
        <v>21</v>
      </c>
      <c r="J168" s="44" t="n">
        <v>5.53</v>
      </c>
      <c r="K168" s="43" t="inlineStr">
        <is>
          <t>Received</t>
        </is>
      </c>
      <c r="L168" s="17">
        <f>INDEX(Items!$C$2:$C$117,MATCH(B168,Items!$A$2:$A$117,0))</f>
        <v/>
      </c>
      <c r="M168" s="49">
        <f>INDEX(Items!$E$2:$E$117,MATCH(B168,Items!$A$2:$A$117,0))</f>
        <v/>
      </c>
      <c r="N168" s="17">
        <f>TEXT(D168,"yyyy-mm")</f>
        <v/>
      </c>
      <c r="O168" s="50">
        <f>G168*J168</f>
        <v/>
      </c>
      <c r="P168" s="50">
        <f>(J168-M168)*G168</f>
        <v/>
      </c>
      <c r="Q168" s="51">
        <f>IF(K168="Received",1,0)</f>
        <v/>
      </c>
      <c r="R168" s="51">
        <f>IF(Q168=1,F168-D168,0)</f>
        <v/>
      </c>
      <c r="S168" s="51">
        <f>IF(Q168=1,IF(F168&lt;=E168,1,0),0)</f>
        <v/>
      </c>
      <c r="T168" s="51">
        <f>IF(Q168=1,IF(H168&gt;=G168,1,0),0)</f>
        <v/>
      </c>
      <c r="U168" s="51">
        <f>S168*T168</f>
        <v/>
      </c>
      <c r="V168" s="51">
        <f>IF(Q168=1,MAX(0,F168-E168),0)</f>
        <v/>
      </c>
    </row>
    <row r="169">
      <c r="A169" s="43" t="inlineStr">
        <is>
          <t>PO101031</t>
        </is>
      </c>
      <c r="B169" s="43" t="inlineStr">
        <is>
          <t>CMD-0047</t>
        </is>
      </c>
      <c r="C169" s="43" t="inlineStr">
        <is>
          <t>S04</t>
        </is>
      </c>
      <c r="D169" s="47" t="n">
        <v>45602</v>
      </c>
      <c r="E169" s="47" t="n">
        <v>45637</v>
      </c>
      <c r="F169" s="47" t="n">
        <v>45634</v>
      </c>
      <c r="G169" s="46" t="n">
        <v>16365</v>
      </c>
      <c r="H169" s="46" t="n">
        <v>16365</v>
      </c>
      <c r="I169" s="46" t="n">
        <v>154</v>
      </c>
      <c r="J169" s="44" t="n">
        <v>0.296</v>
      </c>
      <c r="K169" s="43" t="inlineStr">
        <is>
          <t>Received</t>
        </is>
      </c>
      <c r="L169" s="17">
        <f>INDEX(Items!$C$2:$C$117,MATCH(B169,Items!$A$2:$A$117,0))</f>
        <v/>
      </c>
      <c r="M169" s="49">
        <f>INDEX(Items!$E$2:$E$117,MATCH(B169,Items!$A$2:$A$117,0))</f>
        <v/>
      </c>
      <c r="N169" s="17">
        <f>TEXT(D169,"yyyy-mm")</f>
        <v/>
      </c>
      <c r="O169" s="50">
        <f>G169*J169</f>
        <v/>
      </c>
      <c r="P169" s="50">
        <f>(J169-M169)*G169</f>
        <v/>
      </c>
      <c r="Q169" s="51">
        <f>IF(K169="Received",1,0)</f>
        <v/>
      </c>
      <c r="R169" s="51">
        <f>IF(Q169=1,F169-D169,0)</f>
        <v/>
      </c>
      <c r="S169" s="51">
        <f>IF(Q169=1,IF(F169&lt;=E169,1,0),0)</f>
        <v/>
      </c>
      <c r="T169" s="51">
        <f>IF(Q169=1,IF(H169&gt;=G169,1,0),0)</f>
        <v/>
      </c>
      <c r="U169" s="51">
        <f>S169*T169</f>
        <v/>
      </c>
      <c r="V169" s="51">
        <f>IF(Q169=1,MAX(0,F169-E169),0)</f>
        <v/>
      </c>
    </row>
    <row r="170">
      <c r="A170" s="43" t="inlineStr">
        <is>
          <t>PO101159</t>
        </is>
      </c>
      <c r="B170" s="43" t="inlineStr">
        <is>
          <t>CMD-0054</t>
        </is>
      </c>
      <c r="C170" s="43" t="inlineStr">
        <is>
          <t>S10</t>
        </is>
      </c>
      <c r="D170" s="47" t="n">
        <v>45602</v>
      </c>
      <c r="E170" s="47" t="n">
        <v>45630</v>
      </c>
      <c r="F170" s="47" t="n">
        <v>45627</v>
      </c>
      <c r="G170" s="46" t="n">
        <v>49293</v>
      </c>
      <c r="H170" s="46" t="n">
        <v>49293</v>
      </c>
      <c r="I170" s="46" t="n">
        <v>43</v>
      </c>
      <c r="J170" s="44" t="n">
        <v>0.1687</v>
      </c>
      <c r="K170" s="43" t="inlineStr">
        <is>
          <t>Received</t>
        </is>
      </c>
      <c r="L170" s="17">
        <f>INDEX(Items!$C$2:$C$117,MATCH(B170,Items!$A$2:$A$117,0))</f>
        <v/>
      </c>
      <c r="M170" s="49">
        <f>INDEX(Items!$E$2:$E$117,MATCH(B170,Items!$A$2:$A$117,0))</f>
        <v/>
      </c>
      <c r="N170" s="17">
        <f>TEXT(D170,"yyyy-mm")</f>
        <v/>
      </c>
      <c r="O170" s="50">
        <f>G170*J170</f>
        <v/>
      </c>
      <c r="P170" s="50">
        <f>(J170-M170)*G170</f>
        <v/>
      </c>
      <c r="Q170" s="51">
        <f>IF(K170="Received",1,0)</f>
        <v/>
      </c>
      <c r="R170" s="51">
        <f>IF(Q170=1,F170-D170,0)</f>
        <v/>
      </c>
      <c r="S170" s="51">
        <f>IF(Q170=1,IF(F170&lt;=E170,1,0),0)</f>
        <v/>
      </c>
      <c r="T170" s="51">
        <f>IF(Q170=1,IF(H170&gt;=G170,1,0),0)</f>
        <v/>
      </c>
      <c r="U170" s="51">
        <f>S170*T170</f>
        <v/>
      </c>
      <c r="V170" s="51">
        <f>IF(Q170=1,MAX(0,F170-E170),0)</f>
        <v/>
      </c>
    </row>
    <row r="171">
      <c r="A171" s="43" t="inlineStr">
        <is>
          <t>PO100747</t>
        </is>
      </c>
      <c r="B171" s="43" t="inlineStr">
        <is>
          <t>CMD-0034</t>
        </is>
      </c>
      <c r="C171" s="43" t="inlineStr">
        <is>
          <t>S04</t>
        </is>
      </c>
      <c r="D171" s="47" t="n">
        <v>45603</v>
      </c>
      <c r="E171" s="47" t="n">
        <v>45645</v>
      </c>
      <c r="F171" s="47" t="n">
        <v>45643</v>
      </c>
      <c r="G171" s="46" t="n">
        <v>555</v>
      </c>
      <c r="H171" s="46" t="n">
        <v>555</v>
      </c>
      <c r="I171" s="46" t="n">
        <v>9</v>
      </c>
      <c r="J171" s="44" t="n">
        <v>10.55</v>
      </c>
      <c r="K171" s="43" t="inlineStr">
        <is>
          <t>Received</t>
        </is>
      </c>
      <c r="L171" s="17">
        <f>INDEX(Items!$C$2:$C$117,MATCH(B171,Items!$A$2:$A$117,0))</f>
        <v/>
      </c>
      <c r="M171" s="49">
        <f>INDEX(Items!$E$2:$E$117,MATCH(B171,Items!$A$2:$A$117,0))</f>
        <v/>
      </c>
      <c r="N171" s="17">
        <f>TEXT(D171,"yyyy-mm")</f>
        <v/>
      </c>
      <c r="O171" s="50">
        <f>G171*J171</f>
        <v/>
      </c>
      <c r="P171" s="50">
        <f>(J171-M171)*G171</f>
        <v/>
      </c>
      <c r="Q171" s="51">
        <f>IF(K171="Received",1,0)</f>
        <v/>
      </c>
      <c r="R171" s="51">
        <f>IF(Q171=1,F171-D171,0)</f>
        <v/>
      </c>
      <c r="S171" s="51">
        <f>IF(Q171=1,IF(F171&lt;=E171,1,0),0)</f>
        <v/>
      </c>
      <c r="T171" s="51">
        <f>IF(Q171=1,IF(H171&gt;=G171,1,0),0)</f>
        <v/>
      </c>
      <c r="U171" s="51">
        <f>S171*T171</f>
        <v/>
      </c>
      <c r="V171" s="51">
        <f>IF(Q171=1,MAX(0,F171-E171),0)</f>
        <v/>
      </c>
    </row>
    <row r="172">
      <c r="A172" s="43" t="inlineStr">
        <is>
          <t>PO100049</t>
        </is>
      </c>
      <c r="B172" s="43" t="inlineStr">
        <is>
          <t>CMD-0003</t>
        </is>
      </c>
      <c r="C172" s="43" t="inlineStr">
        <is>
          <t>S11</t>
        </is>
      </c>
      <c r="D172" s="47" t="n">
        <v>45603</v>
      </c>
      <c r="E172" s="47" t="n">
        <v>45722</v>
      </c>
      <c r="F172" s="47" t="n">
        <v>45722</v>
      </c>
      <c r="G172" s="46" t="n">
        <v>7098</v>
      </c>
      <c r="H172" s="46" t="n">
        <v>7098</v>
      </c>
      <c r="I172" s="46" t="n">
        <v>22</v>
      </c>
      <c r="J172" s="44" t="n">
        <v>21.49</v>
      </c>
      <c r="K172" s="43" t="inlineStr">
        <is>
          <t>Received</t>
        </is>
      </c>
      <c r="L172" s="17">
        <f>INDEX(Items!$C$2:$C$117,MATCH(B172,Items!$A$2:$A$117,0))</f>
        <v/>
      </c>
      <c r="M172" s="49">
        <f>INDEX(Items!$E$2:$E$117,MATCH(B172,Items!$A$2:$A$117,0))</f>
        <v/>
      </c>
      <c r="N172" s="17">
        <f>TEXT(D172,"yyyy-mm")</f>
        <v/>
      </c>
      <c r="O172" s="50">
        <f>G172*J172</f>
        <v/>
      </c>
      <c r="P172" s="50">
        <f>(J172-M172)*G172</f>
        <v/>
      </c>
      <c r="Q172" s="51">
        <f>IF(K172="Received",1,0)</f>
        <v/>
      </c>
      <c r="R172" s="51">
        <f>IF(Q172=1,F172-D172,0)</f>
        <v/>
      </c>
      <c r="S172" s="51">
        <f>IF(Q172=1,IF(F172&lt;=E172,1,0),0)</f>
        <v/>
      </c>
      <c r="T172" s="51">
        <f>IF(Q172=1,IF(H172&gt;=G172,1,0),0)</f>
        <v/>
      </c>
      <c r="U172" s="51">
        <f>S172*T172</f>
        <v/>
      </c>
      <c r="V172" s="51">
        <f>IF(Q172=1,MAX(0,F172-E172),0)</f>
        <v/>
      </c>
    </row>
    <row r="173">
      <c r="A173" s="43" t="inlineStr">
        <is>
          <t>PO101533</t>
        </is>
      </c>
      <c r="B173" s="43" t="inlineStr">
        <is>
          <t>CMD-0082</t>
        </is>
      </c>
      <c r="C173" s="43" t="inlineStr">
        <is>
          <t>S01</t>
        </is>
      </c>
      <c r="D173" s="47" t="n">
        <v>45603</v>
      </c>
      <c r="E173" s="47" t="n">
        <v>45617</v>
      </c>
      <c r="F173" s="47" t="n">
        <v>45620</v>
      </c>
      <c r="G173" s="46" t="n">
        <v>9595</v>
      </c>
      <c r="H173" s="46" t="n">
        <v>9595</v>
      </c>
      <c r="I173" s="46" t="n">
        <v>19</v>
      </c>
      <c r="J173" s="44" t="n">
        <v>2.32</v>
      </c>
      <c r="K173" s="43" t="inlineStr">
        <is>
          <t>Received</t>
        </is>
      </c>
      <c r="L173" s="17">
        <f>INDEX(Items!$C$2:$C$117,MATCH(B173,Items!$A$2:$A$117,0))</f>
        <v/>
      </c>
      <c r="M173" s="49">
        <f>INDEX(Items!$E$2:$E$117,MATCH(B173,Items!$A$2:$A$117,0))</f>
        <v/>
      </c>
      <c r="N173" s="17">
        <f>TEXT(D173,"yyyy-mm")</f>
        <v/>
      </c>
      <c r="O173" s="50">
        <f>G173*J173</f>
        <v/>
      </c>
      <c r="P173" s="50">
        <f>(J173-M173)*G173</f>
        <v/>
      </c>
      <c r="Q173" s="51">
        <f>IF(K173="Received",1,0)</f>
        <v/>
      </c>
      <c r="R173" s="51">
        <f>IF(Q173=1,F173-D173,0)</f>
        <v/>
      </c>
      <c r="S173" s="51">
        <f>IF(Q173=1,IF(F173&lt;=E173,1,0),0)</f>
        <v/>
      </c>
      <c r="T173" s="51">
        <f>IF(Q173=1,IF(H173&gt;=G173,1,0),0)</f>
        <v/>
      </c>
      <c r="U173" s="51">
        <f>S173*T173</f>
        <v/>
      </c>
      <c r="V173" s="51">
        <f>IF(Q173=1,MAX(0,F173-E173),0)</f>
        <v/>
      </c>
    </row>
    <row r="174">
      <c r="A174" s="43" t="inlineStr">
        <is>
          <t>PO100169</t>
        </is>
      </c>
      <c r="B174" s="43" t="inlineStr">
        <is>
          <t>CMD-0008</t>
        </is>
      </c>
      <c r="C174" s="43" t="inlineStr">
        <is>
          <t>S03</t>
        </is>
      </c>
      <c r="D174" s="47" t="n">
        <v>45604</v>
      </c>
      <c r="E174" s="47" t="n">
        <v>45737</v>
      </c>
      <c r="F174" s="47" t="n">
        <v>45735</v>
      </c>
      <c r="G174" s="46" t="n">
        <v>1376</v>
      </c>
      <c r="H174" s="46" t="n">
        <v>1376</v>
      </c>
      <c r="I174" s="46" t="n">
        <v>5</v>
      </c>
      <c r="J174" s="44" t="n">
        <v>23.66</v>
      </c>
      <c r="K174" s="43" t="inlineStr">
        <is>
          <t>Received</t>
        </is>
      </c>
      <c r="L174" s="17">
        <f>INDEX(Items!$C$2:$C$117,MATCH(B174,Items!$A$2:$A$117,0))</f>
        <v/>
      </c>
      <c r="M174" s="49">
        <f>INDEX(Items!$E$2:$E$117,MATCH(B174,Items!$A$2:$A$117,0))</f>
        <v/>
      </c>
      <c r="N174" s="17">
        <f>TEXT(D174,"yyyy-mm")</f>
        <v/>
      </c>
      <c r="O174" s="50">
        <f>G174*J174</f>
        <v/>
      </c>
      <c r="P174" s="50">
        <f>(J174-M174)*G174</f>
        <v/>
      </c>
      <c r="Q174" s="51">
        <f>IF(K174="Received",1,0)</f>
        <v/>
      </c>
      <c r="R174" s="51">
        <f>IF(Q174=1,F174-D174,0)</f>
        <v/>
      </c>
      <c r="S174" s="51">
        <f>IF(Q174=1,IF(F174&lt;=E174,1,0),0)</f>
        <v/>
      </c>
      <c r="T174" s="51">
        <f>IF(Q174=1,IF(H174&gt;=G174,1,0),0)</f>
        <v/>
      </c>
      <c r="U174" s="51">
        <f>S174*T174</f>
        <v/>
      </c>
      <c r="V174" s="51">
        <f>IF(Q174=1,MAX(0,F174-E174),0)</f>
        <v/>
      </c>
    </row>
    <row r="175">
      <c r="A175" s="43" t="inlineStr">
        <is>
          <t>PO100795</t>
        </is>
      </c>
      <c r="B175" s="43" t="inlineStr">
        <is>
          <t>CMD-0036</t>
        </is>
      </c>
      <c r="C175" s="43" t="inlineStr">
        <is>
          <t>S04</t>
        </is>
      </c>
      <c r="D175" s="47" t="n">
        <v>45604</v>
      </c>
      <c r="E175" s="47" t="n">
        <v>45646</v>
      </c>
      <c r="F175" s="47" t="n">
        <v>45654</v>
      </c>
      <c r="G175" s="46" t="n">
        <v>520</v>
      </c>
      <c r="H175" s="46" t="n">
        <v>520</v>
      </c>
      <c r="I175" s="46" t="n">
        <v>10</v>
      </c>
      <c r="J175" s="44" t="n">
        <v>12.36</v>
      </c>
      <c r="K175" s="43" t="inlineStr">
        <is>
          <t>Received</t>
        </is>
      </c>
      <c r="L175" s="17">
        <f>INDEX(Items!$C$2:$C$117,MATCH(B175,Items!$A$2:$A$117,0))</f>
        <v/>
      </c>
      <c r="M175" s="49">
        <f>INDEX(Items!$E$2:$E$117,MATCH(B175,Items!$A$2:$A$117,0))</f>
        <v/>
      </c>
      <c r="N175" s="17">
        <f>TEXT(D175,"yyyy-mm")</f>
        <v/>
      </c>
      <c r="O175" s="50">
        <f>G175*J175</f>
        <v/>
      </c>
      <c r="P175" s="50">
        <f>(J175-M175)*G175</f>
        <v/>
      </c>
      <c r="Q175" s="51">
        <f>IF(K175="Received",1,0)</f>
        <v/>
      </c>
      <c r="R175" s="51">
        <f>IF(Q175=1,F175-D175,0)</f>
        <v/>
      </c>
      <c r="S175" s="51">
        <f>IF(Q175=1,IF(F175&lt;=E175,1,0),0)</f>
        <v/>
      </c>
      <c r="T175" s="51">
        <f>IF(Q175=1,IF(H175&gt;=G175,1,0),0)</f>
        <v/>
      </c>
      <c r="U175" s="51">
        <f>S175*T175</f>
        <v/>
      </c>
      <c r="V175" s="51">
        <f>IF(Q175=1,MAX(0,F175-E175),0)</f>
        <v/>
      </c>
    </row>
    <row r="176">
      <c r="A176" s="43" t="inlineStr">
        <is>
          <t>PO101397</t>
        </is>
      </c>
      <c r="B176" s="43" t="inlineStr">
        <is>
          <t>CMD-0074</t>
        </is>
      </c>
      <c r="C176" s="43" t="inlineStr">
        <is>
          <t>S10</t>
        </is>
      </c>
      <c r="D176" s="47" t="n">
        <v>45604</v>
      </c>
      <c r="E176" s="47" t="n">
        <v>45632</v>
      </c>
      <c r="F176" s="47" t="n">
        <v>45631</v>
      </c>
      <c r="G176" s="46" t="n">
        <v>49457</v>
      </c>
      <c r="H176" s="46" t="n">
        <v>49457</v>
      </c>
      <c r="I176" s="46" t="n">
        <v>54</v>
      </c>
      <c r="J176" s="44" t="n">
        <v>0.3496</v>
      </c>
      <c r="K176" s="43" t="inlineStr">
        <is>
          <t>Received</t>
        </is>
      </c>
      <c r="L176" s="17">
        <f>INDEX(Items!$C$2:$C$117,MATCH(B176,Items!$A$2:$A$117,0))</f>
        <v/>
      </c>
      <c r="M176" s="49">
        <f>INDEX(Items!$E$2:$E$117,MATCH(B176,Items!$A$2:$A$117,0))</f>
        <v/>
      </c>
      <c r="N176" s="17">
        <f>TEXT(D176,"yyyy-mm")</f>
        <v/>
      </c>
      <c r="O176" s="50">
        <f>G176*J176</f>
        <v/>
      </c>
      <c r="P176" s="50">
        <f>(J176-M176)*G176</f>
        <v/>
      </c>
      <c r="Q176" s="51">
        <f>IF(K176="Received",1,0)</f>
        <v/>
      </c>
      <c r="R176" s="51">
        <f>IF(Q176=1,F176-D176,0)</f>
        <v/>
      </c>
      <c r="S176" s="51">
        <f>IF(Q176=1,IF(F176&lt;=E176,1,0),0)</f>
        <v/>
      </c>
      <c r="T176" s="51">
        <f>IF(Q176=1,IF(H176&gt;=G176,1,0),0)</f>
        <v/>
      </c>
      <c r="U176" s="51">
        <f>S176*T176</f>
        <v/>
      </c>
      <c r="V176" s="51">
        <f>IF(Q176=1,MAX(0,F176-E176),0)</f>
        <v/>
      </c>
    </row>
    <row r="177">
      <c r="A177" s="43" t="inlineStr">
        <is>
          <t>PO101869</t>
        </is>
      </c>
      <c r="B177" s="43" t="inlineStr">
        <is>
          <t>CMD-0102</t>
        </is>
      </c>
      <c r="C177" s="43" t="inlineStr">
        <is>
          <t>S09</t>
        </is>
      </c>
      <c r="D177" s="47" t="n">
        <v>45604</v>
      </c>
      <c r="E177" s="47" t="n">
        <v>45625</v>
      </c>
      <c r="F177" s="47" t="n">
        <v>45624</v>
      </c>
      <c r="G177" s="46" t="n">
        <v>2140</v>
      </c>
      <c r="H177" s="46" t="n">
        <v>2140</v>
      </c>
      <c r="I177" s="46" t="n">
        <v>7</v>
      </c>
      <c r="J177" s="44" t="n">
        <v>6.71</v>
      </c>
      <c r="K177" s="43" t="inlineStr">
        <is>
          <t>Received</t>
        </is>
      </c>
      <c r="L177" s="17">
        <f>INDEX(Items!$C$2:$C$117,MATCH(B177,Items!$A$2:$A$117,0))</f>
        <v/>
      </c>
      <c r="M177" s="49">
        <f>INDEX(Items!$E$2:$E$117,MATCH(B177,Items!$A$2:$A$117,0))</f>
        <v/>
      </c>
      <c r="N177" s="17">
        <f>TEXT(D177,"yyyy-mm")</f>
        <v/>
      </c>
      <c r="O177" s="50">
        <f>G177*J177</f>
        <v/>
      </c>
      <c r="P177" s="50">
        <f>(J177-M177)*G177</f>
        <v/>
      </c>
      <c r="Q177" s="51">
        <f>IF(K177="Received",1,0)</f>
        <v/>
      </c>
      <c r="R177" s="51">
        <f>IF(Q177=1,F177-D177,0)</f>
        <v/>
      </c>
      <c r="S177" s="51">
        <f>IF(Q177=1,IF(F177&lt;=E177,1,0),0)</f>
        <v/>
      </c>
      <c r="T177" s="51">
        <f>IF(Q177=1,IF(H177&gt;=G177,1,0),0)</f>
        <v/>
      </c>
      <c r="U177" s="51">
        <f>S177*T177</f>
        <v/>
      </c>
      <c r="V177" s="51">
        <f>IF(Q177=1,MAX(0,F177-E177),0)</f>
        <v/>
      </c>
    </row>
    <row r="178">
      <c r="A178" s="43" t="inlineStr">
        <is>
          <t>PO100819</t>
        </is>
      </c>
      <c r="B178" s="43" t="inlineStr">
        <is>
          <t>CMD-0037</t>
        </is>
      </c>
      <c r="C178" s="43" t="inlineStr">
        <is>
          <t>S07</t>
        </is>
      </c>
      <c r="D178" s="47" t="n">
        <v>45605</v>
      </c>
      <c r="E178" s="47" t="n">
        <v>45647</v>
      </c>
      <c r="F178" s="47" t="n">
        <v>45646</v>
      </c>
      <c r="G178" s="46" t="n">
        <v>415</v>
      </c>
      <c r="H178" s="46" t="n">
        <v>415</v>
      </c>
      <c r="I178" s="46" t="n">
        <v>2</v>
      </c>
      <c r="J178" s="44" t="n">
        <v>53.62</v>
      </c>
      <c r="K178" s="43" t="inlineStr">
        <is>
          <t>Received</t>
        </is>
      </c>
      <c r="L178" s="17">
        <f>INDEX(Items!$C$2:$C$117,MATCH(B178,Items!$A$2:$A$117,0))</f>
        <v/>
      </c>
      <c r="M178" s="49">
        <f>INDEX(Items!$E$2:$E$117,MATCH(B178,Items!$A$2:$A$117,0))</f>
        <v/>
      </c>
      <c r="N178" s="17">
        <f>TEXT(D178,"yyyy-mm")</f>
        <v/>
      </c>
      <c r="O178" s="50">
        <f>G178*J178</f>
        <v/>
      </c>
      <c r="P178" s="50">
        <f>(J178-M178)*G178</f>
        <v/>
      </c>
      <c r="Q178" s="51">
        <f>IF(K178="Received",1,0)</f>
        <v/>
      </c>
      <c r="R178" s="51">
        <f>IF(Q178=1,F178-D178,0)</f>
        <v/>
      </c>
      <c r="S178" s="51">
        <f>IF(Q178=1,IF(F178&lt;=E178,1,0),0)</f>
        <v/>
      </c>
      <c r="T178" s="51">
        <f>IF(Q178=1,IF(H178&gt;=G178,1,0),0)</f>
        <v/>
      </c>
      <c r="U178" s="51">
        <f>S178*T178</f>
        <v/>
      </c>
      <c r="V178" s="51">
        <f>IF(Q178=1,MAX(0,F178-E178),0)</f>
        <v/>
      </c>
    </row>
    <row r="179">
      <c r="A179" s="43" t="inlineStr">
        <is>
          <t>PO101433</t>
        </is>
      </c>
      <c r="B179" s="43" t="inlineStr">
        <is>
          <t>CMD-0077</t>
        </is>
      </c>
      <c r="C179" s="43" t="inlineStr">
        <is>
          <t>S01</t>
        </is>
      </c>
      <c r="D179" s="47" t="n">
        <v>45605</v>
      </c>
      <c r="E179" s="47" t="n">
        <v>45619</v>
      </c>
      <c r="F179" s="47" t="n">
        <v>45617</v>
      </c>
      <c r="G179" s="46" t="n">
        <v>3275</v>
      </c>
      <c r="H179" s="46" t="n">
        <v>3275</v>
      </c>
      <c r="I179" s="46" t="n">
        <v>7</v>
      </c>
      <c r="J179" s="44" t="n">
        <v>8.75</v>
      </c>
      <c r="K179" s="43" t="inlineStr">
        <is>
          <t>Received</t>
        </is>
      </c>
      <c r="L179" s="17">
        <f>INDEX(Items!$C$2:$C$117,MATCH(B179,Items!$A$2:$A$117,0))</f>
        <v/>
      </c>
      <c r="M179" s="49">
        <f>INDEX(Items!$E$2:$E$117,MATCH(B179,Items!$A$2:$A$117,0))</f>
        <v/>
      </c>
      <c r="N179" s="17">
        <f>TEXT(D179,"yyyy-mm")</f>
        <v/>
      </c>
      <c r="O179" s="50">
        <f>G179*J179</f>
        <v/>
      </c>
      <c r="P179" s="50">
        <f>(J179-M179)*G179</f>
        <v/>
      </c>
      <c r="Q179" s="51">
        <f>IF(K179="Received",1,0)</f>
        <v/>
      </c>
      <c r="R179" s="51">
        <f>IF(Q179=1,F179-D179,0)</f>
        <v/>
      </c>
      <c r="S179" s="51">
        <f>IF(Q179=1,IF(F179&lt;=E179,1,0),0)</f>
        <v/>
      </c>
      <c r="T179" s="51">
        <f>IF(Q179=1,IF(H179&gt;=G179,1,0),0)</f>
        <v/>
      </c>
      <c r="U179" s="51">
        <f>S179*T179</f>
        <v/>
      </c>
      <c r="V179" s="51">
        <f>IF(Q179=1,MAX(0,F179-E179),0)</f>
        <v/>
      </c>
    </row>
    <row r="180">
      <c r="A180" s="43" t="inlineStr">
        <is>
          <t>PO100723</t>
        </is>
      </c>
      <c r="B180" s="43" t="inlineStr">
        <is>
          <t>CMD-0033</t>
        </is>
      </c>
      <c r="C180" s="43" t="inlineStr">
        <is>
          <t>S07</t>
        </is>
      </c>
      <c r="D180" s="47" t="n">
        <v>45605</v>
      </c>
      <c r="E180" s="47" t="n">
        <v>45647</v>
      </c>
      <c r="F180" s="47" t="n">
        <v>45669</v>
      </c>
      <c r="G180" s="46" t="n">
        <v>3713</v>
      </c>
      <c r="H180" s="46" t="n">
        <v>3713</v>
      </c>
      <c r="I180" s="46" t="n">
        <v>42</v>
      </c>
      <c r="J180" s="44" t="n">
        <v>58.36</v>
      </c>
      <c r="K180" s="43" t="inlineStr">
        <is>
          <t>Received</t>
        </is>
      </c>
      <c r="L180" s="17">
        <f>INDEX(Items!$C$2:$C$117,MATCH(B180,Items!$A$2:$A$117,0))</f>
        <v/>
      </c>
      <c r="M180" s="49">
        <f>INDEX(Items!$E$2:$E$117,MATCH(B180,Items!$A$2:$A$117,0))</f>
        <v/>
      </c>
      <c r="N180" s="17">
        <f>TEXT(D180,"yyyy-mm")</f>
        <v/>
      </c>
      <c r="O180" s="50">
        <f>G180*J180</f>
        <v/>
      </c>
      <c r="P180" s="50">
        <f>(J180-M180)*G180</f>
        <v/>
      </c>
      <c r="Q180" s="51">
        <f>IF(K180="Received",1,0)</f>
        <v/>
      </c>
      <c r="R180" s="51">
        <f>IF(Q180=1,F180-D180,0)</f>
        <v/>
      </c>
      <c r="S180" s="51">
        <f>IF(Q180=1,IF(F180&lt;=E180,1,0),0)</f>
        <v/>
      </c>
      <c r="T180" s="51">
        <f>IF(Q180=1,IF(H180&gt;=G180,1,0),0)</f>
        <v/>
      </c>
      <c r="U180" s="51">
        <f>S180*T180</f>
        <v/>
      </c>
      <c r="V180" s="51">
        <f>IF(Q180=1,MAX(0,F180-E180),0)</f>
        <v/>
      </c>
    </row>
    <row r="181">
      <c r="A181" s="43" t="inlineStr">
        <is>
          <t>PO100959</t>
        </is>
      </c>
      <c r="B181" s="43" t="inlineStr">
        <is>
          <t>CMD-0044</t>
        </is>
      </c>
      <c r="C181" s="43" t="inlineStr">
        <is>
          <t>S05</t>
        </is>
      </c>
      <c r="D181" s="47" t="n">
        <v>45605</v>
      </c>
      <c r="E181" s="47" t="n">
        <v>45710</v>
      </c>
      <c r="F181" s="47" t="n">
        <v>45714</v>
      </c>
      <c r="G181" s="46" t="n">
        <v>5316</v>
      </c>
      <c r="H181" s="46" t="n">
        <v>5316</v>
      </c>
      <c r="I181" s="46" t="n">
        <v>91</v>
      </c>
      <c r="J181" s="44" t="n">
        <v>11.57</v>
      </c>
      <c r="K181" s="43" t="inlineStr">
        <is>
          <t>Received</t>
        </is>
      </c>
      <c r="L181" s="17">
        <f>INDEX(Items!$C$2:$C$117,MATCH(B181,Items!$A$2:$A$117,0))</f>
        <v/>
      </c>
      <c r="M181" s="49">
        <f>INDEX(Items!$E$2:$E$117,MATCH(B181,Items!$A$2:$A$117,0))</f>
        <v/>
      </c>
      <c r="N181" s="17">
        <f>TEXT(D181,"yyyy-mm")</f>
        <v/>
      </c>
      <c r="O181" s="50">
        <f>G181*J181</f>
        <v/>
      </c>
      <c r="P181" s="50">
        <f>(J181-M181)*G181</f>
        <v/>
      </c>
      <c r="Q181" s="51">
        <f>IF(K181="Received",1,0)</f>
        <v/>
      </c>
      <c r="R181" s="51">
        <f>IF(Q181=1,F181-D181,0)</f>
        <v/>
      </c>
      <c r="S181" s="51">
        <f>IF(Q181=1,IF(F181&lt;=E181,1,0),0)</f>
        <v/>
      </c>
      <c r="T181" s="51">
        <f>IF(Q181=1,IF(H181&gt;=G181,1,0),0)</f>
        <v/>
      </c>
      <c r="U181" s="51">
        <f>S181*T181</f>
        <v/>
      </c>
      <c r="V181" s="51">
        <f>IF(Q181=1,MAX(0,F181-E181),0)</f>
        <v/>
      </c>
    </row>
    <row r="182">
      <c r="A182" s="43" t="inlineStr">
        <is>
          <t>PO100389</t>
        </is>
      </c>
      <c r="B182" s="43" t="inlineStr">
        <is>
          <t>CMD-0018</t>
        </is>
      </c>
      <c r="C182" s="43" t="inlineStr">
        <is>
          <t>S02</t>
        </is>
      </c>
      <c r="D182" s="47" t="n">
        <v>45605</v>
      </c>
      <c r="E182" s="47" t="n">
        <v>45661</v>
      </c>
      <c r="F182" s="47" t="n">
        <v>45661</v>
      </c>
      <c r="G182" s="46" t="n">
        <v>6763</v>
      </c>
      <c r="H182" s="46" t="n">
        <v>6763</v>
      </c>
      <c r="I182" s="46" t="n">
        <v>22</v>
      </c>
      <c r="J182" s="44" t="n">
        <v>37.92</v>
      </c>
      <c r="K182" s="43" t="inlineStr">
        <is>
          <t>Received</t>
        </is>
      </c>
      <c r="L182" s="17">
        <f>INDEX(Items!$C$2:$C$117,MATCH(B182,Items!$A$2:$A$117,0))</f>
        <v/>
      </c>
      <c r="M182" s="49">
        <f>INDEX(Items!$E$2:$E$117,MATCH(B182,Items!$A$2:$A$117,0))</f>
        <v/>
      </c>
      <c r="N182" s="17">
        <f>TEXT(D182,"yyyy-mm")</f>
        <v/>
      </c>
      <c r="O182" s="50">
        <f>G182*J182</f>
        <v/>
      </c>
      <c r="P182" s="50">
        <f>(J182-M182)*G182</f>
        <v/>
      </c>
      <c r="Q182" s="51">
        <f>IF(K182="Received",1,0)</f>
        <v/>
      </c>
      <c r="R182" s="51">
        <f>IF(Q182=1,F182-D182,0)</f>
        <v/>
      </c>
      <c r="S182" s="51">
        <f>IF(Q182=1,IF(F182&lt;=E182,1,0),0)</f>
        <v/>
      </c>
      <c r="T182" s="51">
        <f>IF(Q182=1,IF(H182&gt;=G182,1,0),0)</f>
        <v/>
      </c>
      <c r="U182" s="51">
        <f>S182*T182</f>
        <v/>
      </c>
      <c r="V182" s="51">
        <f>IF(Q182=1,MAX(0,F182-E182),0)</f>
        <v/>
      </c>
    </row>
    <row r="183">
      <c r="A183" s="43" t="inlineStr">
        <is>
          <t>PO100617</t>
        </is>
      </c>
      <c r="B183" s="43" t="inlineStr">
        <is>
          <t>CMD-0028</t>
        </is>
      </c>
      <c r="C183" s="43" t="inlineStr">
        <is>
          <t>S11</t>
        </is>
      </c>
      <c r="D183" s="47" t="n">
        <v>45605</v>
      </c>
      <c r="E183" s="47" t="n">
        <v>45682</v>
      </c>
      <c r="F183" s="47" t="n">
        <v>45682</v>
      </c>
      <c r="G183" s="46" t="n">
        <v>3559</v>
      </c>
      <c r="H183" s="46" t="n">
        <v>3559</v>
      </c>
      <c r="I183" s="46" t="n">
        <v>10</v>
      </c>
      <c r="J183" s="44" t="n">
        <v>15.84</v>
      </c>
      <c r="K183" s="43" t="inlineStr">
        <is>
          <t>Received</t>
        </is>
      </c>
      <c r="L183" s="17">
        <f>INDEX(Items!$C$2:$C$117,MATCH(B183,Items!$A$2:$A$117,0))</f>
        <v/>
      </c>
      <c r="M183" s="49">
        <f>INDEX(Items!$E$2:$E$117,MATCH(B183,Items!$A$2:$A$117,0))</f>
        <v/>
      </c>
      <c r="N183" s="17">
        <f>TEXT(D183,"yyyy-mm")</f>
        <v/>
      </c>
      <c r="O183" s="50">
        <f>G183*J183</f>
        <v/>
      </c>
      <c r="P183" s="50">
        <f>(J183-M183)*G183</f>
        <v/>
      </c>
      <c r="Q183" s="51">
        <f>IF(K183="Received",1,0)</f>
        <v/>
      </c>
      <c r="R183" s="51">
        <f>IF(Q183=1,F183-D183,0)</f>
        <v/>
      </c>
      <c r="S183" s="51">
        <f>IF(Q183=1,IF(F183&lt;=E183,1,0),0)</f>
        <v/>
      </c>
      <c r="T183" s="51">
        <f>IF(Q183=1,IF(H183&gt;=G183,1,0),0)</f>
        <v/>
      </c>
      <c r="U183" s="51">
        <f>S183*T183</f>
        <v/>
      </c>
      <c r="V183" s="51">
        <f>IF(Q183=1,MAX(0,F183-E183),0)</f>
        <v/>
      </c>
    </row>
    <row r="184">
      <c r="A184" s="43" t="inlineStr">
        <is>
          <t>PO100145</t>
        </is>
      </c>
      <c r="B184" s="43" t="inlineStr">
        <is>
          <t>CMD-0007</t>
        </is>
      </c>
      <c r="C184" s="43" t="inlineStr">
        <is>
          <t>S03</t>
        </is>
      </c>
      <c r="D184" s="47" t="n">
        <v>45605</v>
      </c>
      <c r="E184" s="47" t="n">
        <v>45738</v>
      </c>
      <c r="F184" s="47" t="n">
        <v>45745</v>
      </c>
      <c r="G184" s="46" t="n">
        <v>4840</v>
      </c>
      <c r="H184" s="46" t="n">
        <v>4840</v>
      </c>
      <c r="I184" s="46" t="n">
        <v>29</v>
      </c>
      <c r="J184" s="44" t="n">
        <v>19.39</v>
      </c>
      <c r="K184" s="43" t="inlineStr">
        <is>
          <t>Received</t>
        </is>
      </c>
      <c r="L184" s="17">
        <f>INDEX(Items!$C$2:$C$117,MATCH(B184,Items!$A$2:$A$117,0))</f>
        <v/>
      </c>
      <c r="M184" s="49">
        <f>INDEX(Items!$E$2:$E$117,MATCH(B184,Items!$A$2:$A$117,0))</f>
        <v/>
      </c>
      <c r="N184" s="17">
        <f>TEXT(D184,"yyyy-mm")</f>
        <v/>
      </c>
      <c r="O184" s="50">
        <f>G184*J184</f>
        <v/>
      </c>
      <c r="P184" s="50">
        <f>(J184-M184)*G184</f>
        <v/>
      </c>
      <c r="Q184" s="51">
        <f>IF(K184="Received",1,0)</f>
        <v/>
      </c>
      <c r="R184" s="51">
        <f>IF(Q184=1,F184-D184,0)</f>
        <v/>
      </c>
      <c r="S184" s="51">
        <f>IF(Q184=1,IF(F184&lt;=E184,1,0),0)</f>
        <v/>
      </c>
      <c r="T184" s="51">
        <f>IF(Q184=1,IF(H184&gt;=G184,1,0),0)</f>
        <v/>
      </c>
      <c r="U184" s="51">
        <f>S184*T184</f>
        <v/>
      </c>
      <c r="V184" s="51">
        <f>IF(Q184=1,MAX(0,F184-E184),0)</f>
        <v/>
      </c>
    </row>
    <row r="185">
      <c r="A185" s="43" t="inlineStr">
        <is>
          <t>PO101343</t>
        </is>
      </c>
      <c r="B185" s="43" t="inlineStr">
        <is>
          <t>CMD-0068</t>
        </is>
      </c>
      <c r="C185" s="43" t="inlineStr">
        <is>
          <t>S01</t>
        </is>
      </c>
      <c r="D185" s="47" t="n">
        <v>45607</v>
      </c>
      <c r="E185" s="47" t="n">
        <v>45628</v>
      </c>
      <c r="F185" s="47" t="n">
        <v>45625</v>
      </c>
      <c r="G185" s="46" t="n">
        <v>42359</v>
      </c>
      <c r="H185" s="46" t="n">
        <v>42359</v>
      </c>
      <c r="I185" s="46" t="n">
        <v>97</v>
      </c>
      <c r="J185" s="44" t="n">
        <v>0.1562</v>
      </c>
      <c r="K185" s="43" t="inlineStr">
        <is>
          <t>Received</t>
        </is>
      </c>
      <c r="L185" s="17">
        <f>INDEX(Items!$C$2:$C$117,MATCH(B185,Items!$A$2:$A$117,0))</f>
        <v/>
      </c>
      <c r="M185" s="49">
        <f>INDEX(Items!$E$2:$E$117,MATCH(B185,Items!$A$2:$A$117,0))</f>
        <v/>
      </c>
      <c r="N185" s="17">
        <f>TEXT(D185,"yyyy-mm")</f>
        <v/>
      </c>
      <c r="O185" s="50">
        <f>G185*J185</f>
        <v/>
      </c>
      <c r="P185" s="50">
        <f>(J185-M185)*G185</f>
        <v/>
      </c>
      <c r="Q185" s="51">
        <f>IF(K185="Received",1,0)</f>
        <v/>
      </c>
      <c r="R185" s="51">
        <f>IF(Q185=1,F185-D185,0)</f>
        <v/>
      </c>
      <c r="S185" s="51">
        <f>IF(Q185=1,IF(F185&lt;=E185,1,0),0)</f>
        <v/>
      </c>
      <c r="T185" s="51">
        <f>IF(Q185=1,IF(H185&gt;=G185,1,0),0)</f>
        <v/>
      </c>
      <c r="U185" s="51">
        <f>S185*T185</f>
        <v/>
      </c>
      <c r="V185" s="51">
        <f>IF(Q185=1,MAX(0,F185-E185),0)</f>
        <v/>
      </c>
    </row>
    <row r="186">
      <c r="A186" s="43" t="inlineStr">
        <is>
          <t>PO101367</t>
        </is>
      </c>
      <c r="B186" s="43" t="inlineStr">
        <is>
          <t>CMD-0070</t>
        </is>
      </c>
      <c r="C186" s="43" t="inlineStr">
        <is>
          <t>S04</t>
        </is>
      </c>
      <c r="D186" s="47" t="n">
        <v>45609</v>
      </c>
      <c r="E186" s="47" t="n">
        <v>45644</v>
      </c>
      <c r="F186" s="47" t="n">
        <v>45642</v>
      </c>
      <c r="G186" s="46" t="n">
        <v>38112</v>
      </c>
      <c r="H186" s="46" t="n">
        <v>38112</v>
      </c>
      <c r="I186" s="46" t="n">
        <v>397</v>
      </c>
      <c r="J186" s="44" t="n">
        <v>0.141</v>
      </c>
      <c r="K186" s="43" t="inlineStr">
        <is>
          <t>Received</t>
        </is>
      </c>
      <c r="L186" s="17">
        <f>INDEX(Items!$C$2:$C$117,MATCH(B186,Items!$A$2:$A$117,0))</f>
        <v/>
      </c>
      <c r="M186" s="49">
        <f>INDEX(Items!$E$2:$E$117,MATCH(B186,Items!$A$2:$A$117,0))</f>
        <v/>
      </c>
      <c r="N186" s="17">
        <f>TEXT(D186,"yyyy-mm")</f>
        <v/>
      </c>
      <c r="O186" s="50">
        <f>G186*J186</f>
        <v/>
      </c>
      <c r="P186" s="50">
        <f>(J186-M186)*G186</f>
        <v/>
      </c>
      <c r="Q186" s="51">
        <f>IF(K186="Received",1,0)</f>
        <v/>
      </c>
      <c r="R186" s="51">
        <f>IF(Q186=1,F186-D186,0)</f>
        <v/>
      </c>
      <c r="S186" s="51">
        <f>IF(Q186=1,IF(F186&lt;=E186,1,0),0)</f>
        <v/>
      </c>
      <c r="T186" s="51">
        <f>IF(Q186=1,IF(H186&gt;=G186,1,0),0)</f>
        <v/>
      </c>
      <c r="U186" s="51">
        <f>S186*T186</f>
        <v/>
      </c>
      <c r="V186" s="51">
        <f>IF(Q186=1,MAX(0,F186-E186),0)</f>
        <v/>
      </c>
    </row>
    <row r="187">
      <c r="A187" s="43" t="inlineStr">
        <is>
          <t>PO101787</t>
        </is>
      </c>
      <c r="B187" s="43" t="inlineStr">
        <is>
          <t>CMD-0097</t>
        </is>
      </c>
      <c r="C187" s="43" t="inlineStr">
        <is>
          <t>S09</t>
        </is>
      </c>
      <c r="D187" s="47" t="n">
        <v>45609</v>
      </c>
      <c r="E187" s="47" t="n">
        <v>45630</v>
      </c>
      <c r="F187" s="47" t="n">
        <v>45628</v>
      </c>
      <c r="G187" s="46" t="n">
        <v>753</v>
      </c>
      <c r="H187" s="46" t="n">
        <v>753</v>
      </c>
      <c r="I187" s="46" t="n">
        <v>4</v>
      </c>
      <c r="J187" s="44" t="n">
        <v>9.27</v>
      </c>
      <c r="K187" s="43" t="inlineStr">
        <is>
          <t>Received</t>
        </is>
      </c>
      <c r="L187" s="17">
        <f>INDEX(Items!$C$2:$C$117,MATCH(B187,Items!$A$2:$A$117,0))</f>
        <v/>
      </c>
      <c r="M187" s="49">
        <f>INDEX(Items!$E$2:$E$117,MATCH(B187,Items!$A$2:$A$117,0))</f>
        <v/>
      </c>
      <c r="N187" s="17">
        <f>TEXT(D187,"yyyy-mm")</f>
        <v/>
      </c>
      <c r="O187" s="50">
        <f>G187*J187</f>
        <v/>
      </c>
      <c r="P187" s="50">
        <f>(J187-M187)*G187</f>
        <v/>
      </c>
      <c r="Q187" s="51">
        <f>IF(K187="Received",1,0)</f>
        <v/>
      </c>
      <c r="R187" s="51">
        <f>IF(Q187=1,F187-D187,0)</f>
        <v/>
      </c>
      <c r="S187" s="51">
        <f>IF(Q187=1,IF(F187&lt;=E187,1,0),0)</f>
        <v/>
      </c>
      <c r="T187" s="51">
        <f>IF(Q187=1,IF(H187&gt;=G187,1,0),0)</f>
        <v/>
      </c>
      <c r="U187" s="51">
        <f>S187*T187</f>
        <v/>
      </c>
      <c r="V187" s="51">
        <f>IF(Q187=1,MAX(0,F187-E187),0)</f>
        <v/>
      </c>
    </row>
    <row r="188">
      <c r="A188" s="43" t="inlineStr">
        <is>
          <t>PO101601</t>
        </is>
      </c>
      <c r="B188" s="43" t="inlineStr">
        <is>
          <t>CMD-0089</t>
        </is>
      </c>
      <c r="C188" s="43" t="inlineStr">
        <is>
          <t>S01</t>
        </is>
      </c>
      <c r="D188" s="47" t="n">
        <v>45611</v>
      </c>
      <c r="E188" s="47" t="n">
        <v>45625</v>
      </c>
      <c r="F188" s="47" t="n">
        <v>45625</v>
      </c>
      <c r="G188" s="46" t="n">
        <v>610</v>
      </c>
      <c r="H188" s="46" t="n">
        <v>610</v>
      </c>
      <c r="I188" s="46" t="n">
        <v>1</v>
      </c>
      <c r="J188" s="44" t="n">
        <v>9.49</v>
      </c>
      <c r="K188" s="43" t="inlineStr">
        <is>
          <t>Received</t>
        </is>
      </c>
      <c r="L188" s="17">
        <f>INDEX(Items!$C$2:$C$117,MATCH(B188,Items!$A$2:$A$117,0))</f>
        <v/>
      </c>
      <c r="M188" s="49">
        <f>INDEX(Items!$E$2:$E$117,MATCH(B188,Items!$A$2:$A$117,0))</f>
        <v/>
      </c>
      <c r="N188" s="17">
        <f>TEXT(D188,"yyyy-mm")</f>
        <v/>
      </c>
      <c r="O188" s="50">
        <f>G188*J188</f>
        <v/>
      </c>
      <c r="P188" s="50">
        <f>(J188-M188)*G188</f>
        <v/>
      </c>
      <c r="Q188" s="51">
        <f>IF(K188="Received",1,0)</f>
        <v/>
      </c>
      <c r="R188" s="51">
        <f>IF(Q188=1,F188-D188,0)</f>
        <v/>
      </c>
      <c r="S188" s="51">
        <f>IF(Q188=1,IF(F188&lt;=E188,1,0),0)</f>
        <v/>
      </c>
      <c r="T188" s="51">
        <f>IF(Q188=1,IF(H188&gt;=G188,1,0),0)</f>
        <v/>
      </c>
      <c r="U188" s="51">
        <f>S188*T188</f>
        <v/>
      </c>
      <c r="V188" s="51">
        <f>IF(Q188=1,MAX(0,F188-E188),0)</f>
        <v/>
      </c>
    </row>
    <row r="189">
      <c r="A189" s="43" t="inlineStr">
        <is>
          <t>PO100413</t>
        </is>
      </c>
      <c r="B189" s="43" t="inlineStr">
        <is>
          <t>CMD-0019</t>
        </is>
      </c>
      <c r="C189" s="43" t="inlineStr">
        <is>
          <t>S11</t>
        </is>
      </c>
      <c r="D189" s="47" t="n">
        <v>45613</v>
      </c>
      <c r="E189" s="47" t="n">
        <v>45690</v>
      </c>
      <c r="F189" s="47" t="n">
        <v>45687</v>
      </c>
      <c r="G189" s="46" t="n">
        <v>931</v>
      </c>
      <c r="H189" s="46" t="n">
        <v>931</v>
      </c>
      <c r="I189" s="46" t="n">
        <v>2</v>
      </c>
      <c r="J189" s="44" t="n">
        <v>7.25</v>
      </c>
      <c r="K189" s="43" t="inlineStr">
        <is>
          <t>Received</t>
        </is>
      </c>
      <c r="L189" s="17">
        <f>INDEX(Items!$C$2:$C$117,MATCH(B189,Items!$A$2:$A$117,0))</f>
        <v/>
      </c>
      <c r="M189" s="49">
        <f>INDEX(Items!$E$2:$E$117,MATCH(B189,Items!$A$2:$A$117,0))</f>
        <v/>
      </c>
      <c r="N189" s="17">
        <f>TEXT(D189,"yyyy-mm")</f>
        <v/>
      </c>
      <c r="O189" s="50">
        <f>G189*J189</f>
        <v/>
      </c>
      <c r="P189" s="50">
        <f>(J189-M189)*G189</f>
        <v/>
      </c>
      <c r="Q189" s="51">
        <f>IF(K189="Received",1,0)</f>
        <v/>
      </c>
      <c r="R189" s="51">
        <f>IF(Q189=1,F189-D189,0)</f>
        <v/>
      </c>
      <c r="S189" s="51">
        <f>IF(Q189=1,IF(F189&lt;=E189,1,0),0)</f>
        <v/>
      </c>
      <c r="T189" s="51">
        <f>IF(Q189=1,IF(H189&gt;=G189,1,0),0)</f>
        <v/>
      </c>
      <c r="U189" s="51">
        <f>S189*T189</f>
        <v/>
      </c>
      <c r="V189" s="51">
        <f>IF(Q189=1,MAX(0,F189-E189),0)</f>
        <v/>
      </c>
    </row>
    <row r="190">
      <c r="A190" s="43" t="inlineStr">
        <is>
          <t>PO100689</t>
        </is>
      </c>
      <c r="B190" s="43" t="inlineStr">
        <is>
          <t>CMD-0031</t>
        </is>
      </c>
      <c r="C190" s="43" t="inlineStr">
        <is>
          <t>S01</t>
        </is>
      </c>
      <c r="D190" s="47" t="n">
        <v>45615</v>
      </c>
      <c r="E190" s="47" t="n">
        <v>45643</v>
      </c>
      <c r="F190" s="47" t="n">
        <v>45640</v>
      </c>
      <c r="G190" s="46" t="n">
        <v>606</v>
      </c>
      <c r="H190" s="46" t="n">
        <v>606</v>
      </c>
      <c r="I190" s="46" t="n">
        <v>0</v>
      </c>
      <c r="J190" s="44" t="n">
        <v>9.69</v>
      </c>
      <c r="K190" s="43" t="inlineStr">
        <is>
          <t>Received</t>
        </is>
      </c>
      <c r="L190" s="17">
        <f>INDEX(Items!$C$2:$C$117,MATCH(B190,Items!$A$2:$A$117,0))</f>
        <v/>
      </c>
      <c r="M190" s="49">
        <f>INDEX(Items!$E$2:$E$117,MATCH(B190,Items!$A$2:$A$117,0))</f>
        <v/>
      </c>
      <c r="N190" s="17">
        <f>TEXT(D190,"yyyy-mm")</f>
        <v/>
      </c>
      <c r="O190" s="50">
        <f>G190*J190</f>
        <v/>
      </c>
      <c r="P190" s="50">
        <f>(J190-M190)*G190</f>
        <v/>
      </c>
      <c r="Q190" s="51">
        <f>IF(K190="Received",1,0)</f>
        <v/>
      </c>
      <c r="R190" s="51">
        <f>IF(Q190=1,F190-D190,0)</f>
        <v/>
      </c>
      <c r="S190" s="51">
        <f>IF(Q190=1,IF(F190&lt;=E190,1,0),0)</f>
        <v/>
      </c>
      <c r="T190" s="51">
        <f>IF(Q190=1,IF(H190&gt;=G190,1,0),0)</f>
        <v/>
      </c>
      <c r="U190" s="51">
        <f>S190*T190</f>
        <v/>
      </c>
      <c r="V190" s="51">
        <f>IF(Q190=1,MAX(0,F190-E190),0)</f>
        <v/>
      </c>
    </row>
    <row r="191">
      <c r="A191" s="43" t="inlineStr">
        <is>
          <t>PO100707</t>
        </is>
      </c>
      <c r="B191" s="43" t="inlineStr">
        <is>
          <t>CMD-0032</t>
        </is>
      </c>
      <c r="C191" s="43" t="inlineStr">
        <is>
          <t>S01</t>
        </is>
      </c>
      <c r="D191" s="47" t="n">
        <v>45616</v>
      </c>
      <c r="E191" s="47" t="n">
        <v>45644</v>
      </c>
      <c r="F191" s="47" t="n">
        <v>45644</v>
      </c>
      <c r="G191" s="46" t="n">
        <v>1127</v>
      </c>
      <c r="H191" s="46" t="n">
        <v>1127</v>
      </c>
      <c r="I191" s="46" t="n">
        <v>5</v>
      </c>
      <c r="J191" s="44" t="n">
        <v>5.15</v>
      </c>
      <c r="K191" s="43" t="inlineStr">
        <is>
          <t>Received</t>
        </is>
      </c>
      <c r="L191" s="17">
        <f>INDEX(Items!$C$2:$C$117,MATCH(B191,Items!$A$2:$A$117,0))</f>
        <v/>
      </c>
      <c r="M191" s="49">
        <f>INDEX(Items!$E$2:$E$117,MATCH(B191,Items!$A$2:$A$117,0))</f>
        <v/>
      </c>
      <c r="N191" s="17">
        <f>TEXT(D191,"yyyy-mm")</f>
        <v/>
      </c>
      <c r="O191" s="50">
        <f>G191*J191</f>
        <v/>
      </c>
      <c r="P191" s="50">
        <f>(J191-M191)*G191</f>
        <v/>
      </c>
      <c r="Q191" s="51">
        <f>IF(K191="Received",1,0)</f>
        <v/>
      </c>
      <c r="R191" s="51">
        <f>IF(Q191=1,F191-D191,0)</f>
        <v/>
      </c>
      <c r="S191" s="51">
        <f>IF(Q191=1,IF(F191&lt;=E191,1,0),0)</f>
        <v/>
      </c>
      <c r="T191" s="51">
        <f>IF(Q191=1,IF(H191&gt;=G191,1,0),0)</f>
        <v/>
      </c>
      <c r="U191" s="51">
        <f>S191*T191</f>
        <v/>
      </c>
      <c r="V191" s="51">
        <f>IF(Q191=1,MAX(0,F191-E191),0)</f>
        <v/>
      </c>
    </row>
    <row r="192">
      <c r="A192" s="43" t="inlineStr">
        <is>
          <t>PO100455</t>
        </is>
      </c>
      <c r="B192" s="43" t="inlineStr">
        <is>
          <t>CMD-0021</t>
        </is>
      </c>
      <c r="C192" s="43" t="inlineStr">
        <is>
          <t>S04</t>
        </is>
      </c>
      <c r="D192" s="47" t="n">
        <v>45616</v>
      </c>
      <c r="E192" s="47" t="n">
        <v>45686</v>
      </c>
      <c r="F192" s="47" t="n">
        <v>45683</v>
      </c>
      <c r="G192" s="46" t="n">
        <v>1127</v>
      </c>
      <c r="H192" s="46" t="n">
        <v>1127</v>
      </c>
      <c r="I192" s="46" t="n">
        <v>10</v>
      </c>
      <c r="J192" s="44" t="n">
        <v>4.94</v>
      </c>
      <c r="K192" s="43" t="inlineStr">
        <is>
          <t>Received</t>
        </is>
      </c>
      <c r="L192" s="17">
        <f>INDEX(Items!$C$2:$C$117,MATCH(B192,Items!$A$2:$A$117,0))</f>
        <v/>
      </c>
      <c r="M192" s="49">
        <f>INDEX(Items!$E$2:$E$117,MATCH(B192,Items!$A$2:$A$117,0))</f>
        <v/>
      </c>
      <c r="N192" s="17">
        <f>TEXT(D192,"yyyy-mm")</f>
        <v/>
      </c>
      <c r="O192" s="50">
        <f>G192*J192</f>
        <v/>
      </c>
      <c r="P192" s="50">
        <f>(J192-M192)*G192</f>
        <v/>
      </c>
      <c r="Q192" s="51">
        <f>IF(K192="Received",1,0)</f>
        <v/>
      </c>
      <c r="R192" s="51">
        <f>IF(Q192=1,F192-D192,0)</f>
        <v/>
      </c>
      <c r="S192" s="51">
        <f>IF(Q192=1,IF(F192&lt;=E192,1,0),0)</f>
        <v/>
      </c>
      <c r="T192" s="51">
        <f>IF(Q192=1,IF(H192&gt;=G192,1,0),0)</f>
        <v/>
      </c>
      <c r="U192" s="51">
        <f>S192*T192</f>
        <v/>
      </c>
      <c r="V192" s="51">
        <f>IF(Q192=1,MAX(0,F192-E192),0)</f>
        <v/>
      </c>
    </row>
    <row r="193">
      <c r="A193" s="43" t="inlineStr">
        <is>
          <t>PO101893</t>
        </is>
      </c>
      <c r="B193" s="43" t="inlineStr">
        <is>
          <t>CMD-0103</t>
        </is>
      </c>
      <c r="C193" s="43" t="inlineStr">
        <is>
          <t>S09</t>
        </is>
      </c>
      <c r="D193" s="47" t="n">
        <v>45620</v>
      </c>
      <c r="E193" s="47" t="n">
        <v>45641</v>
      </c>
      <c r="F193" s="47" t="n">
        <v>45641</v>
      </c>
      <c r="G193" s="46" t="n">
        <v>1354</v>
      </c>
      <c r="H193" s="46" t="n">
        <v>1354</v>
      </c>
      <c r="I193" s="46" t="n">
        <v>3</v>
      </c>
      <c r="J193" s="44" t="n">
        <v>4.18</v>
      </c>
      <c r="K193" s="43" t="inlineStr">
        <is>
          <t>Received</t>
        </is>
      </c>
      <c r="L193" s="17">
        <f>INDEX(Items!$C$2:$C$117,MATCH(B193,Items!$A$2:$A$117,0))</f>
        <v/>
      </c>
      <c r="M193" s="49">
        <f>INDEX(Items!$E$2:$E$117,MATCH(B193,Items!$A$2:$A$117,0))</f>
        <v/>
      </c>
      <c r="N193" s="17">
        <f>TEXT(D193,"yyyy-mm")</f>
        <v/>
      </c>
      <c r="O193" s="50">
        <f>G193*J193</f>
        <v/>
      </c>
      <c r="P193" s="50">
        <f>(J193-M193)*G193</f>
        <v/>
      </c>
      <c r="Q193" s="51">
        <f>IF(K193="Received",1,0)</f>
        <v/>
      </c>
      <c r="R193" s="51">
        <f>IF(Q193=1,F193-D193,0)</f>
        <v/>
      </c>
      <c r="S193" s="51">
        <f>IF(Q193=1,IF(F193&lt;=E193,1,0),0)</f>
        <v/>
      </c>
      <c r="T193" s="51">
        <f>IF(Q193=1,IF(H193&gt;=G193,1,0),0)</f>
        <v/>
      </c>
      <c r="U193" s="51">
        <f>S193*T193</f>
        <v/>
      </c>
      <c r="V193" s="51">
        <f>IF(Q193=1,MAX(0,F193-E193),0)</f>
        <v/>
      </c>
    </row>
    <row r="194">
      <c r="A194" s="43" t="inlineStr">
        <is>
          <t>PO101919</t>
        </is>
      </c>
      <c r="B194" s="43" t="inlineStr">
        <is>
          <t>CMD-0106</t>
        </is>
      </c>
      <c r="C194" s="43" t="inlineStr">
        <is>
          <t>S09</t>
        </is>
      </c>
      <c r="D194" s="47" t="n">
        <v>45623</v>
      </c>
      <c r="E194" s="47" t="n">
        <v>45644</v>
      </c>
      <c r="F194" s="47" t="n">
        <v>45642</v>
      </c>
      <c r="G194" s="46" t="n">
        <v>534</v>
      </c>
      <c r="H194" s="46" t="n">
        <v>534</v>
      </c>
      <c r="I194" s="46" t="n">
        <v>0</v>
      </c>
      <c r="J194" s="44" t="n">
        <v>10.42</v>
      </c>
      <c r="K194" s="43" t="inlineStr">
        <is>
          <t>Received</t>
        </is>
      </c>
      <c r="L194" s="17">
        <f>INDEX(Items!$C$2:$C$117,MATCH(B194,Items!$A$2:$A$117,0))</f>
        <v/>
      </c>
      <c r="M194" s="49">
        <f>INDEX(Items!$E$2:$E$117,MATCH(B194,Items!$A$2:$A$117,0))</f>
        <v/>
      </c>
      <c r="N194" s="17">
        <f>TEXT(D194,"yyyy-mm")</f>
        <v/>
      </c>
      <c r="O194" s="50">
        <f>G194*J194</f>
        <v/>
      </c>
      <c r="P194" s="50">
        <f>(J194-M194)*G194</f>
        <v/>
      </c>
      <c r="Q194" s="51">
        <f>IF(K194="Received",1,0)</f>
        <v/>
      </c>
      <c r="R194" s="51">
        <f>IF(Q194=1,F194-D194,0)</f>
        <v/>
      </c>
      <c r="S194" s="51">
        <f>IF(Q194=1,IF(F194&lt;=E194,1,0),0)</f>
        <v/>
      </c>
      <c r="T194" s="51">
        <f>IF(Q194=1,IF(H194&gt;=G194,1,0),0)</f>
        <v/>
      </c>
      <c r="U194" s="51">
        <f>S194*T194</f>
        <v/>
      </c>
      <c r="V194" s="51">
        <f>IF(Q194=1,MAX(0,F194-E194),0)</f>
        <v/>
      </c>
    </row>
    <row r="195">
      <c r="A195" s="43" t="inlineStr">
        <is>
          <t>PO101145</t>
        </is>
      </c>
      <c r="B195" s="43" t="inlineStr">
        <is>
          <t>CMD-0053</t>
        </is>
      </c>
      <c r="C195" s="43" t="inlineStr">
        <is>
          <t>S04</t>
        </is>
      </c>
      <c r="D195" s="47" t="n">
        <v>45627</v>
      </c>
      <c r="E195" s="47" t="n">
        <v>45662</v>
      </c>
      <c r="F195" s="47" t="n">
        <v>45659</v>
      </c>
      <c r="G195" s="46" t="n">
        <v>60540</v>
      </c>
      <c r="H195" s="46" t="n">
        <v>60540</v>
      </c>
      <c r="I195" s="46" t="n">
        <v>590</v>
      </c>
      <c r="J195" s="44" t="n">
        <v>0.0968</v>
      </c>
      <c r="K195" s="43" t="inlineStr">
        <is>
          <t>Received</t>
        </is>
      </c>
      <c r="L195" s="17">
        <f>INDEX(Items!$C$2:$C$117,MATCH(B195,Items!$A$2:$A$117,0))</f>
        <v/>
      </c>
      <c r="M195" s="49">
        <f>INDEX(Items!$E$2:$E$117,MATCH(B195,Items!$A$2:$A$117,0))</f>
        <v/>
      </c>
      <c r="N195" s="17">
        <f>TEXT(D195,"yyyy-mm")</f>
        <v/>
      </c>
      <c r="O195" s="50">
        <f>G195*J195</f>
        <v/>
      </c>
      <c r="P195" s="50">
        <f>(J195-M195)*G195</f>
        <v/>
      </c>
      <c r="Q195" s="51">
        <f>IF(K195="Received",1,0)</f>
        <v/>
      </c>
      <c r="R195" s="51">
        <f>IF(Q195=1,F195-D195,0)</f>
        <v/>
      </c>
      <c r="S195" s="51">
        <f>IF(Q195=1,IF(F195&lt;=E195,1,0),0)</f>
        <v/>
      </c>
      <c r="T195" s="51">
        <f>IF(Q195=1,IF(H195&gt;=G195,1,0),0)</f>
        <v/>
      </c>
      <c r="U195" s="51">
        <f>S195*T195</f>
        <v/>
      </c>
      <c r="V195" s="51">
        <f>IF(Q195=1,MAX(0,F195-E195),0)</f>
        <v/>
      </c>
    </row>
    <row r="196">
      <c r="A196" s="43" t="inlineStr">
        <is>
          <t>PO100984</t>
        </is>
      </c>
      <c r="B196" s="43" t="inlineStr">
        <is>
          <t>CMD-0045</t>
        </is>
      </c>
      <c r="C196" s="43" t="inlineStr">
        <is>
          <t>S05</t>
        </is>
      </c>
      <c r="D196" s="47" t="n">
        <v>45628</v>
      </c>
      <c r="E196" s="47" t="n">
        <v>45733</v>
      </c>
      <c r="F196" s="47" t="n">
        <v>45730</v>
      </c>
      <c r="G196" s="46" t="n">
        <v>4242</v>
      </c>
      <c r="H196" s="46" t="n">
        <v>4242</v>
      </c>
      <c r="I196" s="46" t="n">
        <v>72</v>
      </c>
      <c r="J196" s="44" t="n">
        <v>8.99</v>
      </c>
      <c r="K196" s="43" t="inlineStr">
        <is>
          <t>Received</t>
        </is>
      </c>
      <c r="L196" s="17">
        <f>INDEX(Items!$C$2:$C$117,MATCH(B196,Items!$A$2:$A$117,0))</f>
        <v/>
      </c>
      <c r="M196" s="49">
        <f>INDEX(Items!$E$2:$E$117,MATCH(B196,Items!$A$2:$A$117,0))</f>
        <v/>
      </c>
      <c r="N196" s="17">
        <f>TEXT(D196,"yyyy-mm")</f>
        <v/>
      </c>
      <c r="O196" s="50">
        <f>G196*J196</f>
        <v/>
      </c>
      <c r="P196" s="50">
        <f>(J196-M196)*G196</f>
        <v/>
      </c>
      <c r="Q196" s="51">
        <f>IF(K196="Received",1,0)</f>
        <v/>
      </c>
      <c r="R196" s="51">
        <f>IF(Q196=1,F196-D196,0)</f>
        <v/>
      </c>
      <c r="S196" s="51">
        <f>IF(Q196=1,IF(F196&lt;=E196,1,0),0)</f>
        <v/>
      </c>
      <c r="T196" s="51">
        <f>IF(Q196=1,IF(H196&gt;=G196,1,0),0)</f>
        <v/>
      </c>
      <c r="U196" s="51">
        <f>S196*T196</f>
        <v/>
      </c>
      <c r="V196" s="51">
        <f>IF(Q196=1,MAX(0,F196-E196),0)</f>
        <v/>
      </c>
    </row>
    <row r="197">
      <c r="A197" s="43" t="inlineStr">
        <is>
          <t>PO101207</t>
        </is>
      </c>
      <c r="B197" s="43" t="inlineStr">
        <is>
          <t>CMD-0056</t>
        </is>
      </c>
      <c r="C197" s="43" t="inlineStr">
        <is>
          <t>S04</t>
        </is>
      </c>
      <c r="D197" s="47" t="n">
        <v>45628</v>
      </c>
      <c r="E197" s="47" t="n">
        <v>45663</v>
      </c>
      <c r="F197" s="47" t="n">
        <v>45660</v>
      </c>
      <c r="G197" s="46" t="n">
        <v>51601</v>
      </c>
      <c r="H197" s="46" t="n">
        <v>51601</v>
      </c>
      <c r="I197" s="46" t="n">
        <v>482</v>
      </c>
      <c r="J197" s="44" t="n">
        <v>0.1015</v>
      </c>
      <c r="K197" s="43" t="inlineStr">
        <is>
          <t>Received</t>
        </is>
      </c>
      <c r="L197" s="17">
        <f>INDEX(Items!$C$2:$C$117,MATCH(B197,Items!$A$2:$A$117,0))</f>
        <v/>
      </c>
      <c r="M197" s="49">
        <f>INDEX(Items!$E$2:$E$117,MATCH(B197,Items!$A$2:$A$117,0))</f>
        <v/>
      </c>
      <c r="N197" s="17">
        <f>TEXT(D197,"yyyy-mm")</f>
        <v/>
      </c>
      <c r="O197" s="50">
        <f>G197*J197</f>
        <v/>
      </c>
      <c r="P197" s="50">
        <f>(J197-M197)*G197</f>
        <v/>
      </c>
      <c r="Q197" s="51">
        <f>IF(K197="Received",1,0)</f>
        <v/>
      </c>
      <c r="R197" s="51">
        <f>IF(Q197=1,F197-D197,0)</f>
        <v/>
      </c>
      <c r="S197" s="51">
        <f>IF(Q197=1,IF(F197&lt;=E197,1,0),0)</f>
        <v/>
      </c>
      <c r="T197" s="51">
        <f>IF(Q197=1,IF(H197&gt;=G197,1,0),0)</f>
        <v/>
      </c>
      <c r="U197" s="51">
        <f>S197*T197</f>
        <v/>
      </c>
      <c r="V197" s="51">
        <f>IF(Q197=1,MAX(0,F197-E197),0)</f>
        <v/>
      </c>
    </row>
    <row r="198">
      <c r="A198" s="43" t="inlineStr">
        <is>
          <t>PO100666</t>
        </is>
      </c>
      <c r="B198" s="43" t="inlineStr">
        <is>
          <t>CMD-0030</t>
        </is>
      </c>
      <c r="C198" s="43" t="inlineStr">
        <is>
          <t>S11</t>
        </is>
      </c>
      <c r="D198" s="47" t="n">
        <v>45628</v>
      </c>
      <c r="E198" s="47" t="n">
        <v>45705</v>
      </c>
      <c r="F198" s="47" t="n">
        <v>45702</v>
      </c>
      <c r="G198" s="46" t="n">
        <v>7346</v>
      </c>
      <c r="H198" s="46" t="n">
        <v>7346</v>
      </c>
      <c r="I198" s="46" t="n">
        <v>12</v>
      </c>
      <c r="J198" s="44" t="n">
        <v>23.19</v>
      </c>
      <c r="K198" s="43" t="inlineStr">
        <is>
          <t>Received</t>
        </is>
      </c>
      <c r="L198" s="17">
        <f>INDEX(Items!$C$2:$C$117,MATCH(B198,Items!$A$2:$A$117,0))</f>
        <v/>
      </c>
      <c r="M198" s="49">
        <f>INDEX(Items!$E$2:$E$117,MATCH(B198,Items!$A$2:$A$117,0))</f>
        <v/>
      </c>
      <c r="N198" s="17">
        <f>TEXT(D198,"yyyy-mm")</f>
        <v/>
      </c>
      <c r="O198" s="50">
        <f>G198*J198</f>
        <v/>
      </c>
      <c r="P198" s="50">
        <f>(J198-M198)*G198</f>
        <v/>
      </c>
      <c r="Q198" s="51">
        <f>IF(K198="Received",1,0)</f>
        <v/>
      </c>
      <c r="R198" s="51">
        <f>IF(Q198=1,F198-D198,0)</f>
        <v/>
      </c>
      <c r="S198" s="51">
        <f>IF(Q198=1,IF(F198&lt;=E198,1,0),0)</f>
        <v/>
      </c>
      <c r="T198" s="51">
        <f>IF(Q198=1,IF(H198&gt;=G198,1,0),0)</f>
        <v/>
      </c>
      <c r="U198" s="51">
        <f>S198*T198</f>
        <v/>
      </c>
      <c r="V198" s="51">
        <f>IF(Q198=1,MAX(0,F198-E198),0)</f>
        <v/>
      </c>
    </row>
    <row r="199">
      <c r="A199" s="43" t="inlineStr">
        <is>
          <t>PO100050</t>
        </is>
      </c>
      <c r="B199" s="43" t="inlineStr">
        <is>
          <t>CMD-0003</t>
        </is>
      </c>
      <c r="C199" s="43" t="inlineStr">
        <is>
          <t>S11</t>
        </is>
      </c>
      <c r="D199" s="47" t="n">
        <v>45628</v>
      </c>
      <c r="E199" s="47" t="n">
        <v>45747</v>
      </c>
      <c r="F199" s="47" t="n">
        <v>45744</v>
      </c>
      <c r="G199" s="46" t="n">
        <v>9140</v>
      </c>
      <c r="H199" s="46" t="n">
        <v>9140</v>
      </c>
      <c r="I199" s="46" t="n">
        <v>20</v>
      </c>
      <c r="J199" s="44" t="n">
        <v>21.49</v>
      </c>
      <c r="K199" s="43" t="inlineStr">
        <is>
          <t>Received</t>
        </is>
      </c>
      <c r="L199" s="17">
        <f>INDEX(Items!$C$2:$C$117,MATCH(B199,Items!$A$2:$A$117,0))</f>
        <v/>
      </c>
      <c r="M199" s="49">
        <f>INDEX(Items!$E$2:$E$117,MATCH(B199,Items!$A$2:$A$117,0))</f>
        <v/>
      </c>
      <c r="N199" s="17">
        <f>TEXT(D199,"yyyy-mm")</f>
        <v/>
      </c>
      <c r="O199" s="50">
        <f>G199*J199</f>
        <v/>
      </c>
      <c r="P199" s="50">
        <f>(J199-M199)*G199</f>
        <v/>
      </c>
      <c r="Q199" s="51">
        <f>IF(K199="Received",1,0)</f>
        <v/>
      </c>
      <c r="R199" s="51">
        <f>IF(Q199=1,F199-D199,0)</f>
        <v/>
      </c>
      <c r="S199" s="51">
        <f>IF(Q199=1,IF(F199&lt;=E199,1,0),0)</f>
        <v/>
      </c>
      <c r="T199" s="51">
        <f>IF(Q199=1,IF(H199&gt;=G199,1,0),0)</f>
        <v/>
      </c>
      <c r="U199" s="51">
        <f>S199*T199</f>
        <v/>
      </c>
      <c r="V199" s="51">
        <f>IF(Q199=1,MAX(0,F199-E199),0)</f>
        <v/>
      </c>
    </row>
    <row r="200">
      <c r="A200" s="43" t="inlineStr">
        <is>
          <t>PO101160</t>
        </is>
      </c>
      <c r="B200" s="43" t="inlineStr">
        <is>
          <t>CMD-0054</t>
        </is>
      </c>
      <c r="C200" s="43" t="inlineStr">
        <is>
          <t>S10</t>
        </is>
      </c>
      <c r="D200" s="47" t="n">
        <v>45628</v>
      </c>
      <c r="E200" s="47" t="n">
        <v>45656</v>
      </c>
      <c r="F200" s="47" t="n">
        <v>45653</v>
      </c>
      <c r="G200" s="46" t="n">
        <v>47713</v>
      </c>
      <c r="H200" s="46" t="n">
        <v>47713</v>
      </c>
      <c r="I200" s="46" t="n">
        <v>47</v>
      </c>
      <c r="J200" s="44" t="n">
        <v>0.1687</v>
      </c>
      <c r="K200" s="43" t="inlineStr">
        <is>
          <t>Received</t>
        </is>
      </c>
      <c r="L200" s="17">
        <f>INDEX(Items!$C$2:$C$117,MATCH(B200,Items!$A$2:$A$117,0))</f>
        <v/>
      </c>
      <c r="M200" s="49">
        <f>INDEX(Items!$E$2:$E$117,MATCH(B200,Items!$A$2:$A$117,0))</f>
        <v/>
      </c>
      <c r="N200" s="17">
        <f>TEXT(D200,"yyyy-mm")</f>
        <v/>
      </c>
      <c r="O200" s="50">
        <f>G200*J200</f>
        <v/>
      </c>
      <c r="P200" s="50">
        <f>(J200-M200)*G200</f>
        <v/>
      </c>
      <c r="Q200" s="51">
        <f>IF(K200="Received",1,0)</f>
        <v/>
      </c>
      <c r="R200" s="51">
        <f>IF(Q200=1,F200-D200,0)</f>
        <v/>
      </c>
      <c r="S200" s="51">
        <f>IF(Q200=1,IF(F200&lt;=E200,1,0),0)</f>
        <v/>
      </c>
      <c r="T200" s="51">
        <f>IF(Q200=1,IF(H200&gt;=G200,1,0),0)</f>
        <v/>
      </c>
      <c r="U200" s="51">
        <f>S200*T200</f>
        <v/>
      </c>
      <c r="V200" s="51">
        <f>IF(Q200=1,MAX(0,F200-E200),0)</f>
        <v/>
      </c>
    </row>
    <row r="201">
      <c r="A201" s="43" t="inlineStr">
        <is>
          <t>PO101716</t>
        </is>
      </c>
      <c r="B201" s="43" t="inlineStr">
        <is>
          <t>CMD-0094</t>
        </is>
      </c>
      <c r="C201" s="43" t="inlineStr">
        <is>
          <t>S08</t>
        </is>
      </c>
      <c r="D201" s="47" t="n">
        <v>45628</v>
      </c>
      <c r="E201" s="47" t="n">
        <v>45705</v>
      </c>
      <c r="F201" s="47" t="n">
        <v>45702</v>
      </c>
      <c r="G201" s="46" t="n">
        <v>498</v>
      </c>
      <c r="H201" s="46" t="n">
        <v>498</v>
      </c>
      <c r="I201" s="46" t="n">
        <v>3</v>
      </c>
      <c r="J201" s="44" t="n">
        <v>74.09</v>
      </c>
      <c r="K201" s="43" t="inlineStr">
        <is>
          <t>Received</t>
        </is>
      </c>
      <c r="L201" s="17">
        <f>INDEX(Items!$C$2:$C$117,MATCH(B201,Items!$A$2:$A$117,0))</f>
        <v/>
      </c>
      <c r="M201" s="49">
        <f>INDEX(Items!$E$2:$E$117,MATCH(B201,Items!$A$2:$A$117,0))</f>
        <v/>
      </c>
      <c r="N201" s="17">
        <f>TEXT(D201,"yyyy-mm")</f>
        <v/>
      </c>
      <c r="O201" s="50">
        <f>G201*J201</f>
        <v/>
      </c>
      <c r="P201" s="50">
        <f>(J201-M201)*G201</f>
        <v/>
      </c>
      <c r="Q201" s="51">
        <f>IF(K201="Received",1,0)</f>
        <v/>
      </c>
      <c r="R201" s="51">
        <f>IF(Q201=1,F201-D201,0)</f>
        <v/>
      </c>
      <c r="S201" s="51">
        <f>IF(Q201=1,IF(F201&lt;=E201,1,0),0)</f>
        <v/>
      </c>
      <c r="T201" s="51">
        <f>IF(Q201=1,IF(H201&gt;=G201,1,0),0)</f>
        <v/>
      </c>
      <c r="U201" s="51">
        <f>S201*T201</f>
        <v/>
      </c>
      <c r="V201" s="51">
        <f>IF(Q201=1,MAX(0,F201-E201),0)</f>
        <v/>
      </c>
    </row>
    <row r="202">
      <c r="A202" s="43" t="inlineStr">
        <is>
          <t>PO100390</t>
        </is>
      </c>
      <c r="B202" s="43" t="inlineStr">
        <is>
          <t>CMD-0018</t>
        </is>
      </c>
      <c r="C202" s="43" t="inlineStr">
        <is>
          <t>S02</t>
        </is>
      </c>
      <c r="D202" s="47" t="n">
        <v>45628</v>
      </c>
      <c r="E202" s="47" t="n">
        <v>45684</v>
      </c>
      <c r="F202" s="47" t="n">
        <v>45683</v>
      </c>
      <c r="G202" s="46" t="n">
        <v>7420</v>
      </c>
      <c r="H202" s="46" t="n">
        <v>7420</v>
      </c>
      <c r="I202" s="46" t="n">
        <v>26</v>
      </c>
      <c r="J202" s="44" t="n">
        <v>37.92</v>
      </c>
      <c r="K202" s="43" t="inlineStr">
        <is>
          <t>Received</t>
        </is>
      </c>
      <c r="L202" s="17">
        <f>INDEX(Items!$C$2:$C$117,MATCH(B202,Items!$A$2:$A$117,0))</f>
        <v/>
      </c>
      <c r="M202" s="49">
        <f>INDEX(Items!$E$2:$E$117,MATCH(B202,Items!$A$2:$A$117,0))</f>
        <v/>
      </c>
      <c r="N202" s="17">
        <f>TEXT(D202,"yyyy-mm")</f>
        <v/>
      </c>
      <c r="O202" s="50">
        <f>G202*J202</f>
        <v/>
      </c>
      <c r="P202" s="50">
        <f>(J202-M202)*G202</f>
        <v/>
      </c>
      <c r="Q202" s="51">
        <f>IF(K202="Received",1,0)</f>
        <v/>
      </c>
      <c r="R202" s="51">
        <f>IF(Q202=1,F202-D202,0)</f>
        <v/>
      </c>
      <c r="S202" s="51">
        <f>IF(Q202=1,IF(F202&lt;=E202,1,0),0)</f>
        <v/>
      </c>
      <c r="T202" s="51">
        <f>IF(Q202=1,IF(H202&gt;=G202,1,0),0)</f>
        <v/>
      </c>
      <c r="U202" s="51">
        <f>S202*T202</f>
        <v/>
      </c>
      <c r="V202" s="51">
        <f>IF(Q202=1,MAX(0,F202-E202),0)</f>
        <v/>
      </c>
    </row>
    <row r="203">
      <c r="A203" s="43" t="inlineStr">
        <is>
          <t>PO100170</t>
        </is>
      </c>
      <c r="B203" s="43" t="inlineStr">
        <is>
          <t>CMD-0008</t>
        </is>
      </c>
      <c r="C203" s="43" t="inlineStr">
        <is>
          <t>S03</t>
        </is>
      </c>
      <c r="D203" s="47" t="n">
        <v>45628</v>
      </c>
      <c r="E203" s="47" t="n">
        <v>45761</v>
      </c>
      <c r="F203" s="47" t="n">
        <v>45760</v>
      </c>
      <c r="G203" s="46" t="n">
        <v>1369</v>
      </c>
      <c r="H203" s="46" t="n">
        <v>1369</v>
      </c>
      <c r="I203" s="46" t="n">
        <v>14</v>
      </c>
      <c r="J203" s="44" t="n">
        <v>23.66</v>
      </c>
      <c r="K203" s="43" t="inlineStr">
        <is>
          <t>Received</t>
        </is>
      </c>
      <c r="L203" s="17">
        <f>INDEX(Items!$C$2:$C$117,MATCH(B203,Items!$A$2:$A$117,0))</f>
        <v/>
      </c>
      <c r="M203" s="49">
        <f>INDEX(Items!$E$2:$E$117,MATCH(B203,Items!$A$2:$A$117,0))</f>
        <v/>
      </c>
      <c r="N203" s="17">
        <f>TEXT(D203,"yyyy-mm")</f>
        <v/>
      </c>
      <c r="O203" s="50">
        <f>G203*J203</f>
        <v/>
      </c>
      <c r="P203" s="50">
        <f>(J203-M203)*G203</f>
        <v/>
      </c>
      <c r="Q203" s="51">
        <f>IF(K203="Received",1,0)</f>
        <v/>
      </c>
      <c r="R203" s="51">
        <f>IF(Q203=1,F203-D203,0)</f>
        <v/>
      </c>
      <c r="S203" s="51">
        <f>IF(Q203=1,IF(F203&lt;=E203,1,0),0)</f>
        <v/>
      </c>
      <c r="T203" s="51">
        <f>IF(Q203=1,IF(H203&gt;=G203,1,0),0)</f>
        <v/>
      </c>
      <c r="U203" s="51">
        <f>S203*T203</f>
        <v/>
      </c>
      <c r="V203" s="51">
        <f>IF(Q203=1,MAX(0,F203-E203),0)</f>
        <v/>
      </c>
    </row>
    <row r="204">
      <c r="A204" s="43" t="inlineStr">
        <is>
          <t>PO100960</t>
        </is>
      </c>
      <c r="B204" s="43" t="inlineStr">
        <is>
          <t>CMD-0044</t>
        </is>
      </c>
      <c r="C204" s="43" t="inlineStr">
        <is>
          <t>S05</t>
        </is>
      </c>
      <c r="D204" s="47" t="n">
        <v>45628</v>
      </c>
      <c r="E204" s="47" t="n">
        <v>45733</v>
      </c>
      <c r="F204" s="47" t="n">
        <v>45732</v>
      </c>
      <c r="G204" s="46" t="n">
        <v>7133</v>
      </c>
      <c r="H204" s="46" t="n">
        <v>7133</v>
      </c>
      <c r="I204" s="46" t="n">
        <v>132</v>
      </c>
      <c r="J204" s="44" t="n">
        <v>11.57</v>
      </c>
      <c r="K204" s="43" t="inlineStr">
        <is>
          <t>Received</t>
        </is>
      </c>
      <c r="L204" s="17">
        <f>INDEX(Items!$C$2:$C$117,MATCH(B204,Items!$A$2:$A$117,0))</f>
        <v/>
      </c>
      <c r="M204" s="49">
        <f>INDEX(Items!$E$2:$E$117,MATCH(B204,Items!$A$2:$A$117,0))</f>
        <v/>
      </c>
      <c r="N204" s="17">
        <f>TEXT(D204,"yyyy-mm")</f>
        <v/>
      </c>
      <c r="O204" s="50">
        <f>G204*J204</f>
        <v/>
      </c>
      <c r="P204" s="50">
        <f>(J204-M204)*G204</f>
        <v/>
      </c>
      <c r="Q204" s="51">
        <f>IF(K204="Received",1,0)</f>
        <v/>
      </c>
      <c r="R204" s="51">
        <f>IF(Q204=1,F204-D204,0)</f>
        <v/>
      </c>
      <c r="S204" s="51">
        <f>IF(Q204=1,IF(F204&lt;=E204,1,0),0)</f>
        <v/>
      </c>
      <c r="T204" s="51">
        <f>IF(Q204=1,IF(H204&gt;=G204,1,0),0)</f>
        <v/>
      </c>
      <c r="U204" s="51">
        <f>S204*T204</f>
        <v/>
      </c>
      <c r="V204" s="51">
        <f>IF(Q204=1,MAX(0,F204-E204),0)</f>
        <v/>
      </c>
    </row>
    <row r="205">
      <c r="A205" s="43" t="inlineStr">
        <is>
          <t>PO101253</t>
        </is>
      </c>
      <c r="B205" s="43" t="inlineStr">
        <is>
          <t>CMD-0059</t>
        </is>
      </c>
      <c r="C205" s="43" t="inlineStr">
        <is>
          <t>S01</t>
        </is>
      </c>
      <c r="D205" s="47" t="n">
        <v>45628</v>
      </c>
      <c r="E205" s="47" t="n">
        <v>45649</v>
      </c>
      <c r="F205" s="47" t="n">
        <v>45648</v>
      </c>
      <c r="G205" s="46" t="n">
        <v>164045</v>
      </c>
      <c r="H205" s="46" t="n">
        <v>164045</v>
      </c>
      <c r="I205" s="46" t="n">
        <v>374</v>
      </c>
      <c r="J205" s="44" t="n">
        <v>0.0281</v>
      </c>
      <c r="K205" s="43" t="inlineStr">
        <is>
          <t>Received</t>
        </is>
      </c>
      <c r="L205" s="17">
        <f>INDEX(Items!$C$2:$C$117,MATCH(B205,Items!$A$2:$A$117,0))</f>
        <v/>
      </c>
      <c r="M205" s="49">
        <f>INDEX(Items!$E$2:$E$117,MATCH(B205,Items!$A$2:$A$117,0))</f>
        <v/>
      </c>
      <c r="N205" s="17">
        <f>TEXT(D205,"yyyy-mm")</f>
        <v/>
      </c>
      <c r="O205" s="50">
        <f>G205*J205</f>
        <v/>
      </c>
      <c r="P205" s="50">
        <f>(J205-M205)*G205</f>
        <v/>
      </c>
      <c r="Q205" s="51">
        <f>IF(K205="Received",1,0)</f>
        <v/>
      </c>
      <c r="R205" s="51">
        <f>IF(Q205=1,F205-D205,0)</f>
        <v/>
      </c>
      <c r="S205" s="51">
        <f>IF(Q205=1,IF(F205&lt;=E205,1,0),0)</f>
        <v/>
      </c>
      <c r="T205" s="51">
        <f>IF(Q205=1,IF(H205&gt;=G205,1,0),0)</f>
        <v/>
      </c>
      <c r="U205" s="51">
        <f>S205*T205</f>
        <v/>
      </c>
      <c r="V205" s="51">
        <f>IF(Q205=1,MAX(0,F205-E205),0)</f>
        <v/>
      </c>
    </row>
    <row r="206">
      <c r="A206" s="43" t="inlineStr">
        <is>
          <t>PO101107</t>
        </is>
      </c>
      <c r="B206" s="43" t="inlineStr">
        <is>
          <t>CMD-0051</t>
        </is>
      </c>
      <c r="C206" s="43" t="inlineStr">
        <is>
          <t>S01</t>
        </is>
      </c>
      <c r="D206" s="47" t="n">
        <v>45628</v>
      </c>
      <c r="E206" s="47" t="n">
        <v>45649</v>
      </c>
      <c r="F206" s="47" t="n">
        <v>45648</v>
      </c>
      <c r="G206" s="46" t="n">
        <v>190492</v>
      </c>
      <c r="H206" s="46" t="n">
        <v>190492</v>
      </c>
      <c r="I206" s="46" t="n">
        <v>406</v>
      </c>
      <c r="J206" s="44" t="n">
        <v>0.0236</v>
      </c>
      <c r="K206" s="43" t="inlineStr">
        <is>
          <t>Received</t>
        </is>
      </c>
      <c r="L206" s="17">
        <f>INDEX(Items!$C$2:$C$117,MATCH(B206,Items!$A$2:$A$117,0))</f>
        <v/>
      </c>
      <c r="M206" s="49">
        <f>INDEX(Items!$E$2:$E$117,MATCH(B206,Items!$A$2:$A$117,0))</f>
        <v/>
      </c>
      <c r="N206" s="17">
        <f>TEXT(D206,"yyyy-mm")</f>
        <v/>
      </c>
      <c r="O206" s="50">
        <f>G206*J206</f>
        <v/>
      </c>
      <c r="P206" s="50">
        <f>(J206-M206)*G206</f>
        <v/>
      </c>
      <c r="Q206" s="51">
        <f>IF(K206="Received",1,0)</f>
        <v/>
      </c>
      <c r="R206" s="51">
        <f>IF(Q206=1,F206-D206,0)</f>
        <v/>
      </c>
      <c r="S206" s="51">
        <f>IF(Q206=1,IF(F206&lt;=E206,1,0),0)</f>
        <v/>
      </c>
      <c r="T206" s="51">
        <f>IF(Q206=1,IF(H206&gt;=G206,1,0),0)</f>
        <v/>
      </c>
      <c r="U206" s="51">
        <f>S206*T206</f>
        <v/>
      </c>
      <c r="V206" s="51">
        <f>IF(Q206=1,MAX(0,F206-E206),0)</f>
        <v/>
      </c>
    </row>
    <row r="207">
      <c r="A207" s="43" t="inlineStr">
        <is>
          <t>PO100366</t>
        </is>
      </c>
      <c r="B207" s="43" t="inlineStr">
        <is>
          <t>CMD-0017</t>
        </is>
      </c>
      <c r="C207" s="43" t="inlineStr">
        <is>
          <t>S11</t>
        </is>
      </c>
      <c r="D207" s="47" t="n">
        <v>45628</v>
      </c>
      <c r="E207" s="47" t="n">
        <v>45705</v>
      </c>
      <c r="F207" s="47" t="n">
        <v>45702</v>
      </c>
      <c r="G207" s="46" t="n">
        <v>7833</v>
      </c>
      <c r="H207" s="46" t="n">
        <v>7833</v>
      </c>
      <c r="I207" s="46" t="n">
        <v>13</v>
      </c>
      <c r="J207" s="44" t="n">
        <v>12.69</v>
      </c>
      <c r="K207" s="43" t="inlineStr">
        <is>
          <t>Received</t>
        </is>
      </c>
      <c r="L207" s="17">
        <f>INDEX(Items!$C$2:$C$117,MATCH(B207,Items!$A$2:$A$117,0))</f>
        <v/>
      </c>
      <c r="M207" s="49">
        <f>INDEX(Items!$E$2:$E$117,MATCH(B207,Items!$A$2:$A$117,0))</f>
        <v/>
      </c>
      <c r="N207" s="17">
        <f>TEXT(D207,"yyyy-mm")</f>
        <v/>
      </c>
      <c r="O207" s="50">
        <f>G207*J207</f>
        <v/>
      </c>
      <c r="P207" s="50">
        <f>(J207-M207)*G207</f>
        <v/>
      </c>
      <c r="Q207" s="51">
        <f>IF(K207="Received",1,0)</f>
        <v/>
      </c>
      <c r="R207" s="51">
        <f>IF(Q207=1,F207-D207,0)</f>
        <v/>
      </c>
      <c r="S207" s="51">
        <f>IF(Q207=1,IF(F207&lt;=E207,1,0),0)</f>
        <v/>
      </c>
      <c r="T207" s="51">
        <f>IF(Q207=1,IF(H207&gt;=G207,1,0),0)</f>
        <v/>
      </c>
      <c r="U207" s="51">
        <f>S207*T207</f>
        <v/>
      </c>
      <c r="V207" s="51">
        <f>IF(Q207=1,MAX(0,F207-E207),0)</f>
        <v/>
      </c>
    </row>
    <row r="208">
      <c r="A208" s="43" t="inlineStr">
        <is>
          <t>PO100618</t>
        </is>
      </c>
      <c r="B208" s="43" t="inlineStr">
        <is>
          <t>CMD-0028</t>
        </is>
      </c>
      <c r="C208" s="43" t="inlineStr">
        <is>
          <t>S11</t>
        </is>
      </c>
      <c r="D208" s="47" t="n">
        <v>45628</v>
      </c>
      <c r="E208" s="47" t="n">
        <v>45705</v>
      </c>
      <c r="F208" s="47" t="n">
        <v>45703</v>
      </c>
      <c r="G208" s="46" t="n">
        <v>3581</v>
      </c>
      <c r="H208" s="46" t="n">
        <v>3581</v>
      </c>
      <c r="I208" s="46" t="n">
        <v>10</v>
      </c>
      <c r="J208" s="44" t="n">
        <v>15.84</v>
      </c>
      <c r="K208" s="43" t="inlineStr">
        <is>
          <t>Received</t>
        </is>
      </c>
      <c r="L208" s="17">
        <f>INDEX(Items!$C$2:$C$117,MATCH(B208,Items!$A$2:$A$117,0))</f>
        <v/>
      </c>
      <c r="M208" s="49">
        <f>INDEX(Items!$E$2:$E$117,MATCH(B208,Items!$A$2:$A$117,0))</f>
        <v/>
      </c>
      <c r="N208" s="17">
        <f>TEXT(D208,"yyyy-mm")</f>
        <v/>
      </c>
      <c r="O208" s="50">
        <f>G208*J208</f>
        <v/>
      </c>
      <c r="P208" s="50">
        <f>(J208-M208)*G208</f>
        <v/>
      </c>
      <c r="Q208" s="51">
        <f>IF(K208="Received",1,0)</f>
        <v/>
      </c>
      <c r="R208" s="51">
        <f>IF(Q208=1,F208-D208,0)</f>
        <v/>
      </c>
      <c r="S208" s="51">
        <f>IF(Q208=1,IF(F208&lt;=E208,1,0),0)</f>
        <v/>
      </c>
      <c r="T208" s="51">
        <f>IF(Q208=1,IF(H208&gt;=G208,1,0),0)</f>
        <v/>
      </c>
      <c r="U208" s="51">
        <f>S208*T208</f>
        <v/>
      </c>
      <c r="V208" s="51">
        <f>IF(Q208=1,MAX(0,F208-E208),0)</f>
        <v/>
      </c>
    </row>
    <row r="209">
      <c r="A209" s="43" t="inlineStr">
        <is>
          <t>PO101870</t>
        </is>
      </c>
      <c r="B209" s="43" t="inlineStr">
        <is>
          <t>CMD-0102</t>
        </is>
      </c>
      <c r="C209" s="43" t="inlineStr">
        <is>
          <t>S09</t>
        </is>
      </c>
      <c r="D209" s="47" t="n">
        <v>45629</v>
      </c>
      <c r="E209" s="47" t="n">
        <v>45650</v>
      </c>
      <c r="F209" s="47" t="n">
        <v>45648</v>
      </c>
      <c r="G209" s="46" t="n">
        <v>2273</v>
      </c>
      <c r="H209" s="46" t="n">
        <v>2273</v>
      </c>
      <c r="I209" s="46" t="n">
        <v>9</v>
      </c>
      <c r="J209" s="44" t="n">
        <v>6.71</v>
      </c>
      <c r="K209" s="43" t="inlineStr">
        <is>
          <t>Received</t>
        </is>
      </c>
      <c r="L209" s="17">
        <f>INDEX(Items!$C$2:$C$117,MATCH(B209,Items!$A$2:$A$117,0))</f>
        <v/>
      </c>
      <c r="M209" s="49">
        <f>INDEX(Items!$E$2:$E$117,MATCH(B209,Items!$A$2:$A$117,0))</f>
        <v/>
      </c>
      <c r="N209" s="17">
        <f>TEXT(D209,"yyyy-mm")</f>
        <v/>
      </c>
      <c r="O209" s="50">
        <f>G209*J209</f>
        <v/>
      </c>
      <c r="P209" s="50">
        <f>(J209-M209)*G209</f>
        <v/>
      </c>
      <c r="Q209" s="51">
        <f>IF(K209="Received",1,0)</f>
        <v/>
      </c>
      <c r="R209" s="51">
        <f>IF(Q209=1,F209-D209,0)</f>
        <v/>
      </c>
      <c r="S209" s="51">
        <f>IF(Q209=1,IF(F209&lt;=E209,1,0),0)</f>
        <v/>
      </c>
      <c r="T209" s="51">
        <f>IF(Q209=1,IF(H209&gt;=G209,1,0),0)</f>
        <v/>
      </c>
      <c r="U209" s="51">
        <f>S209*T209</f>
        <v/>
      </c>
      <c r="V209" s="51">
        <f>IF(Q209=1,MAX(0,F209-E209),0)</f>
        <v/>
      </c>
    </row>
    <row r="210">
      <c r="A210" s="43" t="inlineStr">
        <is>
          <t>PO101740</t>
        </is>
      </c>
      <c r="B210" s="43" t="inlineStr">
        <is>
          <t>CMD-0095</t>
        </is>
      </c>
      <c r="C210" s="43" t="inlineStr">
        <is>
          <t>S08</t>
        </is>
      </c>
      <c r="D210" s="47" t="n">
        <v>45629</v>
      </c>
      <c r="E210" s="47" t="n">
        <v>45706</v>
      </c>
      <c r="F210" s="47" t="n">
        <v>45730</v>
      </c>
      <c r="G210" s="46" t="n">
        <v>336</v>
      </c>
      <c r="H210" s="46" t="n">
        <v>336</v>
      </c>
      <c r="I210" s="46" t="n">
        <v>1</v>
      </c>
      <c r="J210" s="44" t="n">
        <v>91.83</v>
      </c>
      <c r="K210" s="43" t="inlineStr">
        <is>
          <t>Received</t>
        </is>
      </c>
      <c r="L210" s="17">
        <f>INDEX(Items!$C$2:$C$117,MATCH(B210,Items!$A$2:$A$117,0))</f>
        <v/>
      </c>
      <c r="M210" s="49">
        <f>INDEX(Items!$E$2:$E$117,MATCH(B210,Items!$A$2:$A$117,0))</f>
        <v/>
      </c>
      <c r="N210" s="17">
        <f>TEXT(D210,"yyyy-mm")</f>
        <v/>
      </c>
      <c r="O210" s="50">
        <f>G210*J210</f>
        <v/>
      </c>
      <c r="P210" s="50">
        <f>(J210-M210)*G210</f>
        <v/>
      </c>
      <c r="Q210" s="51">
        <f>IF(K210="Received",1,0)</f>
        <v/>
      </c>
      <c r="R210" s="51">
        <f>IF(Q210=1,F210-D210,0)</f>
        <v/>
      </c>
      <c r="S210" s="51">
        <f>IF(Q210=1,IF(F210&lt;=E210,1,0),0)</f>
        <v/>
      </c>
      <c r="T210" s="51">
        <f>IF(Q210=1,IF(H210&gt;=G210,1,0),0)</f>
        <v/>
      </c>
      <c r="U210" s="51">
        <f>S210*T210</f>
        <v/>
      </c>
      <c r="V210" s="51">
        <f>IF(Q210=1,MAX(0,F210-E210),0)</f>
        <v/>
      </c>
    </row>
    <row r="211">
      <c r="A211" s="43" t="inlineStr">
        <is>
          <t>PO101668</t>
        </is>
      </c>
      <c r="B211" s="43" t="inlineStr">
        <is>
          <t>CMD-0092</t>
        </is>
      </c>
      <c r="C211" s="43" t="inlineStr">
        <is>
          <t>S08</t>
        </is>
      </c>
      <c r="D211" s="47" t="n">
        <v>45629</v>
      </c>
      <c r="E211" s="47" t="n">
        <v>45706</v>
      </c>
      <c r="F211" s="47" t="n">
        <v>45706</v>
      </c>
      <c r="G211" s="46" t="n">
        <v>355</v>
      </c>
      <c r="H211" s="46" t="n">
        <v>355</v>
      </c>
      <c r="I211" s="46" t="n">
        <v>6</v>
      </c>
      <c r="J211" s="44" t="n">
        <v>29.47</v>
      </c>
      <c r="K211" s="43" t="inlineStr">
        <is>
          <t>Received</t>
        </is>
      </c>
      <c r="L211" s="17">
        <f>INDEX(Items!$C$2:$C$117,MATCH(B211,Items!$A$2:$A$117,0))</f>
        <v/>
      </c>
      <c r="M211" s="49">
        <f>INDEX(Items!$E$2:$E$117,MATCH(B211,Items!$A$2:$A$117,0))</f>
        <v/>
      </c>
      <c r="N211" s="17">
        <f>TEXT(D211,"yyyy-mm")</f>
        <v/>
      </c>
      <c r="O211" s="50">
        <f>G211*J211</f>
        <v/>
      </c>
      <c r="P211" s="50">
        <f>(J211-M211)*G211</f>
        <v/>
      </c>
      <c r="Q211" s="51">
        <f>IF(K211="Received",1,0)</f>
        <v/>
      </c>
      <c r="R211" s="51">
        <f>IF(Q211=1,F211-D211,0)</f>
        <v/>
      </c>
      <c r="S211" s="51">
        <f>IF(Q211=1,IF(F211&lt;=E211,1,0),0)</f>
        <v/>
      </c>
      <c r="T211" s="51">
        <f>IF(Q211=1,IF(H211&gt;=G211,1,0),0)</f>
        <v/>
      </c>
      <c r="U211" s="51">
        <f>S211*T211</f>
        <v/>
      </c>
      <c r="V211" s="51">
        <f>IF(Q211=1,MAX(0,F211-E211),0)</f>
        <v/>
      </c>
    </row>
    <row r="212">
      <c r="A212" s="43" t="inlineStr">
        <is>
          <t>PO101310</t>
        </is>
      </c>
      <c r="B212" s="43" t="inlineStr">
        <is>
          <t>CMD-0065</t>
        </is>
      </c>
      <c r="C212" s="43" t="inlineStr">
        <is>
          <t>S10</t>
        </is>
      </c>
      <c r="D212" s="47" t="n">
        <v>45629</v>
      </c>
      <c r="E212" s="47" t="n">
        <v>45657</v>
      </c>
      <c r="F212" s="47" t="n">
        <v>45655</v>
      </c>
      <c r="G212" s="46" t="n">
        <v>121369</v>
      </c>
      <c r="H212" s="46" t="n">
        <v>121369</v>
      </c>
      <c r="I212" s="46" t="n">
        <v>127</v>
      </c>
      <c r="J212" s="44" t="n">
        <v>0.1155</v>
      </c>
      <c r="K212" s="43" t="inlineStr">
        <is>
          <t>Received</t>
        </is>
      </c>
      <c r="L212" s="17">
        <f>INDEX(Items!$C$2:$C$117,MATCH(B212,Items!$A$2:$A$117,0))</f>
        <v/>
      </c>
      <c r="M212" s="49">
        <f>INDEX(Items!$E$2:$E$117,MATCH(B212,Items!$A$2:$A$117,0))</f>
        <v/>
      </c>
      <c r="N212" s="17">
        <f>TEXT(D212,"yyyy-mm")</f>
        <v/>
      </c>
      <c r="O212" s="50">
        <f>G212*J212</f>
        <v/>
      </c>
      <c r="P212" s="50">
        <f>(J212-M212)*G212</f>
        <v/>
      </c>
      <c r="Q212" s="51">
        <f>IF(K212="Received",1,0)</f>
        <v/>
      </c>
      <c r="R212" s="51">
        <f>IF(Q212=1,F212-D212,0)</f>
        <v/>
      </c>
      <c r="S212" s="51">
        <f>IF(Q212=1,IF(F212&lt;=E212,1,0),0)</f>
        <v/>
      </c>
      <c r="T212" s="51">
        <f>IF(Q212=1,IF(H212&gt;=G212,1,0),0)</f>
        <v/>
      </c>
      <c r="U212" s="51">
        <f>S212*T212</f>
        <v/>
      </c>
      <c r="V212" s="51">
        <f>IF(Q212=1,MAX(0,F212-E212),0)</f>
        <v/>
      </c>
    </row>
    <row r="213">
      <c r="A213" s="43" t="inlineStr">
        <is>
          <t>PO101764</t>
        </is>
      </c>
      <c r="B213" s="43" t="inlineStr">
        <is>
          <t>CMD-0096</t>
        </is>
      </c>
      <c r="C213" s="43" t="inlineStr">
        <is>
          <t>S09</t>
        </is>
      </c>
      <c r="D213" s="47" t="n">
        <v>45629</v>
      </c>
      <c r="E213" s="47" t="n">
        <v>45650</v>
      </c>
      <c r="F213" s="47" t="n">
        <v>45647</v>
      </c>
      <c r="G213" s="46" t="n">
        <v>814</v>
      </c>
      <c r="H213" s="46" t="n">
        <v>814</v>
      </c>
      <c r="I213" s="46" t="n">
        <v>2</v>
      </c>
      <c r="J213" s="44" t="n">
        <v>6.42</v>
      </c>
      <c r="K213" s="43" t="inlineStr">
        <is>
          <t>Received</t>
        </is>
      </c>
      <c r="L213" s="17">
        <f>INDEX(Items!$C$2:$C$117,MATCH(B213,Items!$A$2:$A$117,0))</f>
        <v/>
      </c>
      <c r="M213" s="49">
        <f>INDEX(Items!$E$2:$E$117,MATCH(B213,Items!$A$2:$A$117,0))</f>
        <v/>
      </c>
      <c r="N213" s="17">
        <f>TEXT(D213,"yyyy-mm")</f>
        <v/>
      </c>
      <c r="O213" s="50">
        <f>G213*J213</f>
        <v/>
      </c>
      <c r="P213" s="50">
        <f>(J213-M213)*G213</f>
        <v/>
      </c>
      <c r="Q213" s="51">
        <f>IF(K213="Received",1,0)</f>
        <v/>
      </c>
      <c r="R213" s="51">
        <f>IF(Q213=1,F213-D213,0)</f>
        <v/>
      </c>
      <c r="S213" s="51">
        <f>IF(Q213=1,IF(F213&lt;=E213,1,0),0)</f>
        <v/>
      </c>
      <c r="T213" s="51">
        <f>IF(Q213=1,IF(H213&gt;=G213,1,0),0)</f>
        <v/>
      </c>
      <c r="U213" s="51">
        <f>S213*T213</f>
        <v/>
      </c>
      <c r="V213" s="51">
        <f>IF(Q213=1,MAX(0,F213-E213),0)</f>
        <v/>
      </c>
    </row>
    <row r="214">
      <c r="A214" s="43" t="inlineStr">
        <is>
          <t>PO100074</t>
        </is>
      </c>
      <c r="B214" s="43" t="inlineStr">
        <is>
          <t>CMD-0004</t>
        </is>
      </c>
      <c r="C214" s="43" t="inlineStr">
        <is>
          <t>S07</t>
        </is>
      </c>
      <c r="D214" s="47" t="n">
        <v>45630</v>
      </c>
      <c r="E214" s="47" t="n">
        <v>45721</v>
      </c>
      <c r="F214" s="47" t="n">
        <v>45721</v>
      </c>
      <c r="G214" s="46" t="n">
        <v>3250</v>
      </c>
      <c r="H214" s="46" t="n">
        <v>3250</v>
      </c>
      <c r="I214" s="46" t="n">
        <v>21</v>
      </c>
      <c r="J214" s="44" t="n">
        <v>4.05</v>
      </c>
      <c r="K214" s="43" t="inlineStr">
        <is>
          <t>Received</t>
        </is>
      </c>
      <c r="L214" s="17">
        <f>INDEX(Items!$C$2:$C$117,MATCH(B214,Items!$A$2:$A$117,0))</f>
        <v/>
      </c>
      <c r="M214" s="49">
        <f>INDEX(Items!$E$2:$E$117,MATCH(B214,Items!$A$2:$A$117,0))</f>
        <v/>
      </c>
      <c r="N214" s="17">
        <f>TEXT(D214,"yyyy-mm")</f>
        <v/>
      </c>
      <c r="O214" s="50">
        <f>G214*J214</f>
        <v/>
      </c>
      <c r="P214" s="50">
        <f>(J214-M214)*G214</f>
        <v/>
      </c>
      <c r="Q214" s="51">
        <f>IF(K214="Received",1,0)</f>
        <v/>
      </c>
      <c r="R214" s="51">
        <f>IF(Q214=1,F214-D214,0)</f>
        <v/>
      </c>
      <c r="S214" s="51">
        <f>IF(Q214=1,IF(F214&lt;=E214,1,0),0)</f>
        <v/>
      </c>
      <c r="T214" s="51">
        <f>IF(Q214=1,IF(H214&gt;=G214,1,0),0)</f>
        <v/>
      </c>
      <c r="U214" s="51">
        <f>S214*T214</f>
        <v/>
      </c>
      <c r="V214" s="51">
        <f>IF(Q214=1,MAX(0,F214-E214),0)</f>
        <v/>
      </c>
    </row>
    <row r="215">
      <c r="A215" s="43" t="inlineStr">
        <is>
          <t>PO101934</t>
        </is>
      </c>
      <c r="B215" s="43" t="inlineStr">
        <is>
          <t>CMD-0107</t>
        </is>
      </c>
      <c r="C215" s="43" t="inlineStr">
        <is>
          <t>S09</t>
        </is>
      </c>
      <c r="D215" s="47" t="n">
        <v>45630</v>
      </c>
      <c r="E215" s="47" t="n">
        <v>45651</v>
      </c>
      <c r="F215" s="47" t="n">
        <v>45650</v>
      </c>
      <c r="G215" s="46" t="n">
        <v>1208</v>
      </c>
      <c r="H215" s="46" t="n">
        <v>1208</v>
      </c>
      <c r="I215" s="46" t="n">
        <v>4</v>
      </c>
      <c r="J215" s="44" t="n">
        <v>6.95</v>
      </c>
      <c r="K215" s="43" t="inlineStr">
        <is>
          <t>Received</t>
        </is>
      </c>
      <c r="L215" s="17">
        <f>INDEX(Items!$C$2:$C$117,MATCH(B215,Items!$A$2:$A$117,0))</f>
        <v/>
      </c>
      <c r="M215" s="49">
        <f>INDEX(Items!$E$2:$E$117,MATCH(B215,Items!$A$2:$A$117,0))</f>
        <v/>
      </c>
      <c r="N215" s="17">
        <f>TEXT(D215,"yyyy-mm")</f>
        <v/>
      </c>
      <c r="O215" s="50">
        <f>G215*J215</f>
        <v/>
      </c>
      <c r="P215" s="50">
        <f>(J215-M215)*G215</f>
        <v/>
      </c>
      <c r="Q215" s="51">
        <f>IF(K215="Received",1,0)</f>
        <v/>
      </c>
      <c r="R215" s="51">
        <f>IF(Q215=1,F215-D215,0)</f>
        <v/>
      </c>
      <c r="S215" s="51">
        <f>IF(Q215=1,IF(F215&lt;=E215,1,0),0)</f>
        <v/>
      </c>
      <c r="T215" s="51">
        <f>IF(Q215=1,IF(H215&gt;=G215,1,0),0)</f>
        <v/>
      </c>
      <c r="U215" s="51">
        <f>S215*T215</f>
        <v/>
      </c>
      <c r="V215" s="51">
        <f>IF(Q215=1,MAX(0,F215-E215),0)</f>
        <v/>
      </c>
    </row>
    <row r="216">
      <c r="A216" s="43" t="inlineStr">
        <is>
          <t>PO100026</t>
        </is>
      </c>
      <c r="B216" s="43" t="inlineStr">
        <is>
          <t>CMD-0002</t>
        </is>
      </c>
      <c r="C216" s="43" t="inlineStr">
        <is>
          <t>S11</t>
        </is>
      </c>
      <c r="D216" s="47" t="n">
        <v>45630</v>
      </c>
      <c r="E216" s="47" t="n">
        <v>45749</v>
      </c>
      <c r="F216" s="47" t="n">
        <v>45747</v>
      </c>
      <c r="G216" s="46" t="n">
        <v>7781</v>
      </c>
      <c r="H216" s="46" t="n">
        <v>7781</v>
      </c>
      <c r="I216" s="46" t="n">
        <v>11</v>
      </c>
      <c r="J216" s="44" t="n">
        <v>6.85</v>
      </c>
      <c r="K216" s="43" t="inlineStr">
        <is>
          <t>Received</t>
        </is>
      </c>
      <c r="L216" s="17">
        <f>INDEX(Items!$C$2:$C$117,MATCH(B216,Items!$A$2:$A$117,0))</f>
        <v/>
      </c>
      <c r="M216" s="49">
        <f>INDEX(Items!$E$2:$E$117,MATCH(B216,Items!$A$2:$A$117,0))</f>
        <v/>
      </c>
      <c r="N216" s="17">
        <f>TEXT(D216,"yyyy-mm")</f>
        <v/>
      </c>
      <c r="O216" s="50">
        <f>G216*J216</f>
        <v/>
      </c>
      <c r="P216" s="50">
        <f>(J216-M216)*G216</f>
        <v/>
      </c>
      <c r="Q216" s="51">
        <f>IF(K216="Received",1,0)</f>
        <v/>
      </c>
      <c r="R216" s="51">
        <f>IF(Q216=1,F216-D216,0)</f>
        <v/>
      </c>
      <c r="S216" s="51">
        <f>IF(Q216=1,IF(F216&lt;=E216,1,0),0)</f>
        <v/>
      </c>
      <c r="T216" s="51">
        <f>IF(Q216=1,IF(H216&gt;=G216,1,0),0)</f>
        <v/>
      </c>
      <c r="U216" s="51">
        <f>S216*T216</f>
        <v/>
      </c>
      <c r="V216" s="51">
        <f>IF(Q216=1,MAX(0,F216-E216),0)</f>
        <v/>
      </c>
    </row>
    <row r="217">
      <c r="A217" s="43" t="inlineStr">
        <is>
          <t>PO100122</t>
        </is>
      </c>
      <c r="B217" s="43" t="inlineStr">
        <is>
          <t>CMD-0006</t>
        </is>
      </c>
      <c r="C217" s="43" t="inlineStr">
        <is>
          <t>S03</t>
        </is>
      </c>
      <c r="D217" s="47" t="n">
        <v>45630</v>
      </c>
      <c r="E217" s="47" t="n">
        <v>45763</v>
      </c>
      <c r="F217" s="47" t="n">
        <v>45787</v>
      </c>
      <c r="G217" s="46" t="n">
        <v>803</v>
      </c>
      <c r="H217" s="46" t="n">
        <v>803</v>
      </c>
      <c r="I217" s="46" t="n">
        <v>5</v>
      </c>
      <c r="J217" s="44" t="n">
        <v>30.55</v>
      </c>
      <c r="K217" s="43" t="inlineStr">
        <is>
          <t>Received</t>
        </is>
      </c>
      <c r="L217" s="17">
        <f>INDEX(Items!$C$2:$C$117,MATCH(B217,Items!$A$2:$A$117,0))</f>
        <v/>
      </c>
      <c r="M217" s="49">
        <f>INDEX(Items!$E$2:$E$117,MATCH(B217,Items!$A$2:$A$117,0))</f>
        <v/>
      </c>
      <c r="N217" s="17">
        <f>TEXT(D217,"yyyy-mm")</f>
        <v/>
      </c>
      <c r="O217" s="50">
        <f>G217*J217</f>
        <v/>
      </c>
      <c r="P217" s="50">
        <f>(J217-M217)*G217</f>
        <v/>
      </c>
      <c r="Q217" s="51">
        <f>IF(K217="Received",1,0)</f>
        <v/>
      </c>
      <c r="R217" s="51">
        <f>IF(Q217=1,F217-D217,0)</f>
        <v/>
      </c>
      <c r="S217" s="51">
        <f>IF(Q217=1,IF(F217&lt;=E217,1,0),0)</f>
        <v/>
      </c>
      <c r="T217" s="51">
        <f>IF(Q217=1,IF(H217&gt;=G217,1,0),0)</f>
        <v/>
      </c>
      <c r="U217" s="51">
        <f>S217*T217</f>
        <v/>
      </c>
      <c r="V217" s="51">
        <f>IF(Q217=1,MAX(0,F217-E217),0)</f>
        <v/>
      </c>
    </row>
    <row r="218">
      <c r="A218" s="43" t="inlineStr">
        <is>
          <t>PO100820</t>
        </is>
      </c>
      <c r="B218" s="43" t="inlineStr">
        <is>
          <t>CMD-0037</t>
        </is>
      </c>
      <c r="C218" s="43" t="inlineStr">
        <is>
          <t>S07</t>
        </is>
      </c>
      <c r="D218" s="47" t="n">
        <v>45630</v>
      </c>
      <c r="E218" s="47" t="n">
        <v>45672</v>
      </c>
      <c r="F218" s="47" t="n">
        <v>45671</v>
      </c>
      <c r="G218" s="46" t="n">
        <v>456</v>
      </c>
      <c r="H218" s="46" t="n">
        <v>456</v>
      </c>
      <c r="I218" s="46" t="n">
        <v>3</v>
      </c>
      <c r="J218" s="44" t="n">
        <v>53.62</v>
      </c>
      <c r="K218" s="43" t="inlineStr">
        <is>
          <t>Received</t>
        </is>
      </c>
      <c r="L218" s="17">
        <f>INDEX(Items!$C$2:$C$117,MATCH(B218,Items!$A$2:$A$117,0))</f>
        <v/>
      </c>
      <c r="M218" s="49">
        <f>INDEX(Items!$E$2:$E$117,MATCH(B218,Items!$A$2:$A$117,0))</f>
        <v/>
      </c>
      <c r="N218" s="17">
        <f>TEXT(D218,"yyyy-mm")</f>
        <v/>
      </c>
      <c r="O218" s="50">
        <f>G218*J218</f>
        <v/>
      </c>
      <c r="P218" s="50">
        <f>(J218-M218)*G218</f>
        <v/>
      </c>
      <c r="Q218" s="51">
        <f>IF(K218="Received",1,0)</f>
        <v/>
      </c>
      <c r="R218" s="51">
        <f>IF(Q218=1,F218-D218,0)</f>
        <v/>
      </c>
      <c r="S218" s="51">
        <f>IF(Q218=1,IF(F218&lt;=E218,1,0),0)</f>
        <v/>
      </c>
      <c r="T218" s="51">
        <f>IF(Q218=1,IF(H218&gt;=G218,1,0),0)</f>
        <v/>
      </c>
      <c r="U218" s="51">
        <f>S218*T218</f>
        <v/>
      </c>
      <c r="V218" s="51">
        <f>IF(Q218=1,MAX(0,F218-E218),0)</f>
        <v/>
      </c>
    </row>
    <row r="219">
      <c r="A219" s="43" t="inlineStr">
        <is>
          <t>PO101962</t>
        </is>
      </c>
      <c r="B219" s="43" t="inlineStr">
        <is>
          <t>CMD-0109</t>
        </is>
      </c>
      <c r="C219" s="43" t="inlineStr">
        <is>
          <t>S12</t>
        </is>
      </c>
      <c r="D219" s="47" t="n">
        <v>45631</v>
      </c>
      <c r="E219" s="47" t="n">
        <v>45638</v>
      </c>
      <c r="F219" s="47" t="n">
        <v>45637</v>
      </c>
      <c r="G219" s="46" t="n">
        <v>7851</v>
      </c>
      <c r="H219" s="46" t="n">
        <v>7851</v>
      </c>
      <c r="I219" s="46" t="n">
        <v>7</v>
      </c>
      <c r="J219" s="44" t="n">
        <v>1.7</v>
      </c>
      <c r="K219" s="43" t="inlineStr">
        <is>
          <t>Received</t>
        </is>
      </c>
      <c r="L219" s="17">
        <f>INDEX(Items!$C$2:$C$117,MATCH(B219,Items!$A$2:$A$117,0))</f>
        <v/>
      </c>
      <c r="M219" s="49">
        <f>INDEX(Items!$E$2:$E$117,MATCH(B219,Items!$A$2:$A$117,0))</f>
        <v/>
      </c>
      <c r="N219" s="17">
        <f>TEXT(D219,"yyyy-mm")</f>
        <v/>
      </c>
      <c r="O219" s="50">
        <f>G219*J219</f>
        <v/>
      </c>
      <c r="P219" s="50">
        <f>(J219-M219)*G219</f>
        <v/>
      </c>
      <c r="Q219" s="51">
        <f>IF(K219="Received",1,0)</f>
        <v/>
      </c>
      <c r="R219" s="51">
        <f>IF(Q219=1,F219-D219,0)</f>
        <v/>
      </c>
      <c r="S219" s="51">
        <f>IF(Q219=1,IF(F219&lt;=E219,1,0),0)</f>
        <v/>
      </c>
      <c r="T219" s="51">
        <f>IF(Q219=1,IF(H219&gt;=G219,1,0),0)</f>
        <v/>
      </c>
      <c r="U219" s="51">
        <f>S219*T219</f>
        <v/>
      </c>
      <c r="V219" s="51">
        <f>IF(Q219=1,MAX(0,F219-E219),0)</f>
        <v/>
      </c>
    </row>
    <row r="220">
      <c r="A220" s="43" t="inlineStr">
        <is>
          <t>PO101506</t>
        </is>
      </c>
      <c r="B220" s="43" t="inlineStr">
        <is>
          <t>CMD-0080</t>
        </is>
      </c>
      <c r="C220" s="43" t="inlineStr">
        <is>
          <t>S06</t>
        </is>
      </c>
      <c r="D220" s="47" t="n">
        <v>45631</v>
      </c>
      <c r="E220" s="47" t="n">
        <v>45652</v>
      </c>
      <c r="F220" s="47" t="n">
        <v>45650</v>
      </c>
      <c r="G220" s="46" t="n">
        <v>4688</v>
      </c>
      <c r="H220" s="46" t="n">
        <v>4688</v>
      </c>
      <c r="I220" s="46" t="n">
        <v>27</v>
      </c>
      <c r="J220" s="44" t="n">
        <v>5.53</v>
      </c>
      <c r="K220" s="43" t="inlineStr">
        <is>
          <t>Received</t>
        </is>
      </c>
      <c r="L220" s="17">
        <f>INDEX(Items!$C$2:$C$117,MATCH(B220,Items!$A$2:$A$117,0))</f>
        <v/>
      </c>
      <c r="M220" s="49">
        <f>INDEX(Items!$E$2:$E$117,MATCH(B220,Items!$A$2:$A$117,0))</f>
        <v/>
      </c>
      <c r="N220" s="17">
        <f>TEXT(D220,"yyyy-mm")</f>
        <v/>
      </c>
      <c r="O220" s="50">
        <f>G220*J220</f>
        <v/>
      </c>
      <c r="P220" s="50">
        <f>(J220-M220)*G220</f>
        <v/>
      </c>
      <c r="Q220" s="51">
        <f>IF(K220="Received",1,0)</f>
        <v/>
      </c>
      <c r="R220" s="51">
        <f>IF(Q220=1,F220-D220,0)</f>
        <v/>
      </c>
      <c r="S220" s="51">
        <f>IF(Q220=1,IF(F220&lt;=E220,1,0),0)</f>
        <v/>
      </c>
      <c r="T220" s="51">
        <f>IF(Q220=1,IF(H220&gt;=G220,1,0),0)</f>
        <v/>
      </c>
      <c r="U220" s="51">
        <f>S220*T220</f>
        <v/>
      </c>
      <c r="V220" s="51">
        <f>IF(Q220=1,MAX(0,F220-E220),0)</f>
        <v/>
      </c>
    </row>
    <row r="221">
      <c r="A221" s="43" t="inlineStr">
        <is>
          <t>PO100724</t>
        </is>
      </c>
      <c r="B221" s="43" t="inlineStr">
        <is>
          <t>CMD-0033</t>
        </is>
      </c>
      <c r="C221" s="43" t="inlineStr">
        <is>
          <t>S07</t>
        </is>
      </c>
      <c r="D221" s="47" t="n">
        <v>45631</v>
      </c>
      <c r="E221" s="47" t="n">
        <v>45673</v>
      </c>
      <c r="F221" s="47" t="n">
        <v>45672</v>
      </c>
      <c r="G221" s="46" t="n">
        <v>3601</v>
      </c>
      <c r="H221" s="46" t="n">
        <v>3601</v>
      </c>
      <c r="I221" s="46" t="n">
        <v>32</v>
      </c>
      <c r="J221" s="44" t="n">
        <v>58.36</v>
      </c>
      <c r="K221" s="43" t="inlineStr">
        <is>
          <t>Received</t>
        </is>
      </c>
      <c r="L221" s="17">
        <f>INDEX(Items!$C$2:$C$117,MATCH(B221,Items!$A$2:$A$117,0))</f>
        <v/>
      </c>
      <c r="M221" s="49">
        <f>INDEX(Items!$E$2:$E$117,MATCH(B221,Items!$A$2:$A$117,0))</f>
        <v/>
      </c>
      <c r="N221" s="17">
        <f>TEXT(D221,"yyyy-mm")</f>
        <v/>
      </c>
      <c r="O221" s="50">
        <f>G221*J221</f>
        <v/>
      </c>
      <c r="P221" s="50">
        <f>(J221-M221)*G221</f>
        <v/>
      </c>
      <c r="Q221" s="51">
        <f>IF(K221="Received",1,0)</f>
        <v/>
      </c>
      <c r="R221" s="51">
        <f>IF(Q221=1,F221-D221,0)</f>
        <v/>
      </c>
      <c r="S221" s="51">
        <f>IF(Q221=1,IF(F221&lt;=E221,1,0),0)</f>
        <v/>
      </c>
      <c r="T221" s="51">
        <f>IF(Q221=1,IF(H221&gt;=G221,1,0),0)</f>
        <v/>
      </c>
      <c r="U221" s="51">
        <f>S221*T221</f>
        <v/>
      </c>
      <c r="V221" s="51">
        <f>IF(Q221=1,MAX(0,F221-E221),0)</f>
        <v/>
      </c>
    </row>
    <row r="222">
      <c r="A222" s="43" t="inlineStr">
        <is>
          <t>PO101644</t>
        </is>
      </c>
      <c r="B222" s="43" t="inlineStr">
        <is>
          <t>CMD-0091</t>
        </is>
      </c>
      <c r="C222" s="43" t="inlineStr">
        <is>
          <t>S08</t>
        </is>
      </c>
      <c r="D222" s="47" t="n">
        <v>45631</v>
      </c>
      <c r="E222" s="47" t="n">
        <v>45708</v>
      </c>
      <c r="F222" s="47" t="n">
        <v>45705</v>
      </c>
      <c r="G222" s="46" t="n">
        <v>1019</v>
      </c>
      <c r="H222" s="46" t="n">
        <v>1019</v>
      </c>
      <c r="I222" s="46" t="n">
        <v>16</v>
      </c>
      <c r="J222" s="44" t="n">
        <v>23.8</v>
      </c>
      <c r="K222" s="43" t="inlineStr">
        <is>
          <t>Received</t>
        </is>
      </c>
      <c r="L222" s="17">
        <f>INDEX(Items!$C$2:$C$117,MATCH(B222,Items!$A$2:$A$117,0))</f>
        <v/>
      </c>
      <c r="M222" s="49">
        <f>INDEX(Items!$E$2:$E$117,MATCH(B222,Items!$A$2:$A$117,0))</f>
        <v/>
      </c>
      <c r="N222" s="17">
        <f>TEXT(D222,"yyyy-mm")</f>
        <v/>
      </c>
      <c r="O222" s="50">
        <f>G222*J222</f>
        <v/>
      </c>
      <c r="P222" s="50">
        <f>(J222-M222)*G222</f>
        <v/>
      </c>
      <c r="Q222" s="51">
        <f>IF(K222="Received",1,0)</f>
        <v/>
      </c>
      <c r="R222" s="51">
        <f>IF(Q222=1,F222-D222,0)</f>
        <v/>
      </c>
      <c r="S222" s="51">
        <f>IF(Q222=1,IF(F222&lt;=E222,1,0),0)</f>
        <v/>
      </c>
      <c r="T222" s="51">
        <f>IF(Q222=1,IF(H222&gt;=G222,1,0),0)</f>
        <v/>
      </c>
      <c r="U222" s="51">
        <f>S222*T222</f>
        <v/>
      </c>
      <c r="V222" s="51">
        <f>IF(Q222=1,MAX(0,F222-E222),0)</f>
        <v/>
      </c>
    </row>
    <row r="223">
      <c r="A223" s="43" t="inlineStr">
        <is>
          <t>PO100772</t>
        </is>
      </c>
      <c r="B223" s="43" t="inlineStr">
        <is>
          <t>CMD-0035</t>
        </is>
      </c>
      <c r="C223" s="43" t="inlineStr">
        <is>
          <t>S01</t>
        </is>
      </c>
      <c r="D223" s="47" t="n">
        <v>45631</v>
      </c>
      <c r="E223" s="47" t="n">
        <v>45659</v>
      </c>
      <c r="F223" s="47" t="n">
        <v>45656</v>
      </c>
      <c r="G223" s="46" t="n">
        <v>549</v>
      </c>
      <c r="H223" s="46" t="n">
        <v>549</v>
      </c>
      <c r="I223" s="46" t="n">
        <v>1</v>
      </c>
      <c r="J223" s="44" t="n">
        <v>9.369999999999999</v>
      </c>
      <c r="K223" s="43" t="inlineStr">
        <is>
          <t>Received</t>
        </is>
      </c>
      <c r="L223" s="17">
        <f>INDEX(Items!$C$2:$C$117,MATCH(B223,Items!$A$2:$A$117,0))</f>
        <v/>
      </c>
      <c r="M223" s="49">
        <f>INDEX(Items!$E$2:$E$117,MATCH(B223,Items!$A$2:$A$117,0))</f>
        <v/>
      </c>
      <c r="N223" s="17">
        <f>TEXT(D223,"yyyy-mm")</f>
        <v/>
      </c>
      <c r="O223" s="50">
        <f>G223*J223</f>
        <v/>
      </c>
      <c r="P223" s="50">
        <f>(J223-M223)*G223</f>
        <v/>
      </c>
      <c r="Q223" s="51">
        <f>IF(K223="Received",1,0)</f>
        <v/>
      </c>
      <c r="R223" s="51">
        <f>IF(Q223=1,F223-D223,0)</f>
        <v/>
      </c>
      <c r="S223" s="51">
        <f>IF(Q223=1,IF(F223&lt;=E223,1,0),0)</f>
        <v/>
      </c>
      <c r="T223" s="51">
        <f>IF(Q223=1,IF(H223&gt;=G223,1,0),0)</f>
        <v/>
      </c>
      <c r="U223" s="51">
        <f>S223*T223</f>
        <v/>
      </c>
      <c r="V223" s="51">
        <f>IF(Q223=1,MAX(0,F223-E223),0)</f>
        <v/>
      </c>
    </row>
    <row r="224">
      <c r="A224" s="43" t="inlineStr">
        <is>
          <t>PO100796</t>
        </is>
      </c>
      <c r="B224" s="43" t="inlineStr">
        <is>
          <t>CMD-0036</t>
        </is>
      </c>
      <c r="C224" s="43" t="inlineStr">
        <is>
          <t>S04</t>
        </is>
      </c>
      <c r="D224" s="47" t="n">
        <v>45631</v>
      </c>
      <c r="E224" s="47" t="n">
        <v>45673</v>
      </c>
      <c r="F224" s="47" t="n">
        <v>45680</v>
      </c>
      <c r="G224" s="46" t="n">
        <v>513</v>
      </c>
      <c r="H224" s="46" t="n">
        <v>513</v>
      </c>
      <c r="I224" s="46" t="n">
        <v>8</v>
      </c>
      <c r="J224" s="44" t="n">
        <v>12.36</v>
      </c>
      <c r="K224" s="43" t="inlineStr">
        <is>
          <t>Received</t>
        </is>
      </c>
      <c r="L224" s="17">
        <f>INDEX(Items!$C$2:$C$117,MATCH(B224,Items!$A$2:$A$117,0))</f>
        <v/>
      </c>
      <c r="M224" s="49">
        <f>INDEX(Items!$E$2:$E$117,MATCH(B224,Items!$A$2:$A$117,0))</f>
        <v/>
      </c>
      <c r="N224" s="17">
        <f>TEXT(D224,"yyyy-mm")</f>
        <v/>
      </c>
      <c r="O224" s="50">
        <f>G224*J224</f>
        <v/>
      </c>
      <c r="P224" s="50">
        <f>(J224-M224)*G224</f>
        <v/>
      </c>
      <c r="Q224" s="51">
        <f>IF(K224="Received",1,0)</f>
        <v/>
      </c>
      <c r="R224" s="51">
        <f>IF(Q224=1,F224-D224,0)</f>
        <v/>
      </c>
      <c r="S224" s="51">
        <f>IF(Q224=1,IF(F224&lt;=E224,1,0),0)</f>
        <v/>
      </c>
      <c r="T224" s="51">
        <f>IF(Q224=1,IF(H224&gt;=G224,1,0),0)</f>
        <v/>
      </c>
      <c r="U224" s="51">
        <f>S224*T224</f>
        <v/>
      </c>
      <c r="V224" s="51">
        <f>IF(Q224=1,MAX(0,F224-E224),0)</f>
        <v/>
      </c>
    </row>
    <row r="225">
      <c r="A225" s="43" t="inlineStr">
        <is>
          <t>PO100218</t>
        </is>
      </c>
      <c r="B225" s="43" t="inlineStr">
        <is>
          <t>CMD-0010</t>
        </is>
      </c>
      <c r="C225" s="43" t="inlineStr">
        <is>
          <t>S03</t>
        </is>
      </c>
      <c r="D225" s="47" t="n">
        <v>45631</v>
      </c>
      <c r="E225" s="47" t="n">
        <v>45764</v>
      </c>
      <c r="F225" s="47" t="n">
        <v>45773</v>
      </c>
      <c r="G225" s="46" t="n">
        <v>4125</v>
      </c>
      <c r="H225" s="46" t="n">
        <v>4125</v>
      </c>
      <c r="I225" s="46" t="n">
        <v>20</v>
      </c>
      <c r="J225" s="44" t="n">
        <v>4.63</v>
      </c>
      <c r="K225" s="43" t="inlineStr">
        <is>
          <t>Received</t>
        </is>
      </c>
      <c r="L225" s="17">
        <f>INDEX(Items!$C$2:$C$117,MATCH(B225,Items!$A$2:$A$117,0))</f>
        <v/>
      </c>
      <c r="M225" s="49">
        <f>INDEX(Items!$E$2:$E$117,MATCH(B225,Items!$A$2:$A$117,0))</f>
        <v/>
      </c>
      <c r="N225" s="17">
        <f>TEXT(D225,"yyyy-mm")</f>
        <v/>
      </c>
      <c r="O225" s="50">
        <f>G225*J225</f>
        <v/>
      </c>
      <c r="P225" s="50">
        <f>(J225-M225)*G225</f>
        <v/>
      </c>
      <c r="Q225" s="51">
        <f>IF(K225="Received",1,0)</f>
        <v/>
      </c>
      <c r="R225" s="51">
        <f>IF(Q225=1,F225-D225,0)</f>
        <v/>
      </c>
      <c r="S225" s="51">
        <f>IF(Q225=1,IF(F225&lt;=E225,1,0),0)</f>
        <v/>
      </c>
      <c r="T225" s="51">
        <f>IF(Q225=1,IF(H225&gt;=G225,1,0),0)</f>
        <v/>
      </c>
      <c r="U225" s="51">
        <f>S225*T225</f>
        <v/>
      </c>
      <c r="V225" s="51">
        <f>IF(Q225=1,MAX(0,F225-E225),0)</f>
        <v/>
      </c>
    </row>
    <row r="226">
      <c r="A226" s="43" t="inlineStr">
        <is>
          <t>PO100546</t>
        </is>
      </c>
      <c r="B226" s="43" t="inlineStr">
        <is>
          <t>CMD-0025</t>
        </is>
      </c>
      <c r="C226" s="43" t="inlineStr">
        <is>
          <t>S02</t>
        </is>
      </c>
      <c r="D226" s="47" t="n">
        <v>45632</v>
      </c>
      <c r="E226" s="47" t="n">
        <v>45688</v>
      </c>
      <c r="F226" s="47" t="n">
        <v>45687</v>
      </c>
      <c r="G226" s="46" t="n">
        <v>1001</v>
      </c>
      <c r="H226" s="46" t="n">
        <v>1001</v>
      </c>
      <c r="I226" s="46" t="n">
        <v>4</v>
      </c>
      <c r="J226" s="44" t="n">
        <v>10.52</v>
      </c>
      <c r="K226" s="43" t="inlineStr">
        <is>
          <t>Received</t>
        </is>
      </c>
      <c r="L226" s="17">
        <f>INDEX(Items!$C$2:$C$117,MATCH(B226,Items!$A$2:$A$117,0))</f>
        <v/>
      </c>
      <c r="M226" s="49">
        <f>INDEX(Items!$E$2:$E$117,MATCH(B226,Items!$A$2:$A$117,0))</f>
        <v/>
      </c>
      <c r="N226" s="17">
        <f>TEXT(D226,"yyyy-mm")</f>
        <v/>
      </c>
      <c r="O226" s="50">
        <f>G226*J226</f>
        <v/>
      </c>
      <c r="P226" s="50">
        <f>(J226-M226)*G226</f>
        <v/>
      </c>
      <c r="Q226" s="51">
        <f>IF(K226="Received",1,0)</f>
        <v/>
      </c>
      <c r="R226" s="51">
        <f>IF(Q226=1,F226-D226,0)</f>
        <v/>
      </c>
      <c r="S226" s="51">
        <f>IF(Q226=1,IF(F226&lt;=E226,1,0),0)</f>
        <v/>
      </c>
      <c r="T226" s="51">
        <f>IF(Q226=1,IF(H226&gt;=G226,1,0),0)</f>
        <v/>
      </c>
      <c r="U226" s="51">
        <f>S226*T226</f>
        <v/>
      </c>
      <c r="V226" s="51">
        <f>IF(Q226=1,MAX(0,F226-E226),0)</f>
        <v/>
      </c>
    </row>
    <row r="227">
      <c r="A227" s="43" t="inlineStr">
        <is>
          <t>PO100242</t>
        </is>
      </c>
      <c r="B227" s="43" t="inlineStr">
        <is>
          <t>CMD-0011</t>
        </is>
      </c>
      <c r="C227" s="43" t="inlineStr">
        <is>
          <t>S07</t>
        </is>
      </c>
      <c r="D227" s="47" t="n">
        <v>45632</v>
      </c>
      <c r="E227" s="47" t="n">
        <v>45723</v>
      </c>
      <c r="F227" s="47" t="n">
        <v>45722</v>
      </c>
      <c r="G227" s="46" t="n">
        <v>4020</v>
      </c>
      <c r="H227" s="46" t="n">
        <v>4020</v>
      </c>
      <c r="I227" s="46" t="n">
        <v>31</v>
      </c>
      <c r="J227" s="44" t="n">
        <v>8.08</v>
      </c>
      <c r="K227" s="43" t="inlineStr">
        <is>
          <t>Received</t>
        </is>
      </c>
      <c r="L227" s="17">
        <f>INDEX(Items!$C$2:$C$117,MATCH(B227,Items!$A$2:$A$117,0))</f>
        <v/>
      </c>
      <c r="M227" s="49">
        <f>INDEX(Items!$E$2:$E$117,MATCH(B227,Items!$A$2:$A$117,0))</f>
        <v/>
      </c>
      <c r="N227" s="17">
        <f>TEXT(D227,"yyyy-mm")</f>
        <v/>
      </c>
      <c r="O227" s="50">
        <f>G227*J227</f>
        <v/>
      </c>
      <c r="P227" s="50">
        <f>(J227-M227)*G227</f>
        <v/>
      </c>
      <c r="Q227" s="51">
        <f>IF(K227="Received",1,0)</f>
        <v/>
      </c>
      <c r="R227" s="51">
        <f>IF(Q227=1,F227-D227,0)</f>
        <v/>
      </c>
      <c r="S227" s="51">
        <f>IF(Q227=1,IF(F227&lt;=E227,1,0),0)</f>
        <v/>
      </c>
      <c r="T227" s="51">
        <f>IF(Q227=1,IF(H227&gt;=G227,1,0),0)</f>
        <v/>
      </c>
      <c r="U227" s="51">
        <f>S227*T227</f>
        <v/>
      </c>
      <c r="V227" s="51">
        <f>IF(Q227=1,MAX(0,F227-E227),0)</f>
        <v/>
      </c>
    </row>
    <row r="228">
      <c r="A228" s="43" t="inlineStr">
        <is>
          <t>PO101692</t>
        </is>
      </c>
      <c r="B228" s="43" t="inlineStr">
        <is>
          <t>CMD-0093</t>
        </is>
      </c>
      <c r="C228" s="43" t="inlineStr">
        <is>
          <t>S08</t>
        </is>
      </c>
      <c r="D228" s="47" t="n">
        <v>45632</v>
      </c>
      <c r="E228" s="47" t="n">
        <v>45709</v>
      </c>
      <c r="F228" s="47" t="n">
        <v>45707</v>
      </c>
      <c r="G228" s="46" t="n">
        <v>676</v>
      </c>
      <c r="H228" s="46" t="n">
        <v>676</v>
      </c>
      <c r="I228" s="46" t="n">
        <v>10</v>
      </c>
      <c r="J228" s="44" t="n">
        <v>59.41</v>
      </c>
      <c r="K228" s="43" t="inlineStr">
        <is>
          <t>Received</t>
        </is>
      </c>
      <c r="L228" s="17">
        <f>INDEX(Items!$C$2:$C$117,MATCH(B228,Items!$A$2:$A$117,0))</f>
        <v/>
      </c>
      <c r="M228" s="49">
        <f>INDEX(Items!$E$2:$E$117,MATCH(B228,Items!$A$2:$A$117,0))</f>
        <v/>
      </c>
      <c r="N228" s="17">
        <f>TEXT(D228,"yyyy-mm")</f>
        <v/>
      </c>
      <c r="O228" s="50">
        <f>G228*J228</f>
        <v/>
      </c>
      <c r="P228" s="50">
        <f>(J228-M228)*G228</f>
        <v/>
      </c>
      <c r="Q228" s="51">
        <f>IF(K228="Received",1,0)</f>
        <v/>
      </c>
      <c r="R228" s="51">
        <f>IF(Q228=1,F228-D228,0)</f>
        <v/>
      </c>
      <c r="S228" s="51">
        <f>IF(Q228=1,IF(F228&lt;=E228,1,0),0)</f>
        <v/>
      </c>
      <c r="T228" s="51">
        <f>IF(Q228=1,IF(H228&gt;=G228,1,0),0)</f>
        <v/>
      </c>
      <c r="U228" s="51">
        <f>S228*T228</f>
        <v/>
      </c>
      <c r="V228" s="51">
        <f>IF(Q228=1,MAX(0,F228-E228),0)</f>
        <v/>
      </c>
    </row>
    <row r="229">
      <c r="A229" s="43" t="inlineStr">
        <is>
          <t>PO101458</t>
        </is>
      </c>
      <c r="B229" s="43" t="inlineStr">
        <is>
          <t>CMD-0078</t>
        </is>
      </c>
      <c r="C229" s="43" t="inlineStr">
        <is>
          <t>S06</t>
        </is>
      </c>
      <c r="D229" s="47" t="n">
        <v>45632</v>
      </c>
      <c r="E229" s="47" t="n">
        <v>45653</v>
      </c>
      <c r="F229" s="47" t="n">
        <v>45653</v>
      </c>
      <c r="G229" s="46" t="n">
        <v>4295</v>
      </c>
      <c r="H229" s="46" t="n">
        <v>4295</v>
      </c>
      <c r="I229" s="46" t="n">
        <v>20</v>
      </c>
      <c r="J229" s="44" t="n">
        <v>2.6</v>
      </c>
      <c r="K229" s="43" t="inlineStr">
        <is>
          <t>Received</t>
        </is>
      </c>
      <c r="L229" s="17">
        <f>INDEX(Items!$C$2:$C$117,MATCH(B229,Items!$A$2:$A$117,0))</f>
        <v/>
      </c>
      <c r="M229" s="49">
        <f>INDEX(Items!$E$2:$E$117,MATCH(B229,Items!$A$2:$A$117,0))</f>
        <v/>
      </c>
      <c r="N229" s="17">
        <f>TEXT(D229,"yyyy-mm")</f>
        <v/>
      </c>
      <c r="O229" s="50">
        <f>G229*J229</f>
        <v/>
      </c>
      <c r="P229" s="50">
        <f>(J229-M229)*G229</f>
        <v/>
      </c>
      <c r="Q229" s="51">
        <f>IF(K229="Received",1,0)</f>
        <v/>
      </c>
      <c r="R229" s="51">
        <f>IF(Q229=1,F229-D229,0)</f>
        <v/>
      </c>
      <c r="S229" s="51">
        <f>IF(Q229=1,IF(F229&lt;=E229,1,0),0)</f>
        <v/>
      </c>
      <c r="T229" s="51">
        <f>IF(Q229=1,IF(H229&gt;=G229,1,0),0)</f>
        <v/>
      </c>
      <c r="U229" s="51">
        <f>S229*T229</f>
        <v/>
      </c>
      <c r="V229" s="51">
        <f>IF(Q229=1,MAX(0,F229-E229),0)</f>
        <v/>
      </c>
    </row>
    <row r="230">
      <c r="A230" s="43" t="inlineStr">
        <is>
          <t>PO100748</t>
        </is>
      </c>
      <c r="B230" s="43" t="inlineStr">
        <is>
          <t>CMD-0034</t>
        </is>
      </c>
      <c r="C230" s="43" t="inlineStr">
        <is>
          <t>S04</t>
        </is>
      </c>
      <c r="D230" s="47" t="n">
        <v>45632</v>
      </c>
      <c r="E230" s="47" t="n">
        <v>45674</v>
      </c>
      <c r="F230" s="47" t="n">
        <v>45673</v>
      </c>
      <c r="G230" s="46" t="n">
        <v>743</v>
      </c>
      <c r="H230" s="46" t="n">
        <v>743</v>
      </c>
      <c r="I230" s="46" t="n">
        <v>3</v>
      </c>
      <c r="J230" s="44" t="n">
        <v>10.55</v>
      </c>
      <c r="K230" s="43" t="inlineStr">
        <is>
          <t>Received</t>
        </is>
      </c>
      <c r="L230" s="17">
        <f>INDEX(Items!$C$2:$C$117,MATCH(B230,Items!$A$2:$A$117,0))</f>
        <v/>
      </c>
      <c r="M230" s="49">
        <f>INDEX(Items!$E$2:$E$117,MATCH(B230,Items!$A$2:$A$117,0))</f>
        <v/>
      </c>
      <c r="N230" s="17">
        <f>TEXT(D230,"yyyy-mm")</f>
        <v/>
      </c>
      <c r="O230" s="50">
        <f>G230*J230</f>
        <v/>
      </c>
      <c r="P230" s="50">
        <f>(J230-M230)*G230</f>
        <v/>
      </c>
      <c r="Q230" s="51">
        <f>IF(K230="Received",1,0)</f>
        <v/>
      </c>
      <c r="R230" s="51">
        <f>IF(Q230=1,F230-D230,0)</f>
        <v/>
      </c>
      <c r="S230" s="51">
        <f>IF(Q230=1,IF(F230&lt;=E230,1,0),0)</f>
        <v/>
      </c>
      <c r="T230" s="51">
        <f>IF(Q230=1,IF(H230&gt;=G230,1,0),0)</f>
        <v/>
      </c>
      <c r="U230" s="51">
        <f>S230*T230</f>
        <v/>
      </c>
      <c r="V230" s="51">
        <f>IF(Q230=1,MAX(0,F230-E230),0)</f>
        <v/>
      </c>
    </row>
    <row r="231">
      <c r="A231" s="43" t="inlineStr">
        <is>
          <t>PO101534</t>
        </is>
      </c>
      <c r="B231" s="43" t="inlineStr">
        <is>
          <t>CMD-0082</t>
        </is>
      </c>
      <c r="C231" s="43" t="inlineStr">
        <is>
          <t>S01</t>
        </is>
      </c>
      <c r="D231" s="47" t="n">
        <v>45632</v>
      </c>
      <c r="E231" s="47" t="n">
        <v>45646</v>
      </c>
      <c r="F231" s="47" t="n">
        <v>45645</v>
      </c>
      <c r="G231" s="46" t="n">
        <v>7443</v>
      </c>
      <c r="H231" s="46" t="n">
        <v>7443</v>
      </c>
      <c r="I231" s="46" t="n">
        <v>17</v>
      </c>
      <c r="J231" s="44" t="n">
        <v>2.32</v>
      </c>
      <c r="K231" s="43" t="inlineStr">
        <is>
          <t>Received</t>
        </is>
      </c>
      <c r="L231" s="17">
        <f>INDEX(Items!$C$2:$C$117,MATCH(B231,Items!$A$2:$A$117,0))</f>
        <v/>
      </c>
      <c r="M231" s="49">
        <f>INDEX(Items!$E$2:$E$117,MATCH(B231,Items!$A$2:$A$117,0))</f>
        <v/>
      </c>
      <c r="N231" s="17">
        <f>TEXT(D231,"yyyy-mm")</f>
        <v/>
      </c>
      <c r="O231" s="50">
        <f>G231*J231</f>
        <v/>
      </c>
      <c r="P231" s="50">
        <f>(J231-M231)*G231</f>
        <v/>
      </c>
      <c r="Q231" s="51">
        <f>IF(K231="Received",1,0)</f>
        <v/>
      </c>
      <c r="R231" s="51">
        <f>IF(Q231=1,F231-D231,0)</f>
        <v/>
      </c>
      <c r="S231" s="51">
        <f>IF(Q231=1,IF(F231&lt;=E231,1,0),0)</f>
        <v/>
      </c>
      <c r="T231" s="51">
        <f>IF(Q231=1,IF(H231&gt;=G231,1,0),0)</f>
        <v/>
      </c>
      <c r="U231" s="51">
        <f>S231*T231</f>
        <v/>
      </c>
      <c r="V231" s="51">
        <f>IF(Q231=1,MAX(0,F231-E231),0)</f>
        <v/>
      </c>
    </row>
    <row r="232">
      <c r="A232" s="43" t="inlineStr">
        <is>
          <t>PO100098</t>
        </is>
      </c>
      <c r="B232" s="43" t="inlineStr">
        <is>
          <t>CMD-0005</t>
        </is>
      </c>
      <c r="C232" s="43" t="inlineStr">
        <is>
          <t>S07</t>
        </is>
      </c>
      <c r="D232" s="47" t="n">
        <v>45632</v>
      </c>
      <c r="E232" s="47" t="n">
        <v>45723</v>
      </c>
      <c r="F232" s="47" t="n">
        <v>45720</v>
      </c>
      <c r="G232" s="46" t="n">
        <v>4911</v>
      </c>
      <c r="H232" s="46" t="n">
        <v>4911</v>
      </c>
      <c r="I232" s="46" t="n">
        <v>44</v>
      </c>
      <c r="J232" s="44" t="n">
        <v>5.63</v>
      </c>
      <c r="K232" s="43" t="inlineStr">
        <is>
          <t>Received</t>
        </is>
      </c>
      <c r="L232" s="17">
        <f>INDEX(Items!$C$2:$C$117,MATCH(B232,Items!$A$2:$A$117,0))</f>
        <v/>
      </c>
      <c r="M232" s="49">
        <f>INDEX(Items!$E$2:$E$117,MATCH(B232,Items!$A$2:$A$117,0))</f>
        <v/>
      </c>
      <c r="N232" s="17">
        <f>TEXT(D232,"yyyy-mm")</f>
        <v/>
      </c>
      <c r="O232" s="50">
        <f>G232*J232</f>
        <v/>
      </c>
      <c r="P232" s="50">
        <f>(J232-M232)*G232</f>
        <v/>
      </c>
      <c r="Q232" s="51">
        <f>IF(K232="Received",1,0)</f>
        <v/>
      </c>
      <c r="R232" s="51">
        <f>IF(Q232=1,F232-D232,0)</f>
        <v/>
      </c>
      <c r="S232" s="51">
        <f>IF(Q232=1,IF(F232&lt;=E232,1,0),0)</f>
        <v/>
      </c>
      <c r="T232" s="51">
        <f>IF(Q232=1,IF(H232&gt;=G232,1,0),0)</f>
        <v/>
      </c>
      <c r="U232" s="51">
        <f>S232*T232</f>
        <v/>
      </c>
      <c r="V232" s="51">
        <f>IF(Q232=1,MAX(0,F232-E232),0)</f>
        <v/>
      </c>
    </row>
    <row r="233">
      <c r="A233" s="43" t="inlineStr">
        <is>
          <t>PO101398</t>
        </is>
      </c>
      <c r="B233" s="43" t="inlineStr">
        <is>
          <t>CMD-0074</t>
        </is>
      </c>
      <c r="C233" s="43" t="inlineStr">
        <is>
          <t>S10</t>
        </is>
      </c>
      <c r="D233" s="47" t="n">
        <v>45632</v>
      </c>
      <c r="E233" s="47" t="n">
        <v>45660</v>
      </c>
      <c r="F233" s="47" t="n">
        <v>45660</v>
      </c>
      <c r="G233" s="46" t="n">
        <v>60572</v>
      </c>
      <c r="H233" s="46" t="n">
        <v>60572</v>
      </c>
      <c r="I233" s="46" t="n">
        <v>82</v>
      </c>
      <c r="J233" s="44" t="n">
        <v>0.3496</v>
      </c>
      <c r="K233" s="43" t="inlineStr">
        <is>
          <t>Received</t>
        </is>
      </c>
      <c r="L233" s="17">
        <f>INDEX(Items!$C$2:$C$117,MATCH(B233,Items!$A$2:$A$117,0))</f>
        <v/>
      </c>
      <c r="M233" s="49">
        <f>INDEX(Items!$E$2:$E$117,MATCH(B233,Items!$A$2:$A$117,0))</f>
        <v/>
      </c>
      <c r="N233" s="17">
        <f>TEXT(D233,"yyyy-mm")</f>
        <v/>
      </c>
      <c r="O233" s="50">
        <f>G233*J233</f>
        <v/>
      </c>
      <c r="P233" s="50">
        <f>(J233-M233)*G233</f>
        <v/>
      </c>
      <c r="Q233" s="51">
        <f>IF(K233="Received",1,0)</f>
        <v/>
      </c>
      <c r="R233" s="51">
        <f>IF(Q233=1,F233-D233,0)</f>
        <v/>
      </c>
      <c r="S233" s="51">
        <f>IF(Q233=1,IF(F233&lt;=E233,1,0),0)</f>
        <v/>
      </c>
      <c r="T233" s="51">
        <f>IF(Q233=1,IF(H233&gt;=G233,1,0),0)</f>
        <v/>
      </c>
      <c r="U233" s="51">
        <f>S233*T233</f>
        <v/>
      </c>
      <c r="V233" s="51">
        <f>IF(Q233=1,MAX(0,F233-E233),0)</f>
        <v/>
      </c>
    </row>
    <row r="234">
      <c r="A234" s="43" t="inlineStr">
        <is>
          <t>PO101184</t>
        </is>
      </c>
      <c r="B234" s="43" t="inlineStr">
        <is>
          <t>CMD-0055</t>
        </is>
      </c>
      <c r="C234" s="43" t="inlineStr">
        <is>
          <t>S04</t>
        </is>
      </c>
      <c r="D234" s="47" t="n">
        <v>45632</v>
      </c>
      <c r="E234" s="47" t="n">
        <v>45667</v>
      </c>
      <c r="F234" s="47" t="n">
        <v>45666</v>
      </c>
      <c r="G234" s="46" t="n">
        <v>108288</v>
      </c>
      <c r="H234" s="46" t="n">
        <v>108288</v>
      </c>
      <c r="I234" s="46" t="n">
        <v>1063</v>
      </c>
      <c r="J234" s="44" t="n">
        <v>0.09379999999999999</v>
      </c>
      <c r="K234" s="43" t="inlineStr">
        <is>
          <t>Received</t>
        </is>
      </c>
      <c r="L234" s="17">
        <f>INDEX(Items!$C$2:$C$117,MATCH(B234,Items!$A$2:$A$117,0))</f>
        <v/>
      </c>
      <c r="M234" s="49">
        <f>INDEX(Items!$E$2:$E$117,MATCH(B234,Items!$A$2:$A$117,0))</f>
        <v/>
      </c>
      <c r="N234" s="17">
        <f>TEXT(D234,"yyyy-mm")</f>
        <v/>
      </c>
      <c r="O234" s="50">
        <f>G234*J234</f>
        <v/>
      </c>
      <c r="P234" s="50">
        <f>(J234-M234)*G234</f>
        <v/>
      </c>
      <c r="Q234" s="51">
        <f>IF(K234="Received",1,0)</f>
        <v/>
      </c>
      <c r="R234" s="51">
        <f>IF(Q234=1,F234-D234,0)</f>
        <v/>
      </c>
      <c r="S234" s="51">
        <f>IF(Q234=1,IF(F234&lt;=E234,1,0),0)</f>
        <v/>
      </c>
      <c r="T234" s="51">
        <f>IF(Q234=1,IF(H234&gt;=G234,1,0),0)</f>
        <v/>
      </c>
      <c r="U234" s="51">
        <f>S234*T234</f>
        <v/>
      </c>
      <c r="V234" s="51">
        <f>IF(Q234=1,MAX(0,F234-E234),0)</f>
        <v/>
      </c>
    </row>
    <row r="235">
      <c r="A235" s="43" t="inlineStr">
        <is>
          <t>PO101054</t>
        </is>
      </c>
      <c r="B235" s="43" t="inlineStr">
        <is>
          <t>CMD-0048</t>
        </is>
      </c>
      <c r="C235" s="43" t="inlineStr">
        <is>
          <t>S10</t>
        </is>
      </c>
      <c r="D235" s="47" t="n">
        <v>45633</v>
      </c>
      <c r="E235" s="47" t="n">
        <v>45661</v>
      </c>
      <c r="F235" s="47" t="n">
        <v>45659</v>
      </c>
      <c r="G235" s="46" t="n">
        <v>19874</v>
      </c>
      <c r="H235" s="46" t="n">
        <v>19874</v>
      </c>
      <c r="I235" s="46" t="n">
        <v>21</v>
      </c>
      <c r="J235" s="44" t="n">
        <v>0.3231</v>
      </c>
      <c r="K235" s="43" t="inlineStr">
        <is>
          <t>Received</t>
        </is>
      </c>
      <c r="L235" s="17">
        <f>INDEX(Items!$C$2:$C$117,MATCH(B235,Items!$A$2:$A$117,0))</f>
        <v/>
      </c>
      <c r="M235" s="49">
        <f>INDEX(Items!$E$2:$E$117,MATCH(B235,Items!$A$2:$A$117,0))</f>
        <v/>
      </c>
      <c r="N235" s="17">
        <f>TEXT(D235,"yyyy-mm")</f>
        <v/>
      </c>
      <c r="O235" s="50">
        <f>G235*J235</f>
        <v/>
      </c>
      <c r="P235" s="50">
        <f>(J235-M235)*G235</f>
        <v/>
      </c>
      <c r="Q235" s="51">
        <f>IF(K235="Received",1,0)</f>
        <v/>
      </c>
      <c r="R235" s="51">
        <f>IF(Q235=1,F235-D235,0)</f>
        <v/>
      </c>
      <c r="S235" s="51">
        <f>IF(Q235=1,IF(F235&lt;=E235,1,0),0)</f>
        <v/>
      </c>
      <c r="T235" s="51">
        <f>IF(Q235=1,IF(H235&gt;=G235,1,0),0)</f>
        <v/>
      </c>
      <c r="U235" s="51">
        <f>S235*T235</f>
        <v/>
      </c>
      <c r="V235" s="51">
        <f>IF(Q235=1,MAX(0,F235-E235),0)</f>
        <v/>
      </c>
    </row>
    <row r="236">
      <c r="A236" s="43" t="inlineStr">
        <is>
          <t>PO101846</t>
        </is>
      </c>
      <c r="B236" s="43" t="inlineStr">
        <is>
          <t>CMD-0101</t>
        </is>
      </c>
      <c r="C236" s="43" t="inlineStr">
        <is>
          <t>S09</t>
        </is>
      </c>
      <c r="D236" s="47" t="n">
        <v>45633</v>
      </c>
      <c r="E236" s="47" t="n">
        <v>45654</v>
      </c>
      <c r="F236" s="47" t="n">
        <v>45654</v>
      </c>
      <c r="G236" s="46" t="n">
        <v>3510</v>
      </c>
      <c r="H236" s="46" t="n">
        <v>3510</v>
      </c>
      <c r="I236" s="46" t="n">
        <v>11</v>
      </c>
      <c r="J236" s="44" t="n">
        <v>3.7</v>
      </c>
      <c r="K236" s="43" t="inlineStr">
        <is>
          <t>Received</t>
        </is>
      </c>
      <c r="L236" s="17">
        <f>INDEX(Items!$C$2:$C$117,MATCH(B236,Items!$A$2:$A$117,0))</f>
        <v/>
      </c>
      <c r="M236" s="49">
        <f>INDEX(Items!$E$2:$E$117,MATCH(B236,Items!$A$2:$A$117,0))</f>
        <v/>
      </c>
      <c r="N236" s="17">
        <f>TEXT(D236,"yyyy-mm")</f>
        <v/>
      </c>
      <c r="O236" s="50">
        <f>G236*J236</f>
        <v/>
      </c>
      <c r="P236" s="50">
        <f>(J236-M236)*G236</f>
        <v/>
      </c>
      <c r="Q236" s="51">
        <f>IF(K236="Received",1,0)</f>
        <v/>
      </c>
      <c r="R236" s="51">
        <f>IF(Q236=1,F236-D236,0)</f>
        <v/>
      </c>
      <c r="S236" s="51">
        <f>IF(Q236=1,IF(F236&lt;=E236,1,0),0)</f>
        <v/>
      </c>
      <c r="T236" s="51">
        <f>IF(Q236=1,IF(H236&gt;=G236,1,0),0)</f>
        <v/>
      </c>
      <c r="U236" s="51">
        <f>S236*T236</f>
        <v/>
      </c>
      <c r="V236" s="51">
        <f>IF(Q236=1,MAX(0,F236-E236),0)</f>
        <v/>
      </c>
    </row>
    <row r="237">
      <c r="A237" s="43" t="inlineStr">
        <is>
          <t>PO100270</t>
        </is>
      </c>
      <c r="B237" s="43" t="inlineStr">
        <is>
          <t>CMD-0013</t>
        </is>
      </c>
      <c r="C237" s="43" t="inlineStr">
        <is>
          <t>S11</t>
        </is>
      </c>
      <c r="D237" s="47" t="n">
        <v>45633</v>
      </c>
      <c r="E237" s="47" t="n">
        <v>45752</v>
      </c>
      <c r="F237" s="47" t="n">
        <v>45749</v>
      </c>
      <c r="G237" s="46" t="n">
        <v>966</v>
      </c>
      <c r="H237" s="46" t="n">
        <v>966</v>
      </c>
      <c r="I237" s="46" t="n">
        <v>1</v>
      </c>
      <c r="J237" s="44" t="n">
        <v>6.75</v>
      </c>
      <c r="K237" s="43" t="inlineStr">
        <is>
          <t>Received</t>
        </is>
      </c>
      <c r="L237" s="17">
        <f>INDEX(Items!$C$2:$C$117,MATCH(B237,Items!$A$2:$A$117,0))</f>
        <v/>
      </c>
      <c r="M237" s="49">
        <f>INDEX(Items!$E$2:$E$117,MATCH(B237,Items!$A$2:$A$117,0))</f>
        <v/>
      </c>
      <c r="N237" s="17">
        <f>TEXT(D237,"yyyy-mm")</f>
        <v/>
      </c>
      <c r="O237" s="50">
        <f>G237*J237</f>
        <v/>
      </c>
      <c r="P237" s="50">
        <f>(J237-M237)*G237</f>
        <v/>
      </c>
      <c r="Q237" s="51">
        <f>IF(K237="Received",1,0)</f>
        <v/>
      </c>
      <c r="R237" s="51">
        <f>IF(Q237=1,F237-D237,0)</f>
        <v/>
      </c>
      <c r="S237" s="51">
        <f>IF(Q237=1,IF(F237&lt;=E237,1,0),0)</f>
        <v/>
      </c>
      <c r="T237" s="51">
        <f>IF(Q237=1,IF(H237&gt;=G237,1,0),0)</f>
        <v/>
      </c>
      <c r="U237" s="51">
        <f>S237*T237</f>
        <v/>
      </c>
      <c r="V237" s="51">
        <f>IF(Q237=1,MAX(0,F237-E237),0)</f>
        <v/>
      </c>
    </row>
    <row r="238">
      <c r="A238" s="43" t="inlineStr">
        <is>
          <t>PO100194</t>
        </is>
      </c>
      <c r="B238" s="43" t="inlineStr">
        <is>
          <t>CMD-0009</t>
        </is>
      </c>
      <c r="C238" s="43" t="inlineStr">
        <is>
          <t>S11</t>
        </is>
      </c>
      <c r="D238" s="47" t="n">
        <v>45633</v>
      </c>
      <c r="E238" s="47" t="n">
        <v>45752</v>
      </c>
      <c r="F238" s="47" t="n">
        <v>45773</v>
      </c>
      <c r="G238" s="46" t="n">
        <v>7815</v>
      </c>
      <c r="H238" s="46" t="n">
        <v>7815</v>
      </c>
      <c r="I238" s="46" t="n">
        <v>11</v>
      </c>
      <c r="J238" s="44" t="n">
        <v>6.29</v>
      </c>
      <c r="K238" s="43" t="inlineStr">
        <is>
          <t>Received</t>
        </is>
      </c>
      <c r="L238" s="17">
        <f>INDEX(Items!$C$2:$C$117,MATCH(B238,Items!$A$2:$A$117,0))</f>
        <v/>
      </c>
      <c r="M238" s="49">
        <f>INDEX(Items!$E$2:$E$117,MATCH(B238,Items!$A$2:$A$117,0))</f>
        <v/>
      </c>
      <c r="N238" s="17">
        <f>TEXT(D238,"yyyy-mm")</f>
        <v/>
      </c>
      <c r="O238" s="50">
        <f>G238*J238</f>
        <v/>
      </c>
      <c r="P238" s="50">
        <f>(J238-M238)*G238</f>
        <v/>
      </c>
      <c r="Q238" s="51">
        <f>IF(K238="Received",1,0)</f>
        <v/>
      </c>
      <c r="R238" s="51">
        <f>IF(Q238=1,F238-D238,0)</f>
        <v/>
      </c>
      <c r="S238" s="51">
        <f>IF(Q238=1,IF(F238&lt;=E238,1,0),0)</f>
        <v/>
      </c>
      <c r="T238" s="51">
        <f>IF(Q238=1,IF(H238&gt;=G238,1,0),0)</f>
        <v/>
      </c>
      <c r="U238" s="51">
        <f>S238*T238</f>
        <v/>
      </c>
      <c r="V238" s="51">
        <f>IF(Q238=1,MAX(0,F238-E238),0)</f>
        <v/>
      </c>
    </row>
    <row r="239">
      <c r="A239" s="43" t="inlineStr">
        <is>
          <t>PO100594</t>
        </is>
      </c>
      <c r="B239" s="43" t="inlineStr">
        <is>
          <t>CMD-0027</t>
        </is>
      </c>
      <c r="C239" s="43" t="inlineStr">
        <is>
          <t>S04</t>
        </is>
      </c>
      <c r="D239" s="47" t="n">
        <v>45633</v>
      </c>
      <c r="E239" s="47" t="n">
        <v>45703</v>
      </c>
      <c r="F239" s="47" t="n">
        <v>45702</v>
      </c>
      <c r="G239" s="46" t="n">
        <v>8512</v>
      </c>
      <c r="H239" s="46" t="n">
        <v>7931</v>
      </c>
      <c r="I239" s="46" t="n">
        <v>77</v>
      </c>
      <c r="J239" s="44" t="n">
        <v>8.85</v>
      </c>
      <c r="K239" s="43" t="inlineStr">
        <is>
          <t>Received</t>
        </is>
      </c>
      <c r="L239" s="17">
        <f>INDEX(Items!$C$2:$C$117,MATCH(B239,Items!$A$2:$A$117,0))</f>
        <v/>
      </c>
      <c r="M239" s="49">
        <f>INDEX(Items!$E$2:$E$117,MATCH(B239,Items!$A$2:$A$117,0))</f>
        <v/>
      </c>
      <c r="N239" s="17">
        <f>TEXT(D239,"yyyy-mm")</f>
        <v/>
      </c>
      <c r="O239" s="50">
        <f>G239*J239</f>
        <v/>
      </c>
      <c r="P239" s="50">
        <f>(J239-M239)*G239</f>
        <v/>
      </c>
      <c r="Q239" s="51">
        <f>IF(K239="Received",1,0)</f>
        <v/>
      </c>
      <c r="R239" s="51">
        <f>IF(Q239=1,F239-D239,0)</f>
        <v/>
      </c>
      <c r="S239" s="51">
        <f>IF(Q239=1,IF(F239&lt;=E239,1,0),0)</f>
        <v/>
      </c>
      <c r="T239" s="51">
        <f>IF(Q239=1,IF(H239&gt;=G239,1,0),0)</f>
        <v/>
      </c>
      <c r="U239" s="51">
        <f>S239*T239</f>
        <v/>
      </c>
      <c r="V239" s="51">
        <f>IF(Q239=1,MAX(0,F239-E239),0)</f>
        <v/>
      </c>
    </row>
    <row r="240">
      <c r="A240" s="43" t="inlineStr">
        <is>
          <t>PO101230</t>
        </is>
      </c>
      <c r="B240" s="43" t="inlineStr">
        <is>
          <t>CMD-0058</t>
        </is>
      </c>
      <c r="C240" s="43" t="inlineStr">
        <is>
          <t>S04</t>
        </is>
      </c>
      <c r="D240" s="47" t="n">
        <v>45633</v>
      </c>
      <c r="E240" s="47" t="n">
        <v>45668</v>
      </c>
      <c r="F240" s="47" t="n">
        <v>45677</v>
      </c>
      <c r="G240" s="46" t="n">
        <v>60932</v>
      </c>
      <c r="H240" s="46" t="n">
        <v>60932</v>
      </c>
      <c r="I240" s="46" t="n">
        <v>593</v>
      </c>
      <c r="J240" s="44" t="n">
        <v>0.1178</v>
      </c>
      <c r="K240" s="43" t="inlineStr">
        <is>
          <t>Received</t>
        </is>
      </c>
      <c r="L240" s="17">
        <f>INDEX(Items!$C$2:$C$117,MATCH(B240,Items!$A$2:$A$117,0))</f>
        <v/>
      </c>
      <c r="M240" s="49">
        <f>INDEX(Items!$E$2:$E$117,MATCH(B240,Items!$A$2:$A$117,0))</f>
        <v/>
      </c>
      <c r="N240" s="17">
        <f>TEXT(D240,"yyyy-mm")</f>
        <v/>
      </c>
      <c r="O240" s="50">
        <f>G240*J240</f>
        <v/>
      </c>
      <c r="P240" s="50">
        <f>(J240-M240)*G240</f>
        <v/>
      </c>
      <c r="Q240" s="51">
        <f>IF(K240="Received",1,0)</f>
        <v/>
      </c>
      <c r="R240" s="51">
        <f>IF(Q240=1,F240-D240,0)</f>
        <v/>
      </c>
      <c r="S240" s="51">
        <f>IF(Q240=1,IF(F240&lt;=E240,1,0),0)</f>
        <v/>
      </c>
      <c r="T240" s="51">
        <f>IF(Q240=1,IF(H240&gt;=G240,1,0),0)</f>
        <v/>
      </c>
      <c r="U240" s="51">
        <f>S240*T240</f>
        <v/>
      </c>
      <c r="V240" s="51">
        <f>IF(Q240=1,MAX(0,F240-E240),0)</f>
        <v/>
      </c>
    </row>
    <row r="241">
      <c r="A241" s="43" t="inlineStr">
        <is>
          <t>PO100868</t>
        </is>
      </c>
      <c r="B241" s="43" t="inlineStr">
        <is>
          <t>CMD-0039</t>
        </is>
      </c>
      <c r="C241" s="43" t="inlineStr">
        <is>
          <t>S07</t>
        </is>
      </c>
      <c r="D241" s="47" t="n">
        <v>45633</v>
      </c>
      <c r="E241" s="47" t="n">
        <v>45675</v>
      </c>
      <c r="F241" s="47" t="n">
        <v>45673</v>
      </c>
      <c r="G241" s="46" t="n">
        <v>311</v>
      </c>
      <c r="H241" s="46" t="n">
        <v>311</v>
      </c>
      <c r="I241" s="46" t="n">
        <v>5</v>
      </c>
      <c r="J241" s="44" t="n">
        <v>51.99</v>
      </c>
      <c r="K241" s="43" t="inlineStr">
        <is>
          <t>Received</t>
        </is>
      </c>
      <c r="L241" s="17">
        <f>INDEX(Items!$C$2:$C$117,MATCH(B241,Items!$A$2:$A$117,0))</f>
        <v/>
      </c>
      <c r="M241" s="49">
        <f>INDEX(Items!$E$2:$E$117,MATCH(B241,Items!$A$2:$A$117,0))</f>
        <v/>
      </c>
      <c r="N241" s="17">
        <f>TEXT(D241,"yyyy-mm")</f>
        <v/>
      </c>
      <c r="O241" s="50">
        <f>G241*J241</f>
        <v/>
      </c>
      <c r="P241" s="50">
        <f>(J241-M241)*G241</f>
        <v/>
      </c>
      <c r="Q241" s="51">
        <f>IF(K241="Received",1,0)</f>
        <v/>
      </c>
      <c r="R241" s="51">
        <f>IF(Q241=1,F241-D241,0)</f>
        <v/>
      </c>
      <c r="S241" s="51">
        <f>IF(Q241=1,IF(F241&lt;=E241,1,0),0)</f>
        <v/>
      </c>
      <c r="T241" s="51">
        <f>IF(Q241=1,IF(H241&gt;=G241,1,0),0)</f>
        <v/>
      </c>
      <c r="U241" s="51">
        <f>S241*T241</f>
        <v/>
      </c>
      <c r="V241" s="51">
        <f>IF(Q241=1,MAX(0,F241-E241),0)</f>
        <v/>
      </c>
    </row>
    <row r="242">
      <c r="A242" s="43" t="inlineStr">
        <is>
          <t>PO100342</t>
        </is>
      </c>
      <c r="B242" s="43" t="inlineStr">
        <is>
          <t>CMD-0016</t>
        </is>
      </c>
      <c r="C242" s="43" t="inlineStr">
        <is>
          <t>S07</t>
        </is>
      </c>
      <c r="D242" s="47" t="n">
        <v>45633</v>
      </c>
      <c r="E242" s="47" t="n">
        <v>45724</v>
      </c>
      <c r="F242" s="47" t="n">
        <v>45722</v>
      </c>
      <c r="G242" s="46" t="n">
        <v>8198</v>
      </c>
      <c r="H242" s="46" t="n">
        <v>8198</v>
      </c>
      <c r="I242" s="46" t="n">
        <v>63</v>
      </c>
      <c r="J242" s="44" t="n">
        <v>27.02</v>
      </c>
      <c r="K242" s="43" t="inlineStr">
        <is>
          <t>Received</t>
        </is>
      </c>
      <c r="L242" s="17">
        <f>INDEX(Items!$C$2:$C$117,MATCH(B242,Items!$A$2:$A$117,0))</f>
        <v/>
      </c>
      <c r="M242" s="49">
        <f>INDEX(Items!$E$2:$E$117,MATCH(B242,Items!$A$2:$A$117,0))</f>
        <v/>
      </c>
      <c r="N242" s="17">
        <f>TEXT(D242,"yyyy-mm")</f>
        <v/>
      </c>
      <c r="O242" s="50">
        <f>G242*J242</f>
        <v/>
      </c>
      <c r="P242" s="50">
        <f>(J242-M242)*G242</f>
        <v/>
      </c>
      <c r="Q242" s="51">
        <f>IF(K242="Received",1,0)</f>
        <v/>
      </c>
      <c r="R242" s="51">
        <f>IF(Q242=1,F242-D242,0)</f>
        <v/>
      </c>
      <c r="S242" s="51">
        <f>IF(Q242=1,IF(F242&lt;=E242,1,0),0)</f>
        <v/>
      </c>
      <c r="T242" s="51">
        <f>IF(Q242=1,IF(H242&gt;=G242,1,0),0)</f>
        <v/>
      </c>
      <c r="U242" s="51">
        <f>S242*T242</f>
        <v/>
      </c>
      <c r="V242" s="51">
        <f>IF(Q242=1,MAX(0,F242-E242),0)</f>
        <v/>
      </c>
    </row>
    <row r="243">
      <c r="A243" s="43" t="inlineStr">
        <is>
          <t>PO100294</t>
        </is>
      </c>
      <c r="B243" s="43" t="inlineStr">
        <is>
          <t>CMD-0014</t>
        </is>
      </c>
      <c r="C243" s="43" t="inlineStr">
        <is>
          <t>S03</t>
        </is>
      </c>
      <c r="D243" s="47" t="n">
        <v>45634</v>
      </c>
      <c r="E243" s="47" t="n">
        <v>45767</v>
      </c>
      <c r="F243" s="47" t="n">
        <v>45778</v>
      </c>
      <c r="G243" s="46" t="n">
        <v>4363</v>
      </c>
      <c r="H243" s="46" t="n">
        <v>4363</v>
      </c>
      <c r="I243" s="46" t="n">
        <v>35</v>
      </c>
      <c r="J243" s="44" t="n">
        <v>12.62</v>
      </c>
      <c r="K243" s="43" t="inlineStr">
        <is>
          <t>Received</t>
        </is>
      </c>
      <c r="L243" s="17">
        <f>INDEX(Items!$C$2:$C$117,MATCH(B243,Items!$A$2:$A$117,0))</f>
        <v/>
      </c>
      <c r="M243" s="49">
        <f>INDEX(Items!$E$2:$E$117,MATCH(B243,Items!$A$2:$A$117,0))</f>
        <v/>
      </c>
      <c r="N243" s="17">
        <f>TEXT(D243,"yyyy-mm")</f>
        <v/>
      </c>
      <c r="O243" s="50">
        <f>G243*J243</f>
        <v/>
      </c>
      <c r="P243" s="50">
        <f>(J243-M243)*G243</f>
        <v/>
      </c>
      <c r="Q243" s="51">
        <f>IF(K243="Received",1,0)</f>
        <v/>
      </c>
      <c r="R243" s="51">
        <f>IF(Q243=1,F243-D243,0)</f>
        <v/>
      </c>
      <c r="S243" s="51">
        <f>IF(Q243=1,IF(F243&lt;=E243,1,0),0)</f>
        <v/>
      </c>
      <c r="T243" s="51">
        <f>IF(Q243=1,IF(H243&gt;=G243,1,0),0)</f>
        <v/>
      </c>
      <c r="U243" s="51">
        <f>S243*T243</f>
        <v/>
      </c>
      <c r="V243" s="51">
        <f>IF(Q243=1,MAX(0,F243-E243),0)</f>
        <v/>
      </c>
    </row>
    <row r="244">
      <c r="A244" s="43" t="inlineStr">
        <is>
          <t>PO101122</t>
        </is>
      </c>
      <c r="B244" s="43" t="inlineStr">
        <is>
          <t>CMD-0052</t>
        </is>
      </c>
      <c r="C244" s="43" t="inlineStr">
        <is>
          <t>S01</t>
        </is>
      </c>
      <c r="D244" s="47" t="n">
        <v>45634</v>
      </c>
      <c r="E244" s="47" t="n">
        <v>45655</v>
      </c>
      <c r="F244" s="47" t="n">
        <v>45654</v>
      </c>
      <c r="G244" s="46" t="n">
        <v>119582</v>
      </c>
      <c r="H244" s="46" t="n">
        <v>119582</v>
      </c>
      <c r="I244" s="46" t="n">
        <v>232</v>
      </c>
      <c r="J244" s="44" t="n">
        <v>0.2016</v>
      </c>
      <c r="K244" s="43" t="inlineStr">
        <is>
          <t>Received</t>
        </is>
      </c>
      <c r="L244" s="17">
        <f>INDEX(Items!$C$2:$C$117,MATCH(B244,Items!$A$2:$A$117,0))</f>
        <v/>
      </c>
      <c r="M244" s="49">
        <f>INDEX(Items!$E$2:$E$117,MATCH(B244,Items!$A$2:$A$117,0))</f>
        <v/>
      </c>
      <c r="N244" s="17">
        <f>TEXT(D244,"yyyy-mm")</f>
        <v/>
      </c>
      <c r="O244" s="50">
        <f>G244*J244</f>
        <v/>
      </c>
      <c r="P244" s="50">
        <f>(J244-M244)*G244</f>
        <v/>
      </c>
      <c r="Q244" s="51">
        <f>IF(K244="Received",1,0)</f>
        <v/>
      </c>
      <c r="R244" s="51">
        <f>IF(Q244=1,F244-D244,0)</f>
        <v/>
      </c>
      <c r="S244" s="51">
        <f>IF(Q244=1,IF(F244&lt;=E244,1,0),0)</f>
        <v/>
      </c>
      <c r="T244" s="51">
        <f>IF(Q244=1,IF(H244&gt;=G244,1,0),0)</f>
        <v/>
      </c>
      <c r="U244" s="51">
        <f>S244*T244</f>
        <v/>
      </c>
      <c r="V244" s="51">
        <f>IF(Q244=1,MAX(0,F244-E244),0)</f>
        <v/>
      </c>
    </row>
    <row r="245">
      <c r="A245" s="43" t="inlineStr">
        <is>
          <t>PO101032</t>
        </is>
      </c>
      <c r="B245" s="43" t="inlineStr">
        <is>
          <t>CMD-0047</t>
        </is>
      </c>
      <c r="C245" s="43" t="inlineStr">
        <is>
          <t>S04</t>
        </is>
      </c>
      <c r="D245" s="47" t="n">
        <v>45634</v>
      </c>
      <c r="E245" s="47" t="n">
        <v>45669</v>
      </c>
      <c r="F245" s="47" t="n">
        <v>45667</v>
      </c>
      <c r="G245" s="46" t="n">
        <v>18251</v>
      </c>
      <c r="H245" s="46" t="n">
        <v>18251</v>
      </c>
      <c r="I245" s="46" t="n">
        <v>174</v>
      </c>
      <c r="J245" s="44" t="n">
        <v>0.296</v>
      </c>
      <c r="K245" s="43" t="inlineStr">
        <is>
          <t>Received</t>
        </is>
      </c>
      <c r="L245" s="17">
        <f>INDEX(Items!$C$2:$C$117,MATCH(B245,Items!$A$2:$A$117,0))</f>
        <v/>
      </c>
      <c r="M245" s="49">
        <f>INDEX(Items!$E$2:$E$117,MATCH(B245,Items!$A$2:$A$117,0))</f>
        <v/>
      </c>
      <c r="N245" s="17">
        <f>TEXT(D245,"yyyy-mm")</f>
        <v/>
      </c>
      <c r="O245" s="50">
        <f>G245*J245</f>
        <v/>
      </c>
      <c r="P245" s="50">
        <f>(J245-M245)*G245</f>
        <v/>
      </c>
      <c r="Q245" s="51">
        <f>IF(K245="Received",1,0)</f>
        <v/>
      </c>
      <c r="R245" s="51">
        <f>IF(Q245=1,F245-D245,0)</f>
        <v/>
      </c>
      <c r="S245" s="51">
        <f>IF(Q245=1,IF(F245&lt;=E245,1,0),0)</f>
        <v/>
      </c>
      <c r="T245" s="51">
        <f>IF(Q245=1,IF(H245&gt;=G245,1,0),0)</f>
        <v/>
      </c>
      <c r="U245" s="51">
        <f>S245*T245</f>
        <v/>
      </c>
      <c r="V245" s="51">
        <f>IF(Q245=1,MAX(0,F245-E245),0)</f>
        <v/>
      </c>
    </row>
    <row r="246">
      <c r="A246" s="43" t="inlineStr">
        <is>
          <t>PO101822</t>
        </is>
      </c>
      <c r="B246" s="43" t="inlineStr">
        <is>
          <t>CMD-0100</t>
        </is>
      </c>
      <c r="C246" s="43" t="inlineStr">
        <is>
          <t>S09</t>
        </is>
      </c>
      <c r="D246" s="47" t="n">
        <v>45634</v>
      </c>
      <c r="E246" s="47" t="n">
        <v>45655</v>
      </c>
      <c r="F246" s="47" t="n">
        <v>45653</v>
      </c>
      <c r="G246" s="46" t="n">
        <v>6046</v>
      </c>
      <c r="H246" s="46" t="n">
        <v>6046</v>
      </c>
      <c r="I246" s="46" t="n">
        <v>21</v>
      </c>
      <c r="J246" s="44" t="n">
        <v>4.94</v>
      </c>
      <c r="K246" s="43" t="inlineStr">
        <is>
          <t>Received</t>
        </is>
      </c>
      <c r="L246" s="17">
        <f>INDEX(Items!$C$2:$C$117,MATCH(B246,Items!$A$2:$A$117,0))</f>
        <v/>
      </c>
      <c r="M246" s="49">
        <f>INDEX(Items!$E$2:$E$117,MATCH(B246,Items!$A$2:$A$117,0))</f>
        <v/>
      </c>
      <c r="N246" s="17">
        <f>TEXT(D246,"yyyy-mm")</f>
        <v/>
      </c>
      <c r="O246" s="50">
        <f>G246*J246</f>
        <v/>
      </c>
      <c r="P246" s="50">
        <f>(J246-M246)*G246</f>
        <v/>
      </c>
      <c r="Q246" s="51">
        <f>IF(K246="Received",1,0)</f>
        <v/>
      </c>
      <c r="R246" s="51">
        <f>IF(Q246=1,F246-D246,0)</f>
        <v/>
      </c>
      <c r="S246" s="51">
        <f>IF(Q246=1,IF(F246&lt;=E246,1,0),0)</f>
        <v/>
      </c>
      <c r="T246" s="51">
        <f>IF(Q246=1,IF(H246&gt;=G246,1,0),0)</f>
        <v/>
      </c>
      <c r="U246" s="51">
        <f>S246*T246</f>
        <v/>
      </c>
      <c r="V246" s="51">
        <f>IF(Q246=1,MAX(0,F246-E246),0)</f>
        <v/>
      </c>
    </row>
    <row r="247">
      <c r="A247" s="43" t="inlineStr">
        <is>
          <t>PO100522</t>
        </is>
      </c>
      <c r="B247" s="43" t="inlineStr">
        <is>
          <t>CMD-0024</t>
        </is>
      </c>
      <c r="C247" s="43" t="inlineStr">
        <is>
          <t>S04</t>
        </is>
      </c>
      <c r="D247" s="47" t="n">
        <v>45634</v>
      </c>
      <c r="E247" s="47" t="n">
        <v>45704</v>
      </c>
      <c r="F247" s="47" t="n">
        <v>45704</v>
      </c>
      <c r="G247" s="46" t="n">
        <v>5176</v>
      </c>
      <c r="H247" s="46" t="n">
        <v>5176</v>
      </c>
      <c r="I247" s="46" t="n">
        <v>53</v>
      </c>
      <c r="J247" s="44" t="n">
        <v>3.31</v>
      </c>
      <c r="K247" s="43" t="inlineStr">
        <is>
          <t>Received</t>
        </is>
      </c>
      <c r="L247" s="17">
        <f>INDEX(Items!$C$2:$C$117,MATCH(B247,Items!$A$2:$A$117,0))</f>
        <v/>
      </c>
      <c r="M247" s="49">
        <f>INDEX(Items!$E$2:$E$117,MATCH(B247,Items!$A$2:$A$117,0))</f>
        <v/>
      </c>
      <c r="N247" s="17">
        <f>TEXT(D247,"yyyy-mm")</f>
        <v/>
      </c>
      <c r="O247" s="50">
        <f>G247*J247</f>
        <v/>
      </c>
      <c r="P247" s="50">
        <f>(J247-M247)*G247</f>
        <v/>
      </c>
      <c r="Q247" s="51">
        <f>IF(K247="Received",1,0)</f>
        <v/>
      </c>
      <c r="R247" s="51">
        <f>IF(Q247=1,F247-D247,0)</f>
        <v/>
      </c>
      <c r="S247" s="51">
        <f>IF(Q247=1,IF(F247&lt;=E247,1,0),0)</f>
        <v/>
      </c>
      <c r="T247" s="51">
        <f>IF(Q247=1,IF(H247&gt;=G247,1,0),0)</f>
        <v/>
      </c>
      <c r="U247" s="51">
        <f>S247*T247</f>
        <v/>
      </c>
      <c r="V247" s="51">
        <f>IF(Q247=1,MAX(0,F247-E247),0)</f>
        <v/>
      </c>
    </row>
    <row r="248">
      <c r="A248" s="43" t="inlineStr">
        <is>
          <t>PO101278</t>
        </is>
      </c>
      <c r="B248" s="43" t="inlineStr">
        <is>
          <t>CMD-0062</t>
        </is>
      </c>
      <c r="C248" s="43" t="inlineStr">
        <is>
          <t>S01</t>
        </is>
      </c>
      <c r="D248" s="47" t="n">
        <v>45634</v>
      </c>
      <c r="E248" s="47" t="n">
        <v>45655</v>
      </c>
      <c r="F248" s="47" t="n">
        <v>45653</v>
      </c>
      <c r="G248" s="46" t="n">
        <v>76762</v>
      </c>
      <c r="H248" s="46" t="n">
        <v>67330</v>
      </c>
      <c r="I248" s="46" t="n">
        <v>109</v>
      </c>
      <c r="J248" s="44" t="n">
        <v>0.1139</v>
      </c>
      <c r="K248" s="43" t="inlineStr">
        <is>
          <t>Received</t>
        </is>
      </c>
      <c r="L248" s="17">
        <f>INDEX(Items!$C$2:$C$117,MATCH(B248,Items!$A$2:$A$117,0))</f>
        <v/>
      </c>
      <c r="M248" s="49">
        <f>INDEX(Items!$E$2:$E$117,MATCH(B248,Items!$A$2:$A$117,0))</f>
        <v/>
      </c>
      <c r="N248" s="17">
        <f>TEXT(D248,"yyyy-mm")</f>
        <v/>
      </c>
      <c r="O248" s="50">
        <f>G248*J248</f>
        <v/>
      </c>
      <c r="P248" s="50">
        <f>(J248-M248)*G248</f>
        <v/>
      </c>
      <c r="Q248" s="51">
        <f>IF(K248="Received",1,0)</f>
        <v/>
      </c>
      <c r="R248" s="51">
        <f>IF(Q248=1,F248-D248,0)</f>
        <v/>
      </c>
      <c r="S248" s="51">
        <f>IF(Q248=1,IF(F248&lt;=E248,1,0),0)</f>
        <v/>
      </c>
      <c r="T248" s="51">
        <f>IF(Q248=1,IF(H248&gt;=G248,1,0),0)</f>
        <v/>
      </c>
      <c r="U248" s="51">
        <f>S248*T248</f>
        <v/>
      </c>
      <c r="V248" s="51">
        <f>IF(Q248=1,MAX(0,F248-E248),0)</f>
        <v/>
      </c>
    </row>
    <row r="249">
      <c r="A249" s="43" t="inlineStr">
        <is>
          <t>PO100642</t>
        </is>
      </c>
      <c r="B249" s="43" t="inlineStr">
        <is>
          <t>CMD-0029</t>
        </is>
      </c>
      <c r="C249" s="43" t="inlineStr">
        <is>
          <t>S11</t>
        </is>
      </c>
      <c r="D249" s="47" t="n">
        <v>45634</v>
      </c>
      <c r="E249" s="47" t="n">
        <v>45711</v>
      </c>
      <c r="F249" s="47" t="n">
        <v>45710</v>
      </c>
      <c r="G249" s="46" t="n">
        <v>4714</v>
      </c>
      <c r="H249" s="46" t="n">
        <v>4714</v>
      </c>
      <c r="I249" s="46" t="n">
        <v>10</v>
      </c>
      <c r="J249" s="44" t="n">
        <v>6.87</v>
      </c>
      <c r="K249" s="43" t="inlineStr">
        <is>
          <t>Received</t>
        </is>
      </c>
      <c r="L249" s="17">
        <f>INDEX(Items!$C$2:$C$117,MATCH(B249,Items!$A$2:$A$117,0))</f>
        <v/>
      </c>
      <c r="M249" s="49">
        <f>INDEX(Items!$E$2:$E$117,MATCH(B249,Items!$A$2:$A$117,0))</f>
        <v/>
      </c>
      <c r="N249" s="17">
        <f>TEXT(D249,"yyyy-mm")</f>
        <v/>
      </c>
      <c r="O249" s="50">
        <f>G249*J249</f>
        <v/>
      </c>
      <c r="P249" s="50">
        <f>(J249-M249)*G249</f>
        <v/>
      </c>
      <c r="Q249" s="51">
        <f>IF(K249="Received",1,0)</f>
        <v/>
      </c>
      <c r="R249" s="51">
        <f>IF(Q249=1,F249-D249,0)</f>
        <v/>
      </c>
      <c r="S249" s="51">
        <f>IF(Q249=1,IF(F249&lt;=E249,1,0),0)</f>
        <v/>
      </c>
      <c r="T249" s="51">
        <f>IF(Q249=1,IF(H249&gt;=G249,1,0),0)</f>
        <v/>
      </c>
      <c r="U249" s="51">
        <f>S249*T249</f>
        <v/>
      </c>
      <c r="V249" s="51">
        <f>IF(Q249=1,MAX(0,F249-E249),0)</f>
        <v/>
      </c>
    </row>
    <row r="250">
      <c r="A250" s="43" t="inlineStr">
        <is>
          <t>PO100498</t>
        </is>
      </c>
      <c r="B250" s="43" t="inlineStr">
        <is>
          <t>CMD-0023</t>
        </is>
      </c>
      <c r="C250" s="43" t="inlineStr">
        <is>
          <t>S04</t>
        </is>
      </c>
      <c r="D250" s="47" t="n">
        <v>45634</v>
      </c>
      <c r="E250" s="47" t="n">
        <v>45704</v>
      </c>
      <c r="F250" s="47" t="n">
        <v>45702</v>
      </c>
      <c r="G250" s="46" t="n">
        <v>4069</v>
      </c>
      <c r="H250" s="46" t="n">
        <v>4069</v>
      </c>
      <c r="I250" s="46" t="n">
        <v>39</v>
      </c>
      <c r="J250" s="44" t="n">
        <v>8.800000000000001</v>
      </c>
      <c r="K250" s="43" t="inlineStr">
        <is>
          <t>Received</t>
        </is>
      </c>
      <c r="L250" s="17">
        <f>INDEX(Items!$C$2:$C$117,MATCH(B250,Items!$A$2:$A$117,0))</f>
        <v/>
      </c>
      <c r="M250" s="49">
        <f>INDEX(Items!$E$2:$E$117,MATCH(B250,Items!$A$2:$A$117,0))</f>
        <v/>
      </c>
      <c r="N250" s="17">
        <f>TEXT(D250,"yyyy-mm")</f>
        <v/>
      </c>
      <c r="O250" s="50">
        <f>G250*J250</f>
        <v/>
      </c>
      <c r="P250" s="50">
        <f>(J250-M250)*G250</f>
        <v/>
      </c>
      <c r="Q250" s="51">
        <f>IF(K250="Received",1,0)</f>
        <v/>
      </c>
      <c r="R250" s="51">
        <f>IF(Q250=1,F250-D250,0)</f>
        <v/>
      </c>
      <c r="S250" s="51">
        <f>IF(Q250=1,IF(F250&lt;=E250,1,0),0)</f>
        <v/>
      </c>
      <c r="T250" s="51">
        <f>IF(Q250=1,IF(H250&gt;=G250,1,0),0)</f>
        <v/>
      </c>
      <c r="U250" s="51">
        <f>S250*T250</f>
        <v/>
      </c>
      <c r="V250" s="51">
        <f>IF(Q250=1,MAX(0,F250-E250),0)</f>
        <v/>
      </c>
    </row>
    <row r="251">
      <c r="A251" s="43" t="inlineStr">
        <is>
          <t>PO101566</t>
        </is>
      </c>
      <c r="B251" s="43" t="inlineStr">
        <is>
          <t>CMD-0085</t>
        </is>
      </c>
      <c r="C251" s="43" t="inlineStr">
        <is>
          <t>S06</t>
        </is>
      </c>
      <c r="D251" s="47" t="n">
        <v>45634</v>
      </c>
      <c r="E251" s="47" t="n">
        <v>45655</v>
      </c>
      <c r="F251" s="47" t="n">
        <v>45652</v>
      </c>
      <c r="G251" s="46" t="n">
        <v>771</v>
      </c>
      <c r="H251" s="46" t="n">
        <v>771</v>
      </c>
      <c r="I251" s="46" t="n">
        <v>3</v>
      </c>
      <c r="J251" s="44" t="n">
        <v>10.56</v>
      </c>
      <c r="K251" s="43" t="inlineStr">
        <is>
          <t>Received</t>
        </is>
      </c>
      <c r="L251" s="17">
        <f>INDEX(Items!$C$2:$C$117,MATCH(B251,Items!$A$2:$A$117,0))</f>
        <v/>
      </c>
      <c r="M251" s="49">
        <f>INDEX(Items!$E$2:$E$117,MATCH(B251,Items!$A$2:$A$117,0))</f>
        <v/>
      </c>
      <c r="N251" s="17">
        <f>TEXT(D251,"yyyy-mm")</f>
        <v/>
      </c>
      <c r="O251" s="50">
        <f>G251*J251</f>
        <v/>
      </c>
      <c r="P251" s="50">
        <f>(J251-M251)*G251</f>
        <v/>
      </c>
      <c r="Q251" s="51">
        <f>IF(K251="Received",1,0)</f>
        <v/>
      </c>
      <c r="R251" s="51">
        <f>IF(Q251=1,F251-D251,0)</f>
        <v/>
      </c>
      <c r="S251" s="51">
        <f>IF(Q251=1,IF(F251&lt;=E251,1,0),0)</f>
        <v/>
      </c>
      <c r="T251" s="51">
        <f>IF(Q251=1,IF(H251&gt;=G251,1,0),0)</f>
        <v/>
      </c>
      <c r="U251" s="51">
        <f>S251*T251</f>
        <v/>
      </c>
      <c r="V251" s="51">
        <f>IF(Q251=1,MAX(0,F251-E251),0)</f>
        <v/>
      </c>
    </row>
    <row r="252">
      <c r="A252" s="43" t="inlineStr">
        <is>
          <t>PO101482</t>
        </is>
      </c>
      <c r="B252" s="43" t="inlineStr">
        <is>
          <t>CMD-0079</t>
        </is>
      </c>
      <c r="C252" s="43" t="inlineStr">
        <is>
          <t>S06</t>
        </is>
      </c>
      <c r="D252" s="47" t="n">
        <v>45634</v>
      </c>
      <c r="E252" s="47" t="n">
        <v>45655</v>
      </c>
      <c r="F252" s="47" t="n">
        <v>45653</v>
      </c>
      <c r="G252" s="46" t="n">
        <v>2042</v>
      </c>
      <c r="H252" s="46" t="n">
        <v>2042</v>
      </c>
      <c r="I252" s="46" t="n">
        <v>12</v>
      </c>
      <c r="J252" s="44" t="n">
        <v>3.53</v>
      </c>
      <c r="K252" s="43" t="inlineStr">
        <is>
          <t>Received</t>
        </is>
      </c>
      <c r="L252" s="17">
        <f>INDEX(Items!$C$2:$C$117,MATCH(B252,Items!$A$2:$A$117,0))</f>
        <v/>
      </c>
      <c r="M252" s="49">
        <f>INDEX(Items!$E$2:$E$117,MATCH(B252,Items!$A$2:$A$117,0))</f>
        <v/>
      </c>
      <c r="N252" s="17">
        <f>TEXT(D252,"yyyy-mm")</f>
        <v/>
      </c>
      <c r="O252" s="50">
        <f>G252*J252</f>
        <v/>
      </c>
      <c r="P252" s="50">
        <f>(J252-M252)*G252</f>
        <v/>
      </c>
      <c r="Q252" s="51">
        <f>IF(K252="Received",1,0)</f>
        <v/>
      </c>
      <c r="R252" s="51">
        <f>IF(Q252=1,F252-D252,0)</f>
        <v/>
      </c>
      <c r="S252" s="51">
        <f>IF(Q252=1,IF(F252&lt;=E252,1,0),0)</f>
        <v/>
      </c>
      <c r="T252" s="51">
        <f>IF(Q252=1,IF(H252&gt;=G252,1,0),0)</f>
        <v/>
      </c>
      <c r="U252" s="51">
        <f>S252*T252</f>
        <v/>
      </c>
      <c r="V252" s="51">
        <f>IF(Q252=1,MAX(0,F252-E252),0)</f>
        <v/>
      </c>
    </row>
    <row r="253">
      <c r="A253" s="43" t="inlineStr">
        <is>
          <t>PO101434</t>
        </is>
      </c>
      <c r="B253" s="43" t="inlineStr">
        <is>
          <t>CMD-0077</t>
        </is>
      </c>
      <c r="C253" s="43" t="inlineStr">
        <is>
          <t>S01</t>
        </is>
      </c>
      <c r="D253" s="47" t="n">
        <v>45634</v>
      </c>
      <c r="E253" s="47" t="n">
        <v>45648</v>
      </c>
      <c r="F253" s="47" t="n">
        <v>45646</v>
      </c>
      <c r="G253" s="46" t="n">
        <v>4704</v>
      </c>
      <c r="H253" s="46" t="n">
        <v>4704</v>
      </c>
      <c r="I253" s="46" t="n">
        <v>8</v>
      </c>
      <c r="J253" s="44" t="n">
        <v>8.75</v>
      </c>
      <c r="K253" s="43" t="inlineStr">
        <is>
          <t>Received</t>
        </is>
      </c>
      <c r="L253" s="17">
        <f>INDEX(Items!$C$2:$C$117,MATCH(B253,Items!$A$2:$A$117,0))</f>
        <v/>
      </c>
      <c r="M253" s="49">
        <f>INDEX(Items!$E$2:$E$117,MATCH(B253,Items!$A$2:$A$117,0))</f>
        <v/>
      </c>
      <c r="N253" s="17">
        <f>TEXT(D253,"yyyy-mm")</f>
        <v/>
      </c>
      <c r="O253" s="50">
        <f>G253*J253</f>
        <v/>
      </c>
      <c r="P253" s="50">
        <f>(J253-M253)*G253</f>
        <v/>
      </c>
      <c r="Q253" s="51">
        <f>IF(K253="Received",1,0)</f>
        <v/>
      </c>
      <c r="R253" s="51">
        <f>IF(Q253=1,F253-D253,0)</f>
        <v/>
      </c>
      <c r="S253" s="51">
        <f>IF(Q253=1,IF(F253&lt;=E253,1,0),0)</f>
        <v/>
      </c>
      <c r="T253" s="51">
        <f>IF(Q253=1,IF(H253&gt;=G253,1,0),0)</f>
        <v/>
      </c>
      <c r="U253" s="51">
        <f>S253*T253</f>
        <v/>
      </c>
      <c r="V253" s="51">
        <f>IF(Q253=1,MAX(0,F253-E253),0)</f>
        <v/>
      </c>
    </row>
    <row r="254">
      <c r="A254" s="43" t="inlineStr">
        <is>
          <t>PO100570</t>
        </is>
      </c>
      <c r="B254" s="43" t="inlineStr">
        <is>
          <t>CMD-0026</t>
        </is>
      </c>
      <c r="C254" s="43" t="inlineStr">
        <is>
          <t>S04</t>
        </is>
      </c>
      <c r="D254" s="47" t="n">
        <v>45635</v>
      </c>
      <c r="E254" s="47" t="n">
        <v>45705</v>
      </c>
      <c r="F254" s="47" t="n">
        <v>45703</v>
      </c>
      <c r="G254" s="46" t="n">
        <v>6758</v>
      </c>
      <c r="H254" s="46" t="n">
        <v>6758</v>
      </c>
      <c r="I254" s="46" t="n">
        <v>79</v>
      </c>
      <c r="J254" s="44" t="n">
        <v>5.96</v>
      </c>
      <c r="K254" s="43" t="inlineStr">
        <is>
          <t>Received</t>
        </is>
      </c>
      <c r="L254" s="17">
        <f>INDEX(Items!$C$2:$C$117,MATCH(B254,Items!$A$2:$A$117,0))</f>
        <v/>
      </c>
      <c r="M254" s="49">
        <f>INDEX(Items!$E$2:$E$117,MATCH(B254,Items!$A$2:$A$117,0))</f>
        <v/>
      </c>
      <c r="N254" s="17">
        <f>TEXT(D254,"yyyy-mm")</f>
        <v/>
      </c>
      <c r="O254" s="50">
        <f>G254*J254</f>
        <v/>
      </c>
      <c r="P254" s="50">
        <f>(J254-M254)*G254</f>
        <v/>
      </c>
      <c r="Q254" s="51">
        <f>IF(K254="Received",1,0)</f>
        <v/>
      </c>
      <c r="R254" s="51">
        <f>IF(Q254=1,F254-D254,0)</f>
        <v/>
      </c>
      <c r="S254" s="51">
        <f>IF(Q254=1,IF(F254&lt;=E254,1,0),0)</f>
        <v/>
      </c>
      <c r="T254" s="51">
        <f>IF(Q254=1,IF(H254&gt;=G254,1,0),0)</f>
        <v/>
      </c>
      <c r="U254" s="51">
        <f>S254*T254</f>
        <v/>
      </c>
      <c r="V254" s="51">
        <f>IF(Q254=1,MAX(0,F254-E254),0)</f>
        <v/>
      </c>
    </row>
    <row r="255">
      <c r="A255" s="43" t="inlineStr">
        <is>
          <t>PO100146</t>
        </is>
      </c>
      <c r="B255" s="43" t="inlineStr">
        <is>
          <t>CMD-0007</t>
        </is>
      </c>
      <c r="C255" s="43" t="inlineStr">
        <is>
          <t>S03</t>
        </is>
      </c>
      <c r="D255" s="47" t="n">
        <v>45635</v>
      </c>
      <c r="E255" s="47" t="n">
        <v>45768</v>
      </c>
      <c r="F255" s="47" t="n">
        <v>45781</v>
      </c>
      <c r="G255" s="46" t="n">
        <v>4610</v>
      </c>
      <c r="H255" s="46" t="n">
        <v>4610</v>
      </c>
      <c r="I255" s="46" t="n">
        <v>24</v>
      </c>
      <c r="J255" s="44" t="n">
        <v>19.39</v>
      </c>
      <c r="K255" s="43" t="inlineStr">
        <is>
          <t>Received</t>
        </is>
      </c>
      <c r="L255" s="17">
        <f>INDEX(Items!$C$2:$C$117,MATCH(B255,Items!$A$2:$A$117,0))</f>
        <v/>
      </c>
      <c r="M255" s="49">
        <f>INDEX(Items!$E$2:$E$117,MATCH(B255,Items!$A$2:$A$117,0))</f>
        <v/>
      </c>
      <c r="N255" s="17">
        <f>TEXT(D255,"yyyy-mm")</f>
        <v/>
      </c>
      <c r="O255" s="50">
        <f>G255*J255</f>
        <v/>
      </c>
      <c r="P255" s="50">
        <f>(J255-M255)*G255</f>
        <v/>
      </c>
      <c r="Q255" s="51">
        <f>IF(K255="Received",1,0)</f>
        <v/>
      </c>
      <c r="R255" s="51">
        <f>IF(Q255=1,F255-D255,0)</f>
        <v/>
      </c>
      <c r="S255" s="51">
        <f>IF(Q255=1,IF(F255&lt;=E255,1,0),0)</f>
        <v/>
      </c>
      <c r="T255" s="51">
        <f>IF(Q255=1,IF(H255&gt;=G255,1,0),0)</f>
        <v/>
      </c>
      <c r="U255" s="51">
        <f>S255*T255</f>
        <v/>
      </c>
      <c r="V255" s="51">
        <f>IF(Q255=1,MAX(0,F255-E255),0)</f>
        <v/>
      </c>
    </row>
    <row r="256">
      <c r="A256" s="43" t="inlineStr">
        <is>
          <t>PO101084</t>
        </is>
      </c>
      <c r="B256" s="43" t="inlineStr">
        <is>
          <t>CMD-0050</t>
        </is>
      </c>
      <c r="C256" s="43" t="inlineStr">
        <is>
          <t>S10</t>
        </is>
      </c>
      <c r="D256" s="47" t="n">
        <v>45635</v>
      </c>
      <c r="E256" s="47" t="n">
        <v>45663</v>
      </c>
      <c r="F256" s="47" t="n">
        <v>45662</v>
      </c>
      <c r="G256" s="46" t="n">
        <v>84297</v>
      </c>
      <c r="H256" s="46" t="n">
        <v>84297</v>
      </c>
      <c r="I256" s="46" t="n">
        <v>76</v>
      </c>
      <c r="J256" s="44" t="n">
        <v>0.075</v>
      </c>
      <c r="K256" s="43" t="inlineStr">
        <is>
          <t>Received</t>
        </is>
      </c>
      <c r="L256" s="17">
        <f>INDEX(Items!$C$2:$C$117,MATCH(B256,Items!$A$2:$A$117,0))</f>
        <v/>
      </c>
      <c r="M256" s="49">
        <f>INDEX(Items!$E$2:$E$117,MATCH(B256,Items!$A$2:$A$117,0))</f>
        <v/>
      </c>
      <c r="N256" s="17">
        <f>TEXT(D256,"yyyy-mm")</f>
        <v/>
      </c>
      <c r="O256" s="50">
        <f>G256*J256</f>
        <v/>
      </c>
      <c r="P256" s="50">
        <f>(J256-M256)*G256</f>
        <v/>
      </c>
      <c r="Q256" s="51">
        <f>IF(K256="Received",1,0)</f>
        <v/>
      </c>
      <c r="R256" s="51">
        <f>IF(Q256=1,F256-D256,0)</f>
        <v/>
      </c>
      <c r="S256" s="51">
        <f>IF(Q256=1,IF(F256&lt;=E256,1,0),0)</f>
        <v/>
      </c>
      <c r="T256" s="51">
        <f>IF(Q256=1,IF(H256&gt;=G256,1,0),0)</f>
        <v/>
      </c>
      <c r="U256" s="51">
        <f>S256*T256</f>
        <v/>
      </c>
      <c r="V256" s="51">
        <f>IF(Q256=1,MAX(0,F256-E256),0)</f>
        <v/>
      </c>
    </row>
    <row r="257">
      <c r="A257" s="43" t="inlineStr">
        <is>
          <t>PO101008</t>
        </is>
      </c>
      <c r="B257" s="43" t="inlineStr">
        <is>
          <t>CMD-0046</t>
        </is>
      </c>
      <c r="C257" s="43" t="inlineStr">
        <is>
          <t>S05</t>
        </is>
      </c>
      <c r="D257" s="47" t="n">
        <v>45635</v>
      </c>
      <c r="E257" s="47" t="n">
        <v>45740</v>
      </c>
      <c r="F257" s="47" t="n">
        <v>45740</v>
      </c>
      <c r="G257" s="46" t="n">
        <v>7445</v>
      </c>
      <c r="H257" s="46" t="n">
        <v>7445</v>
      </c>
      <c r="I257" s="46" t="n">
        <v>126</v>
      </c>
      <c r="J257" s="44" t="n">
        <v>10.57</v>
      </c>
      <c r="K257" s="43" t="inlineStr">
        <is>
          <t>Received</t>
        </is>
      </c>
      <c r="L257" s="17">
        <f>INDEX(Items!$C$2:$C$117,MATCH(B257,Items!$A$2:$A$117,0))</f>
        <v/>
      </c>
      <c r="M257" s="49">
        <f>INDEX(Items!$E$2:$E$117,MATCH(B257,Items!$A$2:$A$117,0))</f>
        <v/>
      </c>
      <c r="N257" s="17">
        <f>TEXT(D257,"yyyy-mm")</f>
        <v/>
      </c>
      <c r="O257" s="50">
        <f>G257*J257</f>
        <v/>
      </c>
      <c r="P257" s="50">
        <f>(J257-M257)*G257</f>
        <v/>
      </c>
      <c r="Q257" s="51">
        <f>IF(K257="Received",1,0)</f>
        <v/>
      </c>
      <c r="R257" s="51">
        <f>IF(Q257=1,F257-D257,0)</f>
        <v/>
      </c>
      <c r="S257" s="51">
        <f>IF(Q257=1,IF(F257&lt;=E257,1,0),0)</f>
        <v/>
      </c>
      <c r="T257" s="51">
        <f>IF(Q257=1,IF(H257&gt;=G257,1,0),0)</f>
        <v/>
      </c>
      <c r="U257" s="51">
        <f>S257*T257</f>
        <v/>
      </c>
      <c r="V257" s="51">
        <f>IF(Q257=1,MAX(0,F257-E257),0)</f>
        <v/>
      </c>
    </row>
    <row r="258">
      <c r="A258" s="43" t="inlineStr">
        <is>
          <t>PO100936</t>
        </is>
      </c>
      <c r="B258" s="43" t="inlineStr">
        <is>
          <t>CMD-0043</t>
        </is>
      </c>
      <c r="C258" s="43" t="inlineStr">
        <is>
          <t>S05</t>
        </is>
      </c>
      <c r="D258" s="47" t="n">
        <v>45635</v>
      </c>
      <c r="E258" s="47" t="n">
        <v>45740</v>
      </c>
      <c r="F258" s="47" t="n">
        <v>45750</v>
      </c>
      <c r="G258" s="46" t="n">
        <v>6049</v>
      </c>
      <c r="H258" s="46" t="n">
        <v>6049</v>
      </c>
      <c r="I258" s="46" t="n">
        <v>119</v>
      </c>
      <c r="J258" s="44" t="n">
        <v>3.69</v>
      </c>
      <c r="K258" s="43" t="inlineStr">
        <is>
          <t>Received</t>
        </is>
      </c>
      <c r="L258" s="17">
        <f>INDEX(Items!$C$2:$C$117,MATCH(B258,Items!$A$2:$A$117,0))</f>
        <v/>
      </c>
      <c r="M258" s="49">
        <f>INDEX(Items!$E$2:$E$117,MATCH(B258,Items!$A$2:$A$117,0))</f>
        <v/>
      </c>
      <c r="N258" s="17">
        <f>TEXT(D258,"yyyy-mm")</f>
        <v/>
      </c>
      <c r="O258" s="50">
        <f>G258*J258</f>
        <v/>
      </c>
      <c r="P258" s="50">
        <f>(J258-M258)*G258</f>
        <v/>
      </c>
      <c r="Q258" s="51">
        <f>IF(K258="Received",1,0)</f>
        <v/>
      </c>
      <c r="R258" s="51">
        <f>IF(Q258=1,F258-D258,0)</f>
        <v/>
      </c>
      <c r="S258" s="51">
        <f>IF(Q258=1,IF(F258&lt;=E258,1,0),0)</f>
        <v/>
      </c>
      <c r="T258" s="51">
        <f>IF(Q258=1,IF(H258&gt;=G258,1,0),0)</f>
        <v/>
      </c>
      <c r="U258" s="51">
        <f>S258*T258</f>
        <v/>
      </c>
      <c r="V258" s="51">
        <f>IF(Q258=1,MAX(0,F258-E258),0)</f>
        <v/>
      </c>
    </row>
    <row r="259">
      <c r="A259" s="43" t="inlineStr">
        <is>
          <t>PO100912</t>
        </is>
      </c>
      <c r="B259" s="43" t="inlineStr">
        <is>
          <t>CMD-0042</t>
        </is>
      </c>
      <c r="C259" s="43" t="inlineStr">
        <is>
          <t>S05</t>
        </is>
      </c>
      <c r="D259" s="47" t="n">
        <v>45635</v>
      </c>
      <c r="E259" s="47" t="n">
        <v>45740</v>
      </c>
      <c r="F259" s="47" t="n">
        <v>45783</v>
      </c>
      <c r="G259" s="46" t="n">
        <v>578</v>
      </c>
      <c r="H259" s="46" t="n">
        <v>578</v>
      </c>
      <c r="I259" s="46" t="n">
        <v>11</v>
      </c>
      <c r="J259" s="44" t="n">
        <v>8.91</v>
      </c>
      <c r="K259" s="43" t="inlineStr">
        <is>
          <t>Received</t>
        </is>
      </c>
      <c r="L259" s="17">
        <f>INDEX(Items!$C$2:$C$117,MATCH(B259,Items!$A$2:$A$117,0))</f>
        <v/>
      </c>
      <c r="M259" s="49">
        <f>INDEX(Items!$E$2:$E$117,MATCH(B259,Items!$A$2:$A$117,0))</f>
        <v/>
      </c>
      <c r="N259" s="17">
        <f>TEXT(D259,"yyyy-mm")</f>
        <v/>
      </c>
      <c r="O259" s="50">
        <f>G259*J259</f>
        <v/>
      </c>
      <c r="P259" s="50">
        <f>(J259-M259)*G259</f>
        <v/>
      </c>
      <c r="Q259" s="51">
        <f>IF(K259="Received",1,0)</f>
        <v/>
      </c>
      <c r="R259" s="51">
        <f>IF(Q259=1,F259-D259,0)</f>
        <v/>
      </c>
      <c r="S259" s="51">
        <f>IF(Q259=1,IF(F259&lt;=E259,1,0),0)</f>
        <v/>
      </c>
      <c r="T259" s="51">
        <f>IF(Q259=1,IF(H259&gt;=G259,1,0),0)</f>
        <v/>
      </c>
      <c r="U259" s="51">
        <f>S259*T259</f>
        <v/>
      </c>
      <c r="V259" s="51">
        <f>IF(Q259=1,MAX(0,F259-E259),0)</f>
        <v/>
      </c>
    </row>
    <row r="260">
      <c r="A260" s="43" t="inlineStr">
        <is>
          <t>PO100474</t>
        </is>
      </c>
      <c r="B260" s="43" t="inlineStr">
        <is>
          <t>CMD-0022</t>
        </is>
      </c>
      <c r="C260" s="43" t="inlineStr">
        <is>
          <t>S02</t>
        </is>
      </c>
      <c r="D260" s="47" t="n">
        <v>45635</v>
      </c>
      <c r="E260" s="47" t="n">
        <v>45691</v>
      </c>
      <c r="F260" s="47" t="n">
        <v>45688</v>
      </c>
      <c r="G260" s="46" t="n">
        <v>3891</v>
      </c>
      <c r="H260" s="46" t="n">
        <v>3891</v>
      </c>
      <c r="I260" s="46" t="n">
        <v>11</v>
      </c>
      <c r="J260" s="44" t="n">
        <v>17.18</v>
      </c>
      <c r="K260" s="43" t="inlineStr">
        <is>
          <t>Received</t>
        </is>
      </c>
      <c r="L260" s="17">
        <f>INDEX(Items!$C$2:$C$117,MATCH(B260,Items!$A$2:$A$117,0))</f>
        <v/>
      </c>
      <c r="M260" s="49">
        <f>INDEX(Items!$E$2:$E$117,MATCH(B260,Items!$A$2:$A$117,0))</f>
        <v/>
      </c>
      <c r="N260" s="17">
        <f>TEXT(D260,"yyyy-mm")</f>
        <v/>
      </c>
      <c r="O260" s="50">
        <f>G260*J260</f>
        <v/>
      </c>
      <c r="P260" s="50">
        <f>(J260-M260)*G260</f>
        <v/>
      </c>
      <c r="Q260" s="51">
        <f>IF(K260="Received",1,0)</f>
        <v/>
      </c>
      <c r="R260" s="51">
        <f>IF(Q260=1,F260-D260,0)</f>
        <v/>
      </c>
      <c r="S260" s="51">
        <f>IF(Q260=1,IF(F260&lt;=E260,1,0),0)</f>
        <v/>
      </c>
      <c r="T260" s="51">
        <f>IF(Q260=1,IF(H260&gt;=G260,1,0),0)</f>
        <v/>
      </c>
      <c r="U260" s="51">
        <f>S260*T260</f>
        <v/>
      </c>
      <c r="V260" s="51">
        <f>IF(Q260=1,MAX(0,F260-E260),0)</f>
        <v/>
      </c>
    </row>
    <row r="261">
      <c r="A261" s="43" t="inlineStr">
        <is>
          <t>PO100432</t>
        </is>
      </c>
      <c r="B261" s="43" t="inlineStr">
        <is>
          <t>CMD-0020</t>
        </is>
      </c>
      <c r="C261" s="43" t="inlineStr">
        <is>
          <t>S04</t>
        </is>
      </c>
      <c r="D261" s="47" t="n">
        <v>45636</v>
      </c>
      <c r="E261" s="47" t="n">
        <v>45706</v>
      </c>
      <c r="F261" s="47" t="n">
        <v>45706</v>
      </c>
      <c r="G261" s="46" t="n">
        <v>3507</v>
      </c>
      <c r="H261" s="46" t="n">
        <v>2418</v>
      </c>
      <c r="I261" s="46" t="n">
        <v>25</v>
      </c>
      <c r="J261" s="44" t="n">
        <v>5.03</v>
      </c>
      <c r="K261" s="43" t="inlineStr">
        <is>
          <t>Received</t>
        </is>
      </c>
      <c r="L261" s="17">
        <f>INDEX(Items!$C$2:$C$117,MATCH(B261,Items!$A$2:$A$117,0))</f>
        <v/>
      </c>
      <c r="M261" s="49">
        <f>INDEX(Items!$E$2:$E$117,MATCH(B261,Items!$A$2:$A$117,0))</f>
        <v/>
      </c>
      <c r="N261" s="17">
        <f>TEXT(D261,"yyyy-mm")</f>
        <v/>
      </c>
      <c r="O261" s="50">
        <f>G261*J261</f>
        <v/>
      </c>
      <c r="P261" s="50">
        <f>(J261-M261)*G261</f>
        <v/>
      </c>
      <c r="Q261" s="51">
        <f>IF(K261="Received",1,0)</f>
        <v/>
      </c>
      <c r="R261" s="51">
        <f>IF(Q261=1,F261-D261,0)</f>
        <v/>
      </c>
      <c r="S261" s="51">
        <f>IF(Q261=1,IF(F261&lt;=E261,1,0),0)</f>
        <v/>
      </c>
      <c r="T261" s="51">
        <f>IF(Q261=1,IF(H261&gt;=G261,1,0),0)</f>
        <v/>
      </c>
      <c r="U261" s="51">
        <f>S261*T261</f>
        <v/>
      </c>
      <c r="V261" s="51">
        <f>IF(Q261=1,MAX(0,F261-E261),0)</f>
        <v/>
      </c>
    </row>
    <row r="262">
      <c r="A262" s="43" t="inlineStr">
        <is>
          <t>PO101620</t>
        </is>
      </c>
      <c r="B262" s="43" t="inlineStr">
        <is>
          <t>CMD-0090</t>
        </is>
      </c>
      <c r="C262" s="43" t="inlineStr">
        <is>
          <t>S01</t>
        </is>
      </c>
      <c r="D262" s="47" t="n">
        <v>45636</v>
      </c>
      <c r="E262" s="47" t="n">
        <v>45650</v>
      </c>
      <c r="F262" s="47" t="n">
        <v>45650</v>
      </c>
      <c r="G262" s="46" t="n">
        <v>3799</v>
      </c>
      <c r="H262" s="46" t="n">
        <v>3799</v>
      </c>
      <c r="I262" s="46" t="n">
        <v>4</v>
      </c>
      <c r="J262" s="44" t="n">
        <v>6.99</v>
      </c>
      <c r="K262" s="43" t="inlineStr">
        <is>
          <t>Received</t>
        </is>
      </c>
      <c r="L262" s="17">
        <f>INDEX(Items!$C$2:$C$117,MATCH(B262,Items!$A$2:$A$117,0))</f>
        <v/>
      </c>
      <c r="M262" s="49">
        <f>INDEX(Items!$E$2:$E$117,MATCH(B262,Items!$A$2:$A$117,0))</f>
        <v/>
      </c>
      <c r="N262" s="17">
        <f>TEXT(D262,"yyyy-mm")</f>
        <v/>
      </c>
      <c r="O262" s="50">
        <f>G262*J262</f>
        <v/>
      </c>
      <c r="P262" s="50">
        <f>(J262-M262)*G262</f>
        <v/>
      </c>
      <c r="Q262" s="51">
        <f>IF(K262="Received",1,0)</f>
        <v/>
      </c>
      <c r="R262" s="51">
        <f>IF(Q262=1,F262-D262,0)</f>
        <v/>
      </c>
      <c r="S262" s="51">
        <f>IF(Q262=1,IF(F262&lt;=E262,1,0),0)</f>
        <v/>
      </c>
      <c r="T262" s="51">
        <f>IF(Q262=1,IF(H262&gt;=G262,1,0),0)</f>
        <v/>
      </c>
      <c r="U262" s="51">
        <f>S262*T262</f>
        <v/>
      </c>
      <c r="V262" s="51">
        <f>IF(Q262=1,MAX(0,F262-E262),0)</f>
        <v/>
      </c>
    </row>
    <row r="263">
      <c r="A263" s="43" t="inlineStr">
        <is>
          <t>PO100844</t>
        </is>
      </c>
      <c r="B263" s="43" t="inlineStr">
        <is>
          <t>CMD-0038</t>
        </is>
      </c>
      <c r="C263" s="43" t="inlineStr">
        <is>
          <t>S01</t>
        </is>
      </c>
      <c r="D263" s="47" t="n">
        <v>45636</v>
      </c>
      <c r="E263" s="47" t="n">
        <v>45664</v>
      </c>
      <c r="F263" s="47" t="n">
        <v>45662</v>
      </c>
      <c r="G263" s="46" t="n">
        <v>881</v>
      </c>
      <c r="H263" s="46" t="n">
        <v>881</v>
      </c>
      <c r="I263" s="46" t="n">
        <v>0</v>
      </c>
      <c r="J263" s="44" t="n">
        <v>21.49</v>
      </c>
      <c r="K263" s="43" t="inlineStr">
        <is>
          <t>Received</t>
        </is>
      </c>
      <c r="L263" s="17">
        <f>INDEX(Items!$C$2:$C$117,MATCH(B263,Items!$A$2:$A$117,0))</f>
        <v/>
      </c>
      <c r="M263" s="49">
        <f>INDEX(Items!$E$2:$E$117,MATCH(B263,Items!$A$2:$A$117,0))</f>
        <v/>
      </c>
      <c r="N263" s="17">
        <f>TEXT(D263,"yyyy-mm")</f>
        <v/>
      </c>
      <c r="O263" s="50">
        <f>G263*J263</f>
        <v/>
      </c>
      <c r="P263" s="50">
        <f>(J263-M263)*G263</f>
        <v/>
      </c>
      <c r="Q263" s="51">
        <f>IF(K263="Received",1,0)</f>
        <v/>
      </c>
      <c r="R263" s="51">
        <f>IF(Q263=1,F263-D263,0)</f>
        <v/>
      </c>
      <c r="S263" s="51">
        <f>IF(Q263=1,IF(F263&lt;=E263,1,0),0)</f>
        <v/>
      </c>
      <c r="T263" s="51">
        <f>IF(Q263=1,IF(H263&gt;=G263,1,0),0)</f>
        <v/>
      </c>
      <c r="U263" s="51">
        <f>S263*T263</f>
        <v/>
      </c>
      <c r="V263" s="51">
        <f>IF(Q263=1,MAX(0,F263-E263),0)</f>
        <v/>
      </c>
    </row>
    <row r="264">
      <c r="A264" s="43" t="inlineStr">
        <is>
          <t>PO100002</t>
        </is>
      </c>
      <c r="B264" s="43" t="inlineStr">
        <is>
          <t>CMD-0001</t>
        </is>
      </c>
      <c r="C264" s="43" t="inlineStr">
        <is>
          <t>S07</t>
        </is>
      </c>
      <c r="D264" s="47" t="n">
        <v>45636</v>
      </c>
      <c r="E264" s="47" t="n">
        <v>45727</v>
      </c>
      <c r="F264" s="47" t="n">
        <v>45727</v>
      </c>
      <c r="G264" s="46" t="n">
        <v>8175</v>
      </c>
      <c r="H264" s="46" t="n">
        <v>8175</v>
      </c>
      <c r="I264" s="46" t="n">
        <v>75</v>
      </c>
      <c r="J264" s="44" t="n">
        <v>14.26</v>
      </c>
      <c r="K264" s="43" t="inlineStr">
        <is>
          <t>Received</t>
        </is>
      </c>
      <c r="L264" s="17">
        <f>INDEX(Items!$C$2:$C$117,MATCH(B264,Items!$A$2:$A$117,0))</f>
        <v/>
      </c>
      <c r="M264" s="49">
        <f>INDEX(Items!$E$2:$E$117,MATCH(B264,Items!$A$2:$A$117,0))</f>
        <v/>
      </c>
      <c r="N264" s="17">
        <f>TEXT(D264,"yyyy-mm")</f>
        <v/>
      </c>
      <c r="O264" s="50">
        <f>G264*J264</f>
        <v/>
      </c>
      <c r="P264" s="50">
        <f>(J264-M264)*G264</f>
        <v/>
      </c>
      <c r="Q264" s="51">
        <f>IF(K264="Received",1,0)</f>
        <v/>
      </c>
      <c r="R264" s="51">
        <f>IF(Q264=1,F264-D264,0)</f>
        <v/>
      </c>
      <c r="S264" s="51">
        <f>IF(Q264=1,IF(F264&lt;=E264,1,0),0)</f>
        <v/>
      </c>
      <c r="T264" s="51">
        <f>IF(Q264=1,IF(H264&gt;=G264,1,0),0)</f>
        <v/>
      </c>
      <c r="U264" s="51">
        <f>S264*T264</f>
        <v/>
      </c>
      <c r="V264" s="51">
        <f>IF(Q264=1,MAX(0,F264-E264),0)</f>
        <v/>
      </c>
    </row>
    <row r="265">
      <c r="A265" s="43" t="inlineStr">
        <is>
          <t>PO100318</t>
        </is>
      </c>
      <c r="B265" s="43" t="inlineStr">
        <is>
          <t>CMD-0015</t>
        </is>
      </c>
      <c r="C265" s="43" t="inlineStr">
        <is>
          <t>S03</t>
        </is>
      </c>
      <c r="D265" s="47" t="n">
        <v>45636</v>
      </c>
      <c r="E265" s="47" t="n">
        <v>45769</v>
      </c>
      <c r="F265" s="47" t="n">
        <v>45769</v>
      </c>
      <c r="G265" s="46" t="n">
        <v>4030</v>
      </c>
      <c r="H265" s="46" t="n">
        <v>4030</v>
      </c>
      <c r="I265" s="46" t="n">
        <v>34</v>
      </c>
      <c r="J265" s="44" t="n">
        <v>5.66</v>
      </c>
      <c r="K265" s="43" t="inlineStr">
        <is>
          <t>Received</t>
        </is>
      </c>
      <c r="L265" s="17">
        <f>INDEX(Items!$C$2:$C$117,MATCH(B265,Items!$A$2:$A$117,0))</f>
        <v/>
      </c>
      <c r="M265" s="49">
        <f>INDEX(Items!$E$2:$E$117,MATCH(B265,Items!$A$2:$A$117,0))</f>
        <v/>
      </c>
      <c r="N265" s="17">
        <f>TEXT(D265,"yyyy-mm")</f>
        <v/>
      </c>
      <c r="O265" s="50">
        <f>G265*J265</f>
        <v/>
      </c>
      <c r="P265" s="50">
        <f>(J265-M265)*G265</f>
        <v/>
      </c>
      <c r="Q265" s="51">
        <f>IF(K265="Received",1,0)</f>
        <v/>
      </c>
      <c r="R265" s="51">
        <f>IF(Q265=1,F265-D265,0)</f>
        <v/>
      </c>
      <c r="S265" s="51">
        <f>IF(Q265=1,IF(F265&lt;=E265,1,0),0)</f>
        <v/>
      </c>
      <c r="T265" s="51">
        <f>IF(Q265=1,IF(H265&gt;=G265,1,0),0)</f>
        <v/>
      </c>
      <c r="U265" s="51">
        <f>S265*T265</f>
        <v/>
      </c>
      <c r="V265" s="51">
        <f>IF(Q265=1,MAX(0,F265-E265),0)</f>
        <v/>
      </c>
    </row>
    <row r="266">
      <c r="A266" s="43" t="inlineStr">
        <is>
          <t>PO102005</t>
        </is>
      </c>
      <c r="B266" s="43" t="inlineStr">
        <is>
          <t>CMD-0114</t>
        </is>
      </c>
      <c r="C266" s="43" t="inlineStr">
        <is>
          <t>S12</t>
        </is>
      </c>
      <c r="D266" s="47" t="n">
        <v>45637</v>
      </c>
      <c r="E266" s="47" t="n">
        <v>45644</v>
      </c>
      <c r="F266" s="47" t="n">
        <v>45643</v>
      </c>
      <c r="G266" s="46" t="n">
        <v>16303</v>
      </c>
      <c r="H266" s="46" t="n">
        <v>16303</v>
      </c>
      <c r="I266" s="46" t="n">
        <v>11</v>
      </c>
      <c r="J266" s="44" t="n">
        <v>0.3431</v>
      </c>
      <c r="K266" s="43" t="inlineStr">
        <is>
          <t>Received</t>
        </is>
      </c>
      <c r="L266" s="17">
        <f>INDEX(Items!$C$2:$C$117,MATCH(B266,Items!$A$2:$A$117,0))</f>
        <v/>
      </c>
      <c r="M266" s="49">
        <f>INDEX(Items!$E$2:$E$117,MATCH(B266,Items!$A$2:$A$117,0))</f>
        <v/>
      </c>
      <c r="N266" s="17">
        <f>TEXT(D266,"yyyy-mm")</f>
        <v/>
      </c>
      <c r="O266" s="50">
        <f>G266*J266</f>
        <v/>
      </c>
      <c r="P266" s="50">
        <f>(J266-M266)*G266</f>
        <v/>
      </c>
      <c r="Q266" s="51">
        <f>IF(K266="Received",1,0)</f>
        <v/>
      </c>
      <c r="R266" s="51">
        <f>IF(Q266=1,F266-D266,0)</f>
        <v/>
      </c>
      <c r="S266" s="51">
        <f>IF(Q266=1,IF(F266&lt;=E266,1,0),0)</f>
        <v/>
      </c>
      <c r="T266" s="51">
        <f>IF(Q266=1,IF(H266&gt;=G266,1,0),0)</f>
        <v/>
      </c>
      <c r="U266" s="51">
        <f>S266*T266</f>
        <v/>
      </c>
      <c r="V266" s="51">
        <f>IF(Q266=1,MAX(0,F266-E266),0)</f>
        <v/>
      </c>
    </row>
    <row r="267">
      <c r="A267" s="43" t="inlineStr">
        <is>
          <t>PO101344</t>
        </is>
      </c>
      <c r="B267" s="43" t="inlineStr">
        <is>
          <t>CMD-0068</t>
        </is>
      </c>
      <c r="C267" s="43" t="inlineStr">
        <is>
          <t>S01</t>
        </is>
      </c>
      <c r="D267" s="47" t="n">
        <v>45645</v>
      </c>
      <c r="E267" s="47" t="n">
        <v>45666</v>
      </c>
      <c r="F267" s="47" t="n">
        <v>45666</v>
      </c>
      <c r="G267" s="46" t="n">
        <v>35680</v>
      </c>
      <c r="H267" s="46" t="n">
        <v>35680</v>
      </c>
      <c r="I267" s="46" t="n">
        <v>81</v>
      </c>
      <c r="J267" s="44" t="n">
        <v>0.1562</v>
      </c>
      <c r="K267" s="43" t="inlineStr">
        <is>
          <t>Received</t>
        </is>
      </c>
      <c r="L267" s="17">
        <f>INDEX(Items!$C$2:$C$117,MATCH(B267,Items!$A$2:$A$117,0))</f>
        <v/>
      </c>
      <c r="M267" s="49">
        <f>INDEX(Items!$E$2:$E$117,MATCH(B267,Items!$A$2:$A$117,0))</f>
        <v/>
      </c>
      <c r="N267" s="17">
        <f>TEXT(D267,"yyyy-mm")</f>
        <v/>
      </c>
      <c r="O267" s="50">
        <f>G267*J267</f>
        <v/>
      </c>
      <c r="P267" s="50">
        <f>(J267-M267)*G267</f>
        <v/>
      </c>
      <c r="Q267" s="51">
        <f>IF(K267="Received",1,0)</f>
        <v/>
      </c>
      <c r="R267" s="51">
        <f>IF(Q267=1,F267-D267,0)</f>
        <v/>
      </c>
      <c r="S267" s="51">
        <f>IF(Q267=1,IF(F267&lt;=E267,1,0),0)</f>
        <v/>
      </c>
      <c r="T267" s="51">
        <f>IF(Q267=1,IF(H267&gt;=G267,1,0),0)</f>
        <v/>
      </c>
      <c r="U267" s="51">
        <f>S267*T267</f>
        <v/>
      </c>
      <c r="V267" s="51">
        <f>IF(Q267=1,MAX(0,F267-E267),0)</f>
        <v/>
      </c>
    </row>
    <row r="268">
      <c r="A268" s="43" t="inlineStr">
        <is>
          <t>PO100901</t>
        </is>
      </c>
      <c r="B268" s="43" t="inlineStr">
        <is>
          <t>CMD-0041</t>
        </is>
      </c>
      <c r="C268" s="43" t="inlineStr">
        <is>
          <t>S05</t>
        </is>
      </c>
      <c r="D268" s="47" t="n">
        <v>45647</v>
      </c>
      <c r="E268" s="47" t="n">
        <v>45752</v>
      </c>
      <c r="F268" s="47" t="n">
        <v>45749</v>
      </c>
      <c r="G268" s="46" t="n">
        <v>1050</v>
      </c>
      <c r="H268" s="46" t="n">
        <v>1050</v>
      </c>
      <c r="I268" s="46" t="n">
        <v>18</v>
      </c>
      <c r="J268" s="44" t="n">
        <v>5.63</v>
      </c>
      <c r="K268" s="43" t="inlineStr">
        <is>
          <t>Received</t>
        </is>
      </c>
      <c r="L268" s="17">
        <f>INDEX(Items!$C$2:$C$117,MATCH(B268,Items!$A$2:$A$117,0))</f>
        <v/>
      </c>
      <c r="M268" s="49">
        <f>INDEX(Items!$E$2:$E$117,MATCH(B268,Items!$A$2:$A$117,0))</f>
        <v/>
      </c>
      <c r="N268" s="17">
        <f>TEXT(D268,"yyyy-mm")</f>
        <v/>
      </c>
      <c r="O268" s="50">
        <f>G268*J268</f>
        <v/>
      </c>
      <c r="P268" s="50">
        <f>(J268-M268)*G268</f>
        <v/>
      </c>
      <c r="Q268" s="51">
        <f>IF(K268="Received",1,0)</f>
        <v/>
      </c>
      <c r="R268" s="51">
        <f>IF(Q268=1,F268-D268,0)</f>
        <v/>
      </c>
      <c r="S268" s="51">
        <f>IF(Q268=1,IF(F268&lt;=E268,1,0),0)</f>
        <v/>
      </c>
      <c r="T268" s="51">
        <f>IF(Q268=1,IF(H268&gt;=G268,1,0),0)</f>
        <v/>
      </c>
      <c r="U268" s="51">
        <f>S268*T268</f>
        <v/>
      </c>
      <c r="V268" s="51">
        <f>IF(Q268=1,MAX(0,F268-E268),0)</f>
        <v/>
      </c>
    </row>
    <row r="269">
      <c r="A269" s="43" t="inlineStr">
        <is>
          <t>PO101805</t>
        </is>
      </c>
      <c r="B269" s="43" t="inlineStr">
        <is>
          <t>CMD-0098</t>
        </is>
      </c>
      <c r="C269" s="43" t="inlineStr">
        <is>
          <t>S09</t>
        </is>
      </c>
      <c r="D269" s="47" t="n">
        <v>45649</v>
      </c>
      <c r="E269" s="47" t="n">
        <v>45670</v>
      </c>
      <c r="F269" s="47" t="n">
        <v>45667</v>
      </c>
      <c r="G269" s="46" t="n">
        <v>701</v>
      </c>
      <c r="H269" s="46" t="n">
        <v>701</v>
      </c>
      <c r="I269" s="46" t="n">
        <v>1</v>
      </c>
      <c r="J269" s="44" t="n">
        <v>7.2</v>
      </c>
      <c r="K269" s="43" t="inlineStr">
        <is>
          <t>Received</t>
        </is>
      </c>
      <c r="L269" s="17">
        <f>INDEX(Items!$C$2:$C$117,MATCH(B269,Items!$A$2:$A$117,0))</f>
        <v/>
      </c>
      <c r="M269" s="49">
        <f>INDEX(Items!$E$2:$E$117,MATCH(B269,Items!$A$2:$A$117,0))</f>
        <v/>
      </c>
      <c r="N269" s="17">
        <f>TEXT(D269,"yyyy-mm")</f>
        <v/>
      </c>
      <c r="O269" s="50">
        <f>G269*J269</f>
        <v/>
      </c>
      <c r="P269" s="50">
        <f>(J269-M269)*G269</f>
        <v/>
      </c>
      <c r="Q269" s="51">
        <f>IF(K269="Received",1,0)</f>
        <v/>
      </c>
      <c r="R269" s="51">
        <f>IF(Q269=1,F269-D269,0)</f>
        <v/>
      </c>
      <c r="S269" s="51">
        <f>IF(Q269=1,IF(F269&lt;=E269,1,0),0)</f>
        <v/>
      </c>
      <c r="T269" s="51">
        <f>IF(Q269=1,IF(H269&gt;=G269,1,0),0)</f>
        <v/>
      </c>
      <c r="U269" s="51">
        <f>S269*T269</f>
        <v/>
      </c>
      <c r="V269" s="51">
        <f>IF(Q269=1,MAX(0,F269-E269),0)</f>
        <v/>
      </c>
    </row>
    <row r="270">
      <c r="A270" s="43" t="inlineStr">
        <is>
          <t>PO100891</t>
        </is>
      </c>
      <c r="B270" s="43" t="inlineStr">
        <is>
          <t>CMD-0040</t>
        </is>
      </c>
      <c r="C270" s="43" t="inlineStr">
        <is>
          <t>S07</t>
        </is>
      </c>
      <c r="D270" s="47" t="n">
        <v>45651</v>
      </c>
      <c r="E270" s="47" t="n">
        <v>45693</v>
      </c>
      <c r="F270" s="47" t="n">
        <v>45690</v>
      </c>
      <c r="G270" s="46" t="n">
        <v>740</v>
      </c>
      <c r="H270" s="46" t="n">
        <v>740</v>
      </c>
      <c r="I270" s="46" t="n">
        <v>9</v>
      </c>
      <c r="J270" s="44" t="n">
        <v>8.960000000000001</v>
      </c>
      <c r="K270" s="43" t="inlineStr">
        <is>
          <t>Received</t>
        </is>
      </c>
      <c r="L270" s="17">
        <f>INDEX(Items!$C$2:$C$117,MATCH(B270,Items!$A$2:$A$117,0))</f>
        <v/>
      </c>
      <c r="M270" s="49">
        <f>INDEX(Items!$E$2:$E$117,MATCH(B270,Items!$A$2:$A$117,0))</f>
        <v/>
      </c>
      <c r="N270" s="17">
        <f>TEXT(D270,"yyyy-mm")</f>
        <v/>
      </c>
      <c r="O270" s="50">
        <f>G270*J270</f>
        <v/>
      </c>
      <c r="P270" s="50">
        <f>(J270-M270)*G270</f>
        <v/>
      </c>
      <c r="Q270" s="51">
        <f>IF(K270="Received",1,0)</f>
        <v/>
      </c>
      <c r="R270" s="51">
        <f>IF(Q270=1,F270-D270,0)</f>
        <v/>
      </c>
      <c r="S270" s="51">
        <f>IF(Q270=1,IF(F270&lt;=E270,1,0),0)</f>
        <v/>
      </c>
      <c r="T270" s="51">
        <f>IF(Q270=1,IF(H270&gt;=G270,1,0),0)</f>
        <v/>
      </c>
      <c r="U270" s="51">
        <f>S270*T270</f>
        <v/>
      </c>
      <c r="V270" s="51">
        <f>IF(Q270=1,MAX(0,F270-E270),0)</f>
        <v/>
      </c>
    </row>
    <row r="271">
      <c r="A271" s="43" t="inlineStr">
        <is>
          <t>PO100456</t>
        </is>
      </c>
      <c r="B271" s="43" t="inlineStr">
        <is>
          <t>CMD-0021</t>
        </is>
      </c>
      <c r="C271" s="43" t="inlineStr">
        <is>
          <t>S04</t>
        </is>
      </c>
      <c r="D271" s="47" t="n">
        <v>45651</v>
      </c>
      <c r="E271" s="47" t="n">
        <v>45721</v>
      </c>
      <c r="F271" s="47" t="n">
        <v>45721</v>
      </c>
      <c r="G271" s="46" t="n">
        <v>1229</v>
      </c>
      <c r="H271" s="46" t="n">
        <v>1229</v>
      </c>
      <c r="I271" s="46" t="n">
        <v>13</v>
      </c>
      <c r="J271" s="44" t="n">
        <v>4.94</v>
      </c>
      <c r="K271" s="43" t="inlineStr">
        <is>
          <t>Received</t>
        </is>
      </c>
      <c r="L271" s="17">
        <f>INDEX(Items!$C$2:$C$117,MATCH(B271,Items!$A$2:$A$117,0))</f>
        <v/>
      </c>
      <c r="M271" s="49">
        <f>INDEX(Items!$E$2:$E$117,MATCH(B271,Items!$A$2:$A$117,0))</f>
        <v/>
      </c>
      <c r="N271" s="17">
        <f>TEXT(D271,"yyyy-mm")</f>
        <v/>
      </c>
      <c r="O271" s="50">
        <f>G271*J271</f>
        <v/>
      </c>
      <c r="P271" s="50">
        <f>(J271-M271)*G271</f>
        <v/>
      </c>
      <c r="Q271" s="51">
        <f>IF(K271="Received",1,0)</f>
        <v/>
      </c>
      <c r="R271" s="51">
        <f>IF(Q271=1,F271-D271,0)</f>
        <v/>
      </c>
      <c r="S271" s="51">
        <f>IF(Q271=1,IF(F271&lt;=E271,1,0),0)</f>
        <v/>
      </c>
      <c r="T271" s="51">
        <f>IF(Q271=1,IF(H271&gt;=G271,1,0),0)</f>
        <v/>
      </c>
      <c r="U271" s="51">
        <f>S271*T271</f>
        <v/>
      </c>
      <c r="V271" s="51">
        <f>IF(Q271=1,MAX(0,F271-E271),0)</f>
        <v/>
      </c>
    </row>
    <row r="272">
      <c r="A272" s="43" t="inlineStr">
        <is>
          <t>PO101368</t>
        </is>
      </c>
      <c r="B272" s="43" t="inlineStr">
        <is>
          <t>CMD-0070</t>
        </is>
      </c>
      <c r="C272" s="43" t="inlineStr">
        <is>
          <t>S04</t>
        </is>
      </c>
      <c r="D272" s="47" t="n">
        <v>45654</v>
      </c>
      <c r="E272" s="47" t="n">
        <v>45689</v>
      </c>
      <c r="F272" s="47" t="n">
        <v>45688</v>
      </c>
      <c r="G272" s="46" t="n">
        <v>45123</v>
      </c>
      <c r="H272" s="46" t="n">
        <v>45123</v>
      </c>
      <c r="I272" s="46" t="n">
        <v>442</v>
      </c>
      <c r="J272" s="44" t="n">
        <v>0.141</v>
      </c>
      <c r="K272" s="43" t="inlineStr">
        <is>
          <t>Received</t>
        </is>
      </c>
      <c r="L272" s="17">
        <f>INDEX(Items!$C$2:$C$117,MATCH(B272,Items!$A$2:$A$117,0))</f>
        <v/>
      </c>
      <c r="M272" s="49">
        <f>INDEX(Items!$E$2:$E$117,MATCH(B272,Items!$A$2:$A$117,0))</f>
        <v/>
      </c>
      <c r="N272" s="17">
        <f>TEXT(D272,"yyyy-mm")</f>
        <v/>
      </c>
      <c r="O272" s="50">
        <f>G272*J272</f>
        <v/>
      </c>
      <c r="P272" s="50">
        <f>(J272-M272)*G272</f>
        <v/>
      </c>
      <c r="Q272" s="51">
        <f>IF(K272="Received",1,0)</f>
        <v/>
      </c>
      <c r="R272" s="51">
        <f>IF(Q272=1,F272-D272,0)</f>
        <v/>
      </c>
      <c r="S272" s="51">
        <f>IF(Q272=1,IF(F272&lt;=E272,1,0),0)</f>
        <v/>
      </c>
      <c r="T272" s="51">
        <f>IF(Q272=1,IF(H272&gt;=G272,1,0),0)</f>
        <v/>
      </c>
      <c r="U272" s="51">
        <f>S272*T272</f>
        <v/>
      </c>
      <c r="V272" s="51">
        <f>IF(Q272=1,MAX(0,F272-E272),0)</f>
        <v/>
      </c>
    </row>
    <row r="273">
      <c r="A273" s="43" t="inlineStr">
        <is>
          <t>PO100690</t>
        </is>
      </c>
      <c r="B273" s="43" t="inlineStr">
        <is>
          <t>CMD-0031</t>
        </is>
      </c>
      <c r="C273" s="43" t="inlineStr">
        <is>
          <t>S01</t>
        </is>
      </c>
      <c r="D273" s="47" t="n">
        <v>45654</v>
      </c>
      <c r="E273" s="47" t="n">
        <v>45682</v>
      </c>
      <c r="F273" s="47" t="n">
        <v>45681</v>
      </c>
      <c r="G273" s="46" t="n">
        <v>526</v>
      </c>
      <c r="H273" s="46" t="n">
        <v>526</v>
      </c>
      <c r="I273" s="46" t="n">
        <v>4</v>
      </c>
      <c r="J273" s="44" t="n">
        <v>9.69</v>
      </c>
      <c r="K273" s="43" t="inlineStr">
        <is>
          <t>Received</t>
        </is>
      </c>
      <c r="L273" s="17">
        <f>INDEX(Items!$C$2:$C$117,MATCH(B273,Items!$A$2:$A$117,0))</f>
        <v/>
      </c>
      <c r="M273" s="49">
        <f>INDEX(Items!$E$2:$E$117,MATCH(B273,Items!$A$2:$A$117,0))</f>
        <v/>
      </c>
      <c r="N273" s="17">
        <f>TEXT(D273,"yyyy-mm")</f>
        <v/>
      </c>
      <c r="O273" s="50">
        <f>G273*J273</f>
        <v/>
      </c>
      <c r="P273" s="50">
        <f>(J273-M273)*G273</f>
        <v/>
      </c>
      <c r="Q273" s="51">
        <f>IF(K273="Received",1,0)</f>
        <v/>
      </c>
      <c r="R273" s="51">
        <f>IF(Q273=1,F273-D273,0)</f>
        <v/>
      </c>
      <c r="S273" s="51">
        <f>IF(Q273=1,IF(F273&lt;=E273,1,0),0)</f>
        <v/>
      </c>
      <c r="T273" s="51">
        <f>IF(Q273=1,IF(H273&gt;=G273,1,0),0)</f>
        <v/>
      </c>
      <c r="U273" s="51">
        <f>S273*T273</f>
        <v/>
      </c>
      <c r="V273" s="51">
        <f>IF(Q273=1,MAX(0,F273-E273),0)</f>
        <v/>
      </c>
    </row>
    <row r="274">
      <c r="A274" s="43" t="inlineStr">
        <is>
          <t>PO100414</t>
        </is>
      </c>
      <c r="B274" s="43" t="inlineStr">
        <is>
          <t>CMD-0019</t>
        </is>
      </c>
      <c r="C274" s="43" t="inlineStr">
        <is>
          <t>S11</t>
        </is>
      </c>
      <c r="D274" s="47" t="n">
        <v>45656</v>
      </c>
      <c r="E274" s="47" t="n">
        <v>45733</v>
      </c>
      <c r="F274" s="47" t="n">
        <v>45732</v>
      </c>
      <c r="G274" s="46" t="n">
        <v>905</v>
      </c>
      <c r="H274" s="46" t="n">
        <v>905</v>
      </c>
      <c r="I274" s="46" t="n">
        <v>1</v>
      </c>
      <c r="J274" s="44" t="n">
        <v>7.25</v>
      </c>
      <c r="K274" s="43" t="inlineStr">
        <is>
          <t>Received</t>
        </is>
      </c>
      <c r="L274" s="17">
        <f>INDEX(Items!$C$2:$C$117,MATCH(B274,Items!$A$2:$A$117,0))</f>
        <v/>
      </c>
      <c r="M274" s="49">
        <f>INDEX(Items!$E$2:$E$117,MATCH(B274,Items!$A$2:$A$117,0))</f>
        <v/>
      </c>
      <c r="N274" s="17">
        <f>TEXT(D274,"yyyy-mm")</f>
        <v/>
      </c>
      <c r="O274" s="50">
        <f>G274*J274</f>
        <v/>
      </c>
      <c r="P274" s="50">
        <f>(J274-M274)*G274</f>
        <v/>
      </c>
      <c r="Q274" s="51">
        <f>IF(K274="Received",1,0)</f>
        <v/>
      </c>
      <c r="R274" s="51">
        <f>IF(Q274=1,F274-D274,0)</f>
        <v/>
      </c>
      <c r="S274" s="51">
        <f>IF(Q274=1,IF(F274&lt;=E274,1,0),0)</f>
        <v/>
      </c>
      <c r="T274" s="51">
        <f>IF(Q274=1,IF(H274&gt;=G274,1,0),0)</f>
        <v/>
      </c>
      <c r="U274" s="51">
        <f>S274*T274</f>
        <v/>
      </c>
      <c r="V274" s="51">
        <f>IF(Q274=1,MAX(0,F274-E274),0)</f>
        <v/>
      </c>
    </row>
    <row r="275">
      <c r="A275" s="43" t="inlineStr">
        <is>
          <t>PO101788</t>
        </is>
      </c>
      <c r="B275" s="43" t="inlineStr">
        <is>
          <t>CMD-0097</t>
        </is>
      </c>
      <c r="C275" s="43" t="inlineStr">
        <is>
          <t>S09</t>
        </is>
      </c>
      <c r="D275" s="47" t="n">
        <v>45656</v>
      </c>
      <c r="E275" s="47" t="n">
        <v>45677</v>
      </c>
      <c r="F275" s="47" t="n">
        <v>45676</v>
      </c>
      <c r="G275" s="46" t="n">
        <v>587</v>
      </c>
      <c r="H275" s="46" t="n">
        <v>587</v>
      </c>
      <c r="I275" s="46" t="n">
        <v>4</v>
      </c>
      <c r="J275" s="44" t="n">
        <v>9.27</v>
      </c>
      <c r="K275" s="43" t="inlineStr">
        <is>
          <t>Received</t>
        </is>
      </c>
      <c r="L275" s="17">
        <f>INDEX(Items!$C$2:$C$117,MATCH(B275,Items!$A$2:$A$117,0))</f>
        <v/>
      </c>
      <c r="M275" s="49">
        <f>INDEX(Items!$E$2:$E$117,MATCH(B275,Items!$A$2:$A$117,0))</f>
        <v/>
      </c>
      <c r="N275" s="17">
        <f>TEXT(D275,"yyyy-mm")</f>
        <v/>
      </c>
      <c r="O275" s="50">
        <f>G275*J275</f>
        <v/>
      </c>
      <c r="P275" s="50">
        <f>(J275-M275)*G275</f>
        <v/>
      </c>
      <c r="Q275" s="51">
        <f>IF(K275="Received",1,0)</f>
        <v/>
      </c>
      <c r="R275" s="51">
        <f>IF(Q275=1,F275-D275,0)</f>
        <v/>
      </c>
      <c r="S275" s="51">
        <f>IF(Q275=1,IF(F275&lt;=E275,1,0),0)</f>
        <v/>
      </c>
      <c r="T275" s="51">
        <f>IF(Q275=1,IF(H275&gt;=G275,1,0),0)</f>
        <v/>
      </c>
      <c r="U275" s="51">
        <f>S275*T275</f>
        <v/>
      </c>
      <c r="V275" s="51">
        <f>IF(Q275=1,MAX(0,F275-E275),0)</f>
        <v/>
      </c>
    </row>
    <row r="276">
      <c r="A276" s="43" t="inlineStr">
        <is>
          <t>PO101602</t>
        </is>
      </c>
      <c r="B276" s="43" t="inlineStr">
        <is>
          <t>CMD-0089</t>
        </is>
      </c>
      <c r="C276" s="43" t="inlineStr">
        <is>
          <t>S01</t>
        </is>
      </c>
      <c r="D276" s="47" t="n">
        <v>45658</v>
      </c>
      <c r="E276" s="47" t="n">
        <v>45672</v>
      </c>
      <c r="F276" s="47" t="n">
        <v>45672</v>
      </c>
      <c r="G276" s="46" t="n">
        <v>608</v>
      </c>
      <c r="H276" s="46" t="n">
        <v>608</v>
      </c>
      <c r="I276" s="46" t="n">
        <v>2</v>
      </c>
      <c r="J276" s="44" t="n">
        <v>9.49</v>
      </c>
      <c r="K276" s="43" t="inlineStr">
        <is>
          <t>Received</t>
        </is>
      </c>
      <c r="L276" s="17">
        <f>INDEX(Items!$C$2:$C$117,MATCH(B276,Items!$A$2:$A$117,0))</f>
        <v/>
      </c>
      <c r="M276" s="49">
        <f>INDEX(Items!$E$2:$E$117,MATCH(B276,Items!$A$2:$A$117,0))</f>
        <v/>
      </c>
      <c r="N276" s="17">
        <f>TEXT(D276,"yyyy-mm")</f>
        <v/>
      </c>
      <c r="O276" s="50">
        <f>G276*J276</f>
        <v/>
      </c>
      <c r="P276" s="50">
        <f>(J276-M276)*G276</f>
        <v/>
      </c>
      <c r="Q276" s="51">
        <f>IF(K276="Received",1,0)</f>
        <v/>
      </c>
      <c r="R276" s="51">
        <f>IF(Q276=1,F276-D276,0)</f>
        <v/>
      </c>
      <c r="S276" s="51">
        <f>IF(Q276=1,IF(F276&lt;=E276,1,0),0)</f>
        <v/>
      </c>
      <c r="T276" s="51">
        <f>IF(Q276=1,IF(H276&gt;=G276,1,0),0)</f>
        <v/>
      </c>
      <c r="U276" s="51">
        <f>S276*T276</f>
        <v/>
      </c>
      <c r="V276" s="51">
        <f>IF(Q276=1,MAX(0,F276-E276),0)</f>
        <v/>
      </c>
    </row>
    <row r="277">
      <c r="A277" s="43" t="inlineStr">
        <is>
          <t>PO101765</t>
        </is>
      </c>
      <c r="B277" s="43" t="inlineStr">
        <is>
          <t>CMD-0096</t>
        </is>
      </c>
      <c r="C277" s="43" t="inlineStr">
        <is>
          <t>S09</t>
        </is>
      </c>
      <c r="D277" s="47" t="n">
        <v>45659</v>
      </c>
      <c r="E277" s="47" t="n">
        <v>45680</v>
      </c>
      <c r="F277" s="47" t="n">
        <v>45678</v>
      </c>
      <c r="G277" s="46" t="n">
        <v>960</v>
      </c>
      <c r="H277" s="46" t="n">
        <v>960</v>
      </c>
      <c r="I277" s="46" t="n">
        <v>2</v>
      </c>
      <c r="J277" s="44" t="n">
        <v>6.42</v>
      </c>
      <c r="K277" s="43" t="inlineStr">
        <is>
          <t>Received</t>
        </is>
      </c>
      <c r="L277" s="17">
        <f>INDEX(Items!$C$2:$C$117,MATCH(B277,Items!$A$2:$A$117,0))</f>
        <v/>
      </c>
      <c r="M277" s="49">
        <f>INDEX(Items!$E$2:$E$117,MATCH(B277,Items!$A$2:$A$117,0))</f>
        <v/>
      </c>
      <c r="N277" s="17">
        <f>TEXT(D277,"yyyy-mm")</f>
        <v/>
      </c>
      <c r="O277" s="50">
        <f>G277*J277</f>
        <v/>
      </c>
      <c r="P277" s="50">
        <f>(J277-M277)*G277</f>
        <v/>
      </c>
      <c r="Q277" s="51">
        <f>IF(K277="Received",1,0)</f>
        <v/>
      </c>
      <c r="R277" s="51">
        <f>IF(Q277=1,F277-D277,0)</f>
        <v/>
      </c>
      <c r="S277" s="51">
        <f>IF(Q277=1,IF(F277&lt;=E277,1,0),0)</f>
        <v/>
      </c>
      <c r="T277" s="51">
        <f>IF(Q277=1,IF(H277&gt;=G277,1,0),0)</f>
        <v/>
      </c>
      <c r="U277" s="51">
        <f>S277*T277</f>
        <v/>
      </c>
      <c r="V277" s="51">
        <f>IF(Q277=1,MAX(0,F277-E277),0)</f>
        <v/>
      </c>
    </row>
    <row r="278">
      <c r="A278" s="43" t="inlineStr">
        <is>
          <t>PO100099</t>
        </is>
      </c>
      <c r="B278" s="43" t="inlineStr">
        <is>
          <t>CMD-0005</t>
        </is>
      </c>
      <c r="C278" s="43" t="inlineStr">
        <is>
          <t>S07</t>
        </is>
      </c>
      <c r="D278" s="47" t="n">
        <v>45659</v>
      </c>
      <c r="E278" s="47" t="n">
        <v>45750</v>
      </c>
      <c r="F278" s="47" t="n">
        <v>45747</v>
      </c>
      <c r="G278" s="46" t="n">
        <v>4623</v>
      </c>
      <c r="H278" s="46" t="n">
        <v>4623</v>
      </c>
      <c r="I278" s="46" t="n">
        <v>36</v>
      </c>
      <c r="J278" s="44" t="n">
        <v>5.63</v>
      </c>
      <c r="K278" s="43" t="inlineStr">
        <is>
          <t>Received</t>
        </is>
      </c>
      <c r="L278" s="17">
        <f>INDEX(Items!$C$2:$C$117,MATCH(B278,Items!$A$2:$A$117,0))</f>
        <v/>
      </c>
      <c r="M278" s="49">
        <f>INDEX(Items!$E$2:$E$117,MATCH(B278,Items!$A$2:$A$117,0))</f>
        <v/>
      </c>
      <c r="N278" s="17">
        <f>TEXT(D278,"yyyy-mm")</f>
        <v/>
      </c>
      <c r="O278" s="50">
        <f>G278*J278</f>
        <v/>
      </c>
      <c r="P278" s="50">
        <f>(J278-M278)*G278</f>
        <v/>
      </c>
      <c r="Q278" s="51">
        <f>IF(K278="Received",1,0)</f>
        <v/>
      </c>
      <c r="R278" s="51">
        <f>IF(Q278=1,F278-D278,0)</f>
        <v/>
      </c>
      <c r="S278" s="51">
        <f>IF(Q278=1,IF(F278&lt;=E278,1,0),0)</f>
        <v/>
      </c>
      <c r="T278" s="51">
        <f>IF(Q278=1,IF(H278&gt;=G278,1,0),0)</f>
        <v/>
      </c>
      <c r="U278" s="51">
        <f>S278*T278</f>
        <v/>
      </c>
      <c r="V278" s="51">
        <f>IF(Q278=1,MAX(0,F278-E278),0)</f>
        <v/>
      </c>
    </row>
    <row r="279">
      <c r="A279" s="43" t="inlineStr">
        <is>
          <t>PO100571</t>
        </is>
      </c>
      <c r="B279" s="43" t="inlineStr">
        <is>
          <t>CMD-0026</t>
        </is>
      </c>
      <c r="C279" s="43" t="inlineStr">
        <is>
          <t>S04</t>
        </is>
      </c>
      <c r="D279" s="47" t="n">
        <v>45659</v>
      </c>
      <c r="E279" s="47" t="n">
        <v>45729</v>
      </c>
      <c r="F279" s="47" t="n">
        <v>45736</v>
      </c>
      <c r="G279" s="46" t="n">
        <v>8223</v>
      </c>
      <c r="H279" s="46" t="n">
        <v>8223</v>
      </c>
      <c r="I279" s="46" t="n">
        <v>84</v>
      </c>
      <c r="J279" s="44" t="n">
        <v>5.96</v>
      </c>
      <c r="K279" s="43" t="inlineStr">
        <is>
          <t>Received</t>
        </is>
      </c>
      <c r="L279" s="17">
        <f>INDEX(Items!$C$2:$C$117,MATCH(B279,Items!$A$2:$A$117,0))</f>
        <v/>
      </c>
      <c r="M279" s="49">
        <f>INDEX(Items!$E$2:$E$117,MATCH(B279,Items!$A$2:$A$117,0))</f>
        <v/>
      </c>
      <c r="N279" s="17">
        <f>TEXT(D279,"yyyy-mm")</f>
        <v/>
      </c>
      <c r="O279" s="50">
        <f>G279*J279</f>
        <v/>
      </c>
      <c r="P279" s="50">
        <f>(J279-M279)*G279</f>
        <v/>
      </c>
      <c r="Q279" s="51">
        <f>IF(K279="Received",1,0)</f>
        <v/>
      </c>
      <c r="R279" s="51">
        <f>IF(Q279=1,F279-D279,0)</f>
        <v/>
      </c>
      <c r="S279" s="51">
        <f>IF(Q279=1,IF(F279&lt;=E279,1,0),0)</f>
        <v/>
      </c>
      <c r="T279" s="51">
        <f>IF(Q279=1,IF(H279&gt;=G279,1,0),0)</f>
        <v/>
      </c>
      <c r="U279" s="51">
        <f>S279*T279</f>
        <v/>
      </c>
      <c r="V279" s="51">
        <f>IF(Q279=1,MAX(0,F279-E279),0)</f>
        <v/>
      </c>
    </row>
    <row r="280">
      <c r="A280" s="43" t="inlineStr">
        <is>
          <t>PO100667</t>
        </is>
      </c>
      <c r="B280" s="43" t="inlineStr">
        <is>
          <t>CMD-0030</t>
        </is>
      </c>
      <c r="C280" s="43" t="inlineStr">
        <is>
          <t>S11</t>
        </is>
      </c>
      <c r="D280" s="47" t="n">
        <v>45659</v>
      </c>
      <c r="E280" s="47" t="n">
        <v>45736</v>
      </c>
      <c r="F280" s="47" t="n">
        <v>45733</v>
      </c>
      <c r="G280" s="46" t="n">
        <v>6779</v>
      </c>
      <c r="H280" s="46" t="n">
        <v>6779</v>
      </c>
      <c r="I280" s="46" t="n">
        <v>12</v>
      </c>
      <c r="J280" s="44" t="n">
        <v>23.19</v>
      </c>
      <c r="K280" s="43" t="inlineStr">
        <is>
          <t>Received</t>
        </is>
      </c>
      <c r="L280" s="17">
        <f>INDEX(Items!$C$2:$C$117,MATCH(B280,Items!$A$2:$A$117,0))</f>
        <v/>
      </c>
      <c r="M280" s="49">
        <f>INDEX(Items!$E$2:$E$117,MATCH(B280,Items!$A$2:$A$117,0))</f>
        <v/>
      </c>
      <c r="N280" s="17">
        <f>TEXT(D280,"yyyy-mm")</f>
        <v/>
      </c>
      <c r="O280" s="50">
        <f>G280*J280</f>
        <v/>
      </c>
      <c r="P280" s="50">
        <f>(J280-M280)*G280</f>
        <v/>
      </c>
      <c r="Q280" s="51">
        <f>IF(K280="Received",1,0)</f>
        <v/>
      </c>
      <c r="R280" s="51">
        <f>IF(Q280=1,F280-D280,0)</f>
        <v/>
      </c>
      <c r="S280" s="51">
        <f>IF(Q280=1,IF(F280&lt;=E280,1,0),0)</f>
        <v/>
      </c>
      <c r="T280" s="51">
        <f>IF(Q280=1,IF(H280&gt;=G280,1,0),0)</f>
        <v/>
      </c>
      <c r="U280" s="51">
        <f>S280*T280</f>
        <v/>
      </c>
      <c r="V280" s="51">
        <f>IF(Q280=1,MAX(0,F280-E280),0)</f>
        <v/>
      </c>
    </row>
    <row r="281">
      <c r="A281" s="43" t="inlineStr">
        <is>
          <t>PO101459</t>
        </is>
      </c>
      <c r="B281" s="43" t="inlineStr">
        <is>
          <t>CMD-0078</t>
        </is>
      </c>
      <c r="C281" s="43" t="inlineStr">
        <is>
          <t>S06</t>
        </is>
      </c>
      <c r="D281" s="47" t="n">
        <v>45659</v>
      </c>
      <c r="E281" s="47" t="n">
        <v>45680</v>
      </c>
      <c r="F281" s="47" t="n">
        <v>45691</v>
      </c>
      <c r="G281" s="46" t="n">
        <v>4538</v>
      </c>
      <c r="H281" s="46" t="n">
        <v>3746</v>
      </c>
      <c r="I281" s="46" t="n">
        <v>11</v>
      </c>
      <c r="J281" s="44" t="n">
        <v>2.6</v>
      </c>
      <c r="K281" s="43" t="inlineStr">
        <is>
          <t>Received</t>
        </is>
      </c>
      <c r="L281" s="17">
        <f>INDEX(Items!$C$2:$C$117,MATCH(B281,Items!$A$2:$A$117,0))</f>
        <v/>
      </c>
      <c r="M281" s="49">
        <f>INDEX(Items!$E$2:$E$117,MATCH(B281,Items!$A$2:$A$117,0))</f>
        <v/>
      </c>
      <c r="N281" s="17">
        <f>TEXT(D281,"yyyy-mm")</f>
        <v/>
      </c>
      <c r="O281" s="50">
        <f>G281*J281</f>
        <v/>
      </c>
      <c r="P281" s="50">
        <f>(J281-M281)*G281</f>
        <v/>
      </c>
      <c r="Q281" s="51">
        <f>IF(K281="Received",1,0)</f>
        <v/>
      </c>
      <c r="R281" s="51">
        <f>IF(Q281=1,F281-D281,0)</f>
        <v/>
      </c>
      <c r="S281" s="51">
        <f>IF(Q281=1,IF(F281&lt;=E281,1,0),0)</f>
        <v/>
      </c>
      <c r="T281" s="51">
        <f>IF(Q281=1,IF(H281&gt;=G281,1,0),0)</f>
        <v/>
      </c>
      <c r="U281" s="51">
        <f>S281*T281</f>
        <v/>
      </c>
      <c r="V281" s="51">
        <f>IF(Q281=1,MAX(0,F281-E281),0)</f>
        <v/>
      </c>
    </row>
    <row r="282">
      <c r="A282" s="43" t="inlineStr">
        <is>
          <t>PO100219</t>
        </is>
      </c>
      <c r="B282" s="43" t="inlineStr">
        <is>
          <t>CMD-0010</t>
        </is>
      </c>
      <c r="C282" s="43" t="inlineStr">
        <is>
          <t>S03</t>
        </is>
      </c>
      <c r="D282" s="47" t="n">
        <v>45659</v>
      </c>
      <c r="E282" s="47" t="n">
        <v>45792</v>
      </c>
      <c r="F282" s="47" t="n">
        <v>45790</v>
      </c>
      <c r="G282" s="46" t="n">
        <v>3928</v>
      </c>
      <c r="H282" s="46" t="n">
        <v>3101</v>
      </c>
      <c r="I282" s="46" t="n">
        <v>15</v>
      </c>
      <c r="J282" s="44" t="n">
        <v>4.63</v>
      </c>
      <c r="K282" s="43" t="inlineStr">
        <is>
          <t>Received</t>
        </is>
      </c>
      <c r="L282" s="17">
        <f>INDEX(Items!$C$2:$C$117,MATCH(B282,Items!$A$2:$A$117,0))</f>
        <v/>
      </c>
      <c r="M282" s="49">
        <f>INDEX(Items!$E$2:$E$117,MATCH(B282,Items!$A$2:$A$117,0))</f>
        <v/>
      </c>
      <c r="N282" s="17">
        <f>TEXT(D282,"yyyy-mm")</f>
        <v/>
      </c>
      <c r="O282" s="50">
        <f>G282*J282</f>
        <v/>
      </c>
      <c r="P282" s="50">
        <f>(J282-M282)*G282</f>
        <v/>
      </c>
      <c r="Q282" s="51">
        <f>IF(K282="Received",1,0)</f>
        <v/>
      </c>
      <c r="R282" s="51">
        <f>IF(Q282=1,F282-D282,0)</f>
        <v/>
      </c>
      <c r="S282" s="51">
        <f>IF(Q282=1,IF(F282&lt;=E282,1,0),0)</f>
        <v/>
      </c>
      <c r="T282" s="51">
        <f>IF(Q282=1,IF(H282&gt;=G282,1,0),0)</f>
        <v/>
      </c>
      <c r="U282" s="51">
        <f>S282*T282</f>
        <v/>
      </c>
      <c r="V282" s="51">
        <f>IF(Q282=1,MAX(0,F282-E282),0)</f>
        <v/>
      </c>
    </row>
    <row r="283">
      <c r="A283" s="43" t="inlineStr">
        <is>
          <t>PO100319</t>
        </is>
      </c>
      <c r="B283" s="43" t="inlineStr">
        <is>
          <t>CMD-0015</t>
        </is>
      </c>
      <c r="C283" s="43" t="inlineStr">
        <is>
          <t>S03</t>
        </is>
      </c>
      <c r="D283" s="47" t="n">
        <v>45659</v>
      </c>
      <c r="E283" s="47" t="n">
        <v>45792</v>
      </c>
      <c r="F283" s="47" t="n">
        <v>45792</v>
      </c>
      <c r="G283" s="46" t="n">
        <v>3047</v>
      </c>
      <c r="H283" s="46" t="n">
        <v>3047</v>
      </c>
      <c r="I283" s="46" t="n">
        <v>22</v>
      </c>
      <c r="J283" s="44" t="n">
        <v>5.66</v>
      </c>
      <c r="K283" s="43" t="inlineStr">
        <is>
          <t>Received</t>
        </is>
      </c>
      <c r="L283" s="17">
        <f>INDEX(Items!$C$2:$C$117,MATCH(B283,Items!$A$2:$A$117,0))</f>
        <v/>
      </c>
      <c r="M283" s="49">
        <f>INDEX(Items!$E$2:$E$117,MATCH(B283,Items!$A$2:$A$117,0))</f>
        <v/>
      </c>
      <c r="N283" s="17">
        <f>TEXT(D283,"yyyy-mm")</f>
        <v/>
      </c>
      <c r="O283" s="50">
        <f>G283*J283</f>
        <v/>
      </c>
      <c r="P283" s="50">
        <f>(J283-M283)*G283</f>
        <v/>
      </c>
      <c r="Q283" s="51">
        <f>IF(K283="Received",1,0)</f>
        <v/>
      </c>
      <c r="R283" s="51">
        <f>IF(Q283=1,F283-D283,0)</f>
        <v/>
      </c>
      <c r="S283" s="51">
        <f>IF(Q283=1,IF(F283&lt;=E283,1,0),0)</f>
        <v/>
      </c>
      <c r="T283" s="51">
        <f>IF(Q283=1,IF(H283&gt;=G283,1,0),0)</f>
        <v/>
      </c>
      <c r="U283" s="51">
        <f>S283*T283</f>
        <v/>
      </c>
      <c r="V283" s="51">
        <f>IF(Q283=1,MAX(0,F283-E283),0)</f>
        <v/>
      </c>
    </row>
    <row r="284">
      <c r="A284" s="43" t="inlineStr">
        <is>
          <t>PO100985</t>
        </is>
      </c>
      <c r="B284" s="43" t="inlineStr">
        <is>
          <t>CMD-0045</t>
        </is>
      </c>
      <c r="C284" s="43" t="inlineStr">
        <is>
          <t>S05</t>
        </is>
      </c>
      <c r="D284" s="47" t="n">
        <v>45660</v>
      </c>
      <c r="E284" s="47" t="n">
        <v>45765</v>
      </c>
      <c r="F284" s="47" t="n">
        <v>45762</v>
      </c>
      <c r="G284" s="46" t="n">
        <v>3460</v>
      </c>
      <c r="H284" s="46" t="n">
        <v>3460</v>
      </c>
      <c r="I284" s="46" t="n">
        <v>69</v>
      </c>
      <c r="J284" s="44" t="n">
        <v>8.99</v>
      </c>
      <c r="K284" s="43" t="inlineStr">
        <is>
          <t>Received</t>
        </is>
      </c>
      <c r="L284" s="17">
        <f>INDEX(Items!$C$2:$C$117,MATCH(B284,Items!$A$2:$A$117,0))</f>
        <v/>
      </c>
      <c r="M284" s="49">
        <f>INDEX(Items!$E$2:$E$117,MATCH(B284,Items!$A$2:$A$117,0))</f>
        <v/>
      </c>
      <c r="N284" s="17">
        <f>TEXT(D284,"yyyy-mm")</f>
        <v/>
      </c>
      <c r="O284" s="50">
        <f>G284*J284</f>
        <v/>
      </c>
      <c r="P284" s="50">
        <f>(J284-M284)*G284</f>
        <v/>
      </c>
      <c r="Q284" s="51">
        <f>IF(K284="Received",1,0)</f>
        <v/>
      </c>
      <c r="R284" s="51">
        <f>IF(Q284=1,F284-D284,0)</f>
        <v/>
      </c>
      <c r="S284" s="51">
        <f>IF(Q284=1,IF(F284&lt;=E284,1,0),0)</f>
        <v/>
      </c>
      <c r="T284" s="51">
        <f>IF(Q284=1,IF(H284&gt;=G284,1,0),0)</f>
        <v/>
      </c>
      <c r="U284" s="51">
        <f>S284*T284</f>
        <v/>
      </c>
      <c r="V284" s="51">
        <f>IF(Q284=1,MAX(0,F284-E284),0)</f>
        <v/>
      </c>
    </row>
    <row r="285">
      <c r="A285" s="43" t="inlineStr">
        <is>
          <t>PO100547</t>
        </is>
      </c>
      <c r="B285" s="43" t="inlineStr">
        <is>
          <t>CMD-0025</t>
        </is>
      </c>
      <c r="C285" s="43" t="inlineStr">
        <is>
          <t>S02</t>
        </is>
      </c>
      <c r="D285" s="47" t="n">
        <v>45660</v>
      </c>
      <c r="E285" s="47" t="n">
        <v>45716</v>
      </c>
      <c r="F285" s="47" t="n">
        <v>45713</v>
      </c>
      <c r="G285" s="46" t="n">
        <v>970</v>
      </c>
      <c r="H285" s="46" t="n">
        <v>970</v>
      </c>
      <c r="I285" s="46" t="n">
        <v>6</v>
      </c>
      <c r="J285" s="44" t="n">
        <v>10.52</v>
      </c>
      <c r="K285" s="43" t="inlineStr">
        <is>
          <t>Received</t>
        </is>
      </c>
      <c r="L285" s="17">
        <f>INDEX(Items!$C$2:$C$117,MATCH(B285,Items!$A$2:$A$117,0))</f>
        <v/>
      </c>
      <c r="M285" s="49">
        <f>INDEX(Items!$E$2:$E$117,MATCH(B285,Items!$A$2:$A$117,0))</f>
        <v/>
      </c>
      <c r="N285" s="17">
        <f>TEXT(D285,"yyyy-mm")</f>
        <v/>
      </c>
      <c r="O285" s="50">
        <f>G285*J285</f>
        <v/>
      </c>
      <c r="P285" s="50">
        <f>(J285-M285)*G285</f>
        <v/>
      </c>
      <c r="Q285" s="51">
        <f>IF(K285="Received",1,0)</f>
        <v/>
      </c>
      <c r="R285" s="51">
        <f>IF(Q285=1,F285-D285,0)</f>
        <v/>
      </c>
      <c r="S285" s="51">
        <f>IF(Q285=1,IF(F285&lt;=E285,1,0),0)</f>
        <v/>
      </c>
      <c r="T285" s="51">
        <f>IF(Q285=1,IF(H285&gt;=G285,1,0),0)</f>
        <v/>
      </c>
      <c r="U285" s="51">
        <f>S285*T285</f>
        <v/>
      </c>
      <c r="V285" s="51">
        <f>IF(Q285=1,MAX(0,F285-E285),0)</f>
        <v/>
      </c>
    </row>
    <row r="286">
      <c r="A286" s="43" t="inlineStr">
        <is>
          <t>PO100027</t>
        </is>
      </c>
      <c r="B286" s="43" t="inlineStr">
        <is>
          <t>CMD-0002</t>
        </is>
      </c>
      <c r="C286" s="43" t="inlineStr">
        <is>
          <t>S11</t>
        </is>
      </c>
      <c r="D286" s="47" t="n">
        <v>45660</v>
      </c>
      <c r="E286" s="47" t="n">
        <v>45779</v>
      </c>
      <c r="F286" s="47" t="n">
        <v>45777</v>
      </c>
      <c r="G286" s="46" t="n">
        <v>7158</v>
      </c>
      <c r="H286" s="46" t="n">
        <v>7158</v>
      </c>
      <c r="I286" s="46" t="n">
        <v>23</v>
      </c>
      <c r="J286" s="44" t="n">
        <v>6.85</v>
      </c>
      <c r="K286" s="43" t="inlineStr">
        <is>
          <t>Received</t>
        </is>
      </c>
      <c r="L286" s="17">
        <f>INDEX(Items!$C$2:$C$117,MATCH(B286,Items!$A$2:$A$117,0))</f>
        <v/>
      </c>
      <c r="M286" s="49">
        <f>INDEX(Items!$E$2:$E$117,MATCH(B286,Items!$A$2:$A$117,0))</f>
        <v/>
      </c>
      <c r="N286" s="17">
        <f>TEXT(D286,"yyyy-mm")</f>
        <v/>
      </c>
      <c r="O286" s="50">
        <f>G286*J286</f>
        <v/>
      </c>
      <c r="P286" s="50">
        <f>(J286-M286)*G286</f>
        <v/>
      </c>
      <c r="Q286" s="51">
        <f>IF(K286="Received",1,0)</f>
        <v/>
      </c>
      <c r="R286" s="51">
        <f>IF(Q286=1,F286-D286,0)</f>
        <v/>
      </c>
      <c r="S286" s="51">
        <f>IF(Q286=1,IF(F286&lt;=E286,1,0),0)</f>
        <v/>
      </c>
      <c r="T286" s="51">
        <f>IF(Q286=1,IF(H286&gt;=G286,1,0),0)</f>
        <v/>
      </c>
      <c r="U286" s="51">
        <f>S286*T286</f>
        <v/>
      </c>
      <c r="V286" s="51">
        <f>IF(Q286=1,MAX(0,F286-E286),0)</f>
        <v/>
      </c>
    </row>
    <row r="287">
      <c r="A287" s="43" t="inlineStr">
        <is>
          <t>PO100123</t>
        </is>
      </c>
      <c r="B287" s="43" t="inlineStr">
        <is>
          <t>CMD-0006</t>
        </is>
      </c>
      <c r="C287" s="43" t="inlineStr">
        <is>
          <t>S03</t>
        </is>
      </c>
      <c r="D287" s="47" t="n">
        <v>45660</v>
      </c>
      <c r="E287" s="47" t="n">
        <v>45793</v>
      </c>
      <c r="F287" s="47" t="n">
        <v>45790</v>
      </c>
      <c r="G287" s="46" t="n">
        <v>734</v>
      </c>
      <c r="H287" s="46" t="n">
        <v>734</v>
      </c>
      <c r="I287" s="46" t="n">
        <v>2</v>
      </c>
      <c r="J287" s="44" t="n">
        <v>30.55</v>
      </c>
      <c r="K287" s="43" t="inlineStr">
        <is>
          <t>Received</t>
        </is>
      </c>
      <c r="L287" s="17">
        <f>INDEX(Items!$C$2:$C$117,MATCH(B287,Items!$A$2:$A$117,0))</f>
        <v/>
      </c>
      <c r="M287" s="49">
        <f>INDEX(Items!$E$2:$E$117,MATCH(B287,Items!$A$2:$A$117,0))</f>
        <v/>
      </c>
      <c r="N287" s="17">
        <f>TEXT(D287,"yyyy-mm")</f>
        <v/>
      </c>
      <c r="O287" s="50">
        <f>G287*J287</f>
        <v/>
      </c>
      <c r="P287" s="50">
        <f>(J287-M287)*G287</f>
        <v/>
      </c>
      <c r="Q287" s="51">
        <f>IF(K287="Received",1,0)</f>
        <v/>
      </c>
      <c r="R287" s="51">
        <f>IF(Q287=1,F287-D287,0)</f>
        <v/>
      </c>
      <c r="S287" s="51">
        <f>IF(Q287=1,IF(F287&lt;=E287,1,0),0)</f>
        <v/>
      </c>
      <c r="T287" s="51">
        <f>IF(Q287=1,IF(H287&gt;=G287,1,0),0)</f>
        <v/>
      </c>
      <c r="U287" s="51">
        <f>S287*T287</f>
        <v/>
      </c>
      <c r="V287" s="51">
        <f>IF(Q287=1,MAX(0,F287-E287),0)</f>
        <v/>
      </c>
    </row>
    <row r="288">
      <c r="A288" s="43" t="inlineStr">
        <is>
          <t>PO101123</t>
        </is>
      </c>
      <c r="B288" s="43" t="inlineStr">
        <is>
          <t>CMD-0052</t>
        </is>
      </c>
      <c r="C288" s="43" t="inlineStr">
        <is>
          <t>S01</t>
        </is>
      </c>
      <c r="D288" s="47" t="n">
        <v>45660</v>
      </c>
      <c r="E288" s="47" t="n">
        <v>45681</v>
      </c>
      <c r="F288" s="47" t="n">
        <v>45680</v>
      </c>
      <c r="G288" s="46" t="n">
        <v>116319</v>
      </c>
      <c r="H288" s="46" t="n">
        <v>116319</v>
      </c>
      <c r="I288" s="46" t="n">
        <v>209</v>
      </c>
      <c r="J288" s="44" t="n">
        <v>0.2016</v>
      </c>
      <c r="K288" s="43" t="inlineStr">
        <is>
          <t>Received</t>
        </is>
      </c>
      <c r="L288" s="17">
        <f>INDEX(Items!$C$2:$C$117,MATCH(B288,Items!$A$2:$A$117,0))</f>
        <v/>
      </c>
      <c r="M288" s="49">
        <f>INDEX(Items!$E$2:$E$117,MATCH(B288,Items!$A$2:$A$117,0))</f>
        <v/>
      </c>
      <c r="N288" s="17">
        <f>TEXT(D288,"yyyy-mm")</f>
        <v/>
      </c>
      <c r="O288" s="50">
        <f>G288*J288</f>
        <v/>
      </c>
      <c r="P288" s="50">
        <f>(J288-M288)*G288</f>
        <v/>
      </c>
      <c r="Q288" s="51">
        <f>IF(K288="Received",1,0)</f>
        <v/>
      </c>
      <c r="R288" s="51">
        <f>IF(Q288=1,F288-D288,0)</f>
        <v/>
      </c>
      <c r="S288" s="51">
        <f>IF(Q288=1,IF(F288&lt;=E288,1,0),0)</f>
        <v/>
      </c>
      <c r="T288" s="51">
        <f>IF(Q288=1,IF(H288&gt;=G288,1,0),0)</f>
        <v/>
      </c>
      <c r="U288" s="51">
        <f>S288*T288</f>
        <v/>
      </c>
      <c r="V288" s="51">
        <f>IF(Q288=1,MAX(0,F288-E288),0)</f>
        <v/>
      </c>
    </row>
    <row r="289">
      <c r="A289" s="43" t="inlineStr">
        <is>
          <t>PO101847</t>
        </is>
      </c>
      <c r="B289" s="43" t="inlineStr">
        <is>
          <t>CMD-0101</t>
        </is>
      </c>
      <c r="C289" s="43" t="inlineStr">
        <is>
          <t>S09</t>
        </is>
      </c>
      <c r="D289" s="47" t="n">
        <v>45660</v>
      </c>
      <c r="E289" s="47" t="n">
        <v>45681</v>
      </c>
      <c r="F289" s="47" t="n">
        <v>45679</v>
      </c>
      <c r="G289" s="46" t="n">
        <v>4341</v>
      </c>
      <c r="H289" s="46" t="n">
        <v>4341</v>
      </c>
      <c r="I289" s="46" t="n">
        <v>15</v>
      </c>
      <c r="J289" s="44" t="n">
        <v>3.7</v>
      </c>
      <c r="K289" s="43" t="inlineStr">
        <is>
          <t>Received</t>
        </is>
      </c>
      <c r="L289" s="17">
        <f>INDEX(Items!$C$2:$C$117,MATCH(B289,Items!$A$2:$A$117,0))</f>
        <v/>
      </c>
      <c r="M289" s="49">
        <f>INDEX(Items!$E$2:$E$117,MATCH(B289,Items!$A$2:$A$117,0))</f>
        <v/>
      </c>
      <c r="N289" s="17">
        <f>TEXT(D289,"yyyy-mm")</f>
        <v/>
      </c>
      <c r="O289" s="50">
        <f>G289*J289</f>
        <v/>
      </c>
      <c r="P289" s="50">
        <f>(J289-M289)*G289</f>
        <v/>
      </c>
      <c r="Q289" s="51">
        <f>IF(K289="Received",1,0)</f>
        <v/>
      </c>
      <c r="R289" s="51">
        <f>IF(Q289=1,F289-D289,0)</f>
        <v/>
      </c>
      <c r="S289" s="51">
        <f>IF(Q289=1,IF(F289&lt;=E289,1,0),0)</f>
        <v/>
      </c>
      <c r="T289" s="51">
        <f>IF(Q289=1,IF(H289&gt;=G289,1,0),0)</f>
        <v/>
      </c>
      <c r="U289" s="51">
        <f>S289*T289</f>
        <v/>
      </c>
      <c r="V289" s="51">
        <f>IF(Q289=1,MAX(0,F289-E289),0)</f>
        <v/>
      </c>
    </row>
    <row r="290">
      <c r="A290" s="43" t="inlineStr">
        <is>
          <t>PO101717</t>
        </is>
      </c>
      <c r="B290" s="43" t="inlineStr">
        <is>
          <t>CMD-0094</t>
        </is>
      </c>
      <c r="C290" s="43" t="inlineStr">
        <is>
          <t>S08</t>
        </is>
      </c>
      <c r="D290" s="47" t="n">
        <v>45660</v>
      </c>
      <c r="E290" s="47" t="n">
        <v>45737</v>
      </c>
      <c r="F290" s="47" t="n">
        <v>45736</v>
      </c>
      <c r="G290" s="46" t="n">
        <v>361</v>
      </c>
      <c r="H290" s="46" t="n">
        <v>361</v>
      </c>
      <c r="I290" s="46" t="n">
        <v>3</v>
      </c>
      <c r="J290" s="44" t="n">
        <v>74.09</v>
      </c>
      <c r="K290" s="43" t="inlineStr">
        <is>
          <t>Received</t>
        </is>
      </c>
      <c r="L290" s="17">
        <f>INDEX(Items!$C$2:$C$117,MATCH(B290,Items!$A$2:$A$117,0))</f>
        <v/>
      </c>
      <c r="M290" s="49">
        <f>INDEX(Items!$E$2:$E$117,MATCH(B290,Items!$A$2:$A$117,0))</f>
        <v/>
      </c>
      <c r="N290" s="17">
        <f>TEXT(D290,"yyyy-mm")</f>
        <v/>
      </c>
      <c r="O290" s="50">
        <f>G290*J290</f>
        <v/>
      </c>
      <c r="P290" s="50">
        <f>(J290-M290)*G290</f>
        <v/>
      </c>
      <c r="Q290" s="51">
        <f>IF(K290="Received",1,0)</f>
        <v/>
      </c>
      <c r="R290" s="51">
        <f>IF(Q290=1,F290-D290,0)</f>
        <v/>
      </c>
      <c r="S290" s="51">
        <f>IF(Q290=1,IF(F290&lt;=E290,1,0),0)</f>
        <v/>
      </c>
      <c r="T290" s="51">
        <f>IF(Q290=1,IF(H290&gt;=G290,1,0),0)</f>
        <v/>
      </c>
      <c r="U290" s="51">
        <f>S290*T290</f>
        <v/>
      </c>
      <c r="V290" s="51">
        <f>IF(Q290=1,MAX(0,F290-E290),0)</f>
        <v/>
      </c>
    </row>
    <row r="291">
      <c r="A291" s="43" t="inlineStr">
        <is>
          <t>PO101693</t>
        </is>
      </c>
      <c r="B291" s="43" t="inlineStr">
        <is>
          <t>CMD-0093</t>
        </is>
      </c>
      <c r="C291" s="43" t="inlineStr">
        <is>
          <t>S08</t>
        </is>
      </c>
      <c r="D291" s="47" t="n">
        <v>45660</v>
      </c>
      <c r="E291" s="47" t="n">
        <v>45737</v>
      </c>
      <c r="F291" s="47" t="n">
        <v>45736</v>
      </c>
      <c r="G291" s="46" t="n">
        <v>679</v>
      </c>
      <c r="H291" s="46" t="n">
        <v>679</v>
      </c>
      <c r="I291" s="46" t="n">
        <v>8</v>
      </c>
      <c r="J291" s="44" t="n">
        <v>59.41</v>
      </c>
      <c r="K291" s="43" t="inlineStr">
        <is>
          <t>Received</t>
        </is>
      </c>
      <c r="L291" s="17">
        <f>INDEX(Items!$C$2:$C$117,MATCH(B291,Items!$A$2:$A$117,0))</f>
        <v/>
      </c>
      <c r="M291" s="49">
        <f>INDEX(Items!$E$2:$E$117,MATCH(B291,Items!$A$2:$A$117,0))</f>
        <v/>
      </c>
      <c r="N291" s="17">
        <f>TEXT(D291,"yyyy-mm")</f>
        <v/>
      </c>
      <c r="O291" s="50">
        <f>G291*J291</f>
        <v/>
      </c>
      <c r="P291" s="50">
        <f>(J291-M291)*G291</f>
        <v/>
      </c>
      <c r="Q291" s="51">
        <f>IF(K291="Received",1,0)</f>
        <v/>
      </c>
      <c r="R291" s="51">
        <f>IF(Q291=1,F291-D291,0)</f>
        <v/>
      </c>
      <c r="S291" s="51">
        <f>IF(Q291=1,IF(F291&lt;=E291,1,0),0)</f>
        <v/>
      </c>
      <c r="T291" s="51">
        <f>IF(Q291=1,IF(H291&gt;=G291,1,0),0)</f>
        <v/>
      </c>
      <c r="U291" s="51">
        <f>S291*T291</f>
        <v/>
      </c>
      <c r="V291" s="51">
        <f>IF(Q291=1,MAX(0,F291-E291),0)</f>
        <v/>
      </c>
    </row>
    <row r="292">
      <c r="A292" s="43" t="inlineStr">
        <is>
          <t>PO100773</t>
        </is>
      </c>
      <c r="B292" s="43" t="inlineStr">
        <is>
          <t>CMD-0035</t>
        </is>
      </c>
      <c r="C292" s="43" t="inlineStr">
        <is>
          <t>S01</t>
        </is>
      </c>
      <c r="D292" s="47" t="n">
        <v>45661</v>
      </c>
      <c r="E292" s="47" t="n">
        <v>45689</v>
      </c>
      <c r="F292" s="47" t="n">
        <v>45689</v>
      </c>
      <c r="G292" s="46" t="n">
        <v>701</v>
      </c>
      <c r="H292" s="46" t="n">
        <v>701</v>
      </c>
      <c r="I292" s="46" t="n">
        <v>2</v>
      </c>
      <c r="J292" s="44" t="n">
        <v>9.369999999999999</v>
      </c>
      <c r="K292" s="43" t="inlineStr">
        <is>
          <t>Received</t>
        </is>
      </c>
      <c r="L292" s="17">
        <f>INDEX(Items!$C$2:$C$117,MATCH(B292,Items!$A$2:$A$117,0))</f>
        <v/>
      </c>
      <c r="M292" s="49">
        <f>INDEX(Items!$E$2:$E$117,MATCH(B292,Items!$A$2:$A$117,0))</f>
        <v/>
      </c>
      <c r="N292" s="17">
        <f>TEXT(D292,"yyyy-mm")</f>
        <v/>
      </c>
      <c r="O292" s="50">
        <f>G292*J292</f>
        <v/>
      </c>
      <c r="P292" s="50">
        <f>(J292-M292)*G292</f>
        <v/>
      </c>
      <c r="Q292" s="51">
        <f>IF(K292="Received",1,0)</f>
        <v/>
      </c>
      <c r="R292" s="51">
        <f>IF(Q292=1,F292-D292,0)</f>
        <v/>
      </c>
      <c r="S292" s="51">
        <f>IF(Q292=1,IF(F292&lt;=E292,1,0),0)</f>
        <v/>
      </c>
      <c r="T292" s="51">
        <f>IF(Q292=1,IF(H292&gt;=G292,1,0),0)</f>
        <v/>
      </c>
      <c r="U292" s="51">
        <f>S292*T292</f>
        <v/>
      </c>
      <c r="V292" s="51">
        <f>IF(Q292=1,MAX(0,F292-E292),0)</f>
        <v/>
      </c>
    </row>
    <row r="293">
      <c r="A293" s="43" t="inlineStr">
        <is>
          <t>PO101894</t>
        </is>
      </c>
      <c r="B293" s="43" t="inlineStr">
        <is>
          <t>CMD-0103</t>
        </is>
      </c>
      <c r="C293" s="43" t="inlineStr">
        <is>
          <t>S09</t>
        </is>
      </c>
      <c r="D293" s="47" t="n">
        <v>45661</v>
      </c>
      <c r="E293" s="47" t="n">
        <v>45682</v>
      </c>
      <c r="F293" s="47" t="n">
        <v>45681</v>
      </c>
      <c r="G293" s="46" t="n">
        <v>1269</v>
      </c>
      <c r="H293" s="46" t="n">
        <v>1269</v>
      </c>
      <c r="I293" s="46" t="n">
        <v>4</v>
      </c>
      <c r="J293" s="44" t="n">
        <v>4.18</v>
      </c>
      <c r="K293" s="43" t="inlineStr">
        <is>
          <t>Received</t>
        </is>
      </c>
      <c r="L293" s="17">
        <f>INDEX(Items!$C$2:$C$117,MATCH(B293,Items!$A$2:$A$117,0))</f>
        <v/>
      </c>
      <c r="M293" s="49">
        <f>INDEX(Items!$E$2:$E$117,MATCH(B293,Items!$A$2:$A$117,0))</f>
        <v/>
      </c>
      <c r="N293" s="17">
        <f>TEXT(D293,"yyyy-mm")</f>
        <v/>
      </c>
      <c r="O293" s="50">
        <f>G293*J293</f>
        <v/>
      </c>
      <c r="P293" s="50">
        <f>(J293-M293)*G293</f>
        <v/>
      </c>
      <c r="Q293" s="51">
        <f>IF(K293="Received",1,0)</f>
        <v/>
      </c>
      <c r="R293" s="51">
        <f>IF(Q293=1,F293-D293,0)</f>
        <v/>
      </c>
      <c r="S293" s="51">
        <f>IF(Q293=1,IF(F293&lt;=E293,1,0),0)</f>
        <v/>
      </c>
      <c r="T293" s="51">
        <f>IF(Q293=1,IF(H293&gt;=G293,1,0),0)</f>
        <v/>
      </c>
      <c r="U293" s="51">
        <f>S293*T293</f>
        <v/>
      </c>
      <c r="V293" s="51">
        <f>IF(Q293=1,MAX(0,F293-E293),0)</f>
        <v/>
      </c>
    </row>
    <row r="294">
      <c r="A294" s="43" t="inlineStr">
        <is>
          <t>PO100643</t>
        </is>
      </c>
      <c r="B294" s="43" t="inlineStr">
        <is>
          <t>CMD-0029</t>
        </is>
      </c>
      <c r="C294" s="43" t="inlineStr">
        <is>
          <t>S11</t>
        </is>
      </c>
      <c r="D294" s="47" t="n">
        <v>45661</v>
      </c>
      <c r="E294" s="47" t="n">
        <v>45738</v>
      </c>
      <c r="F294" s="47" t="n">
        <v>45737</v>
      </c>
      <c r="G294" s="46" t="n">
        <v>3925</v>
      </c>
      <c r="H294" s="46" t="n">
        <v>3925</v>
      </c>
      <c r="I294" s="46" t="n">
        <v>7</v>
      </c>
      <c r="J294" s="44" t="n">
        <v>6.87</v>
      </c>
      <c r="K294" s="43" t="inlineStr">
        <is>
          <t>Received</t>
        </is>
      </c>
      <c r="L294" s="17">
        <f>INDEX(Items!$C$2:$C$117,MATCH(B294,Items!$A$2:$A$117,0))</f>
        <v/>
      </c>
      <c r="M294" s="49">
        <f>INDEX(Items!$E$2:$E$117,MATCH(B294,Items!$A$2:$A$117,0))</f>
        <v/>
      </c>
      <c r="N294" s="17">
        <f>TEXT(D294,"yyyy-mm")</f>
        <v/>
      </c>
      <c r="O294" s="50">
        <f>G294*J294</f>
        <v/>
      </c>
      <c r="P294" s="50">
        <f>(J294-M294)*G294</f>
        <v/>
      </c>
      <c r="Q294" s="51">
        <f>IF(K294="Received",1,0)</f>
        <v/>
      </c>
      <c r="R294" s="51">
        <f>IF(Q294=1,F294-D294,0)</f>
        <v/>
      </c>
      <c r="S294" s="51">
        <f>IF(Q294=1,IF(F294&lt;=E294,1,0),0)</f>
        <v/>
      </c>
      <c r="T294" s="51">
        <f>IF(Q294=1,IF(H294&gt;=G294,1,0),0)</f>
        <v/>
      </c>
      <c r="U294" s="51">
        <f>S294*T294</f>
        <v/>
      </c>
      <c r="V294" s="51">
        <f>IF(Q294=1,MAX(0,F294-E294),0)</f>
        <v/>
      </c>
    </row>
    <row r="295">
      <c r="A295" s="43" t="inlineStr">
        <is>
          <t>PO100367</t>
        </is>
      </c>
      <c r="B295" s="43" t="inlineStr">
        <is>
          <t>CMD-0017</t>
        </is>
      </c>
      <c r="C295" s="43" t="inlineStr">
        <is>
          <t>S11</t>
        </is>
      </c>
      <c r="D295" s="47" t="n">
        <v>45661</v>
      </c>
      <c r="E295" s="47" t="n">
        <v>45738</v>
      </c>
      <c r="F295" s="47" t="n">
        <v>45737</v>
      </c>
      <c r="G295" s="46" t="n">
        <v>7001</v>
      </c>
      <c r="H295" s="46" t="n">
        <v>7001</v>
      </c>
      <c r="I295" s="46" t="n">
        <v>11</v>
      </c>
      <c r="J295" s="44" t="n">
        <v>12.69</v>
      </c>
      <c r="K295" s="43" t="inlineStr">
        <is>
          <t>Received</t>
        </is>
      </c>
      <c r="L295" s="17">
        <f>INDEX(Items!$C$2:$C$117,MATCH(B295,Items!$A$2:$A$117,0))</f>
        <v/>
      </c>
      <c r="M295" s="49">
        <f>INDEX(Items!$E$2:$E$117,MATCH(B295,Items!$A$2:$A$117,0))</f>
        <v/>
      </c>
      <c r="N295" s="17">
        <f>TEXT(D295,"yyyy-mm")</f>
        <v/>
      </c>
      <c r="O295" s="50">
        <f>G295*J295</f>
        <v/>
      </c>
      <c r="P295" s="50">
        <f>(J295-M295)*G295</f>
        <v/>
      </c>
      <c r="Q295" s="51">
        <f>IF(K295="Received",1,0)</f>
        <v/>
      </c>
      <c r="R295" s="51">
        <f>IF(Q295=1,F295-D295,0)</f>
        <v/>
      </c>
      <c r="S295" s="51">
        <f>IF(Q295=1,IF(F295&lt;=E295,1,0),0)</f>
        <v/>
      </c>
      <c r="T295" s="51">
        <f>IF(Q295=1,IF(H295&gt;=G295,1,0),0)</f>
        <v/>
      </c>
      <c r="U295" s="51">
        <f>S295*T295</f>
        <v/>
      </c>
      <c r="V295" s="51">
        <f>IF(Q295=1,MAX(0,F295-E295),0)</f>
        <v/>
      </c>
    </row>
    <row r="296">
      <c r="A296" s="43" t="inlineStr">
        <is>
          <t>PO101567</t>
        </is>
      </c>
      <c r="B296" s="43" t="inlineStr">
        <is>
          <t>CMD-0085</t>
        </is>
      </c>
      <c r="C296" s="43" t="inlineStr">
        <is>
          <t>S06</t>
        </is>
      </c>
      <c r="D296" s="47" t="n">
        <v>45662</v>
      </c>
      <c r="E296" s="47" t="n">
        <v>45683</v>
      </c>
      <c r="F296" s="47" t="n">
        <v>45682</v>
      </c>
      <c r="G296" s="46" t="n">
        <v>995</v>
      </c>
      <c r="H296" s="46" t="n">
        <v>995</v>
      </c>
      <c r="I296" s="46" t="n">
        <v>4</v>
      </c>
      <c r="J296" s="44" t="n">
        <v>10.56</v>
      </c>
      <c r="K296" s="43" t="inlineStr">
        <is>
          <t>Received</t>
        </is>
      </c>
      <c r="L296" s="17">
        <f>INDEX(Items!$C$2:$C$117,MATCH(B296,Items!$A$2:$A$117,0))</f>
        <v/>
      </c>
      <c r="M296" s="49">
        <f>INDEX(Items!$E$2:$E$117,MATCH(B296,Items!$A$2:$A$117,0))</f>
        <v/>
      </c>
      <c r="N296" s="17">
        <f>TEXT(D296,"yyyy-mm")</f>
        <v/>
      </c>
      <c r="O296" s="50">
        <f>G296*J296</f>
        <v/>
      </c>
      <c r="P296" s="50">
        <f>(J296-M296)*G296</f>
        <v/>
      </c>
      <c r="Q296" s="51">
        <f>IF(K296="Received",1,0)</f>
        <v/>
      </c>
      <c r="R296" s="51">
        <f>IF(Q296=1,F296-D296,0)</f>
        <v/>
      </c>
      <c r="S296" s="51">
        <f>IF(Q296=1,IF(F296&lt;=E296,1,0),0)</f>
        <v/>
      </c>
      <c r="T296" s="51">
        <f>IF(Q296=1,IF(H296&gt;=G296,1,0),0)</f>
        <v/>
      </c>
      <c r="U296" s="51">
        <f>S296*T296</f>
        <v/>
      </c>
      <c r="V296" s="51">
        <f>IF(Q296=1,MAX(0,F296-E296),0)</f>
        <v/>
      </c>
    </row>
    <row r="297">
      <c r="A297" s="43" t="inlineStr">
        <is>
          <t>PO101535</t>
        </is>
      </c>
      <c r="B297" s="43" t="inlineStr">
        <is>
          <t>CMD-0082</t>
        </is>
      </c>
      <c r="C297" s="43" t="inlineStr">
        <is>
          <t>S01</t>
        </is>
      </c>
      <c r="D297" s="47" t="n">
        <v>45662</v>
      </c>
      <c r="E297" s="47" t="n">
        <v>45676</v>
      </c>
      <c r="F297" s="47" t="n">
        <v>45673</v>
      </c>
      <c r="G297" s="46" t="n">
        <v>7314</v>
      </c>
      <c r="H297" s="46" t="n">
        <v>7314</v>
      </c>
      <c r="I297" s="46" t="n">
        <v>15</v>
      </c>
      <c r="J297" s="44" t="n">
        <v>2.32</v>
      </c>
      <c r="K297" s="43" t="inlineStr">
        <is>
          <t>Received</t>
        </is>
      </c>
      <c r="L297" s="17">
        <f>INDEX(Items!$C$2:$C$117,MATCH(B297,Items!$A$2:$A$117,0))</f>
        <v/>
      </c>
      <c r="M297" s="49">
        <f>INDEX(Items!$E$2:$E$117,MATCH(B297,Items!$A$2:$A$117,0))</f>
        <v/>
      </c>
      <c r="N297" s="17">
        <f>TEXT(D297,"yyyy-mm")</f>
        <v/>
      </c>
      <c r="O297" s="50">
        <f>G297*J297</f>
        <v/>
      </c>
      <c r="P297" s="50">
        <f>(J297-M297)*G297</f>
        <v/>
      </c>
      <c r="Q297" s="51">
        <f>IF(K297="Received",1,0)</f>
        <v/>
      </c>
      <c r="R297" s="51">
        <f>IF(Q297=1,F297-D297,0)</f>
        <v/>
      </c>
      <c r="S297" s="51">
        <f>IF(Q297=1,IF(F297&lt;=E297,1,0),0)</f>
        <v/>
      </c>
      <c r="T297" s="51">
        <f>IF(Q297=1,IF(H297&gt;=G297,1,0),0)</f>
        <v/>
      </c>
      <c r="U297" s="51">
        <f>S297*T297</f>
        <v/>
      </c>
      <c r="V297" s="51">
        <f>IF(Q297=1,MAX(0,F297-E297),0)</f>
        <v/>
      </c>
    </row>
    <row r="298">
      <c r="A298" s="43" t="inlineStr">
        <is>
          <t>PO100937</t>
        </is>
      </c>
      <c r="B298" s="43" t="inlineStr">
        <is>
          <t>CMD-0043</t>
        </is>
      </c>
      <c r="C298" s="43" t="inlineStr">
        <is>
          <t>S05</t>
        </is>
      </c>
      <c r="D298" s="47" t="n">
        <v>45662</v>
      </c>
      <c r="E298" s="47" t="n">
        <v>45767</v>
      </c>
      <c r="F298" s="47" t="n">
        <v>45765</v>
      </c>
      <c r="G298" s="46" t="n">
        <v>6875</v>
      </c>
      <c r="H298" s="46" t="n">
        <v>6875</v>
      </c>
      <c r="I298" s="46" t="n">
        <v>120</v>
      </c>
      <c r="J298" s="44" t="n">
        <v>3.69</v>
      </c>
      <c r="K298" s="43" t="inlineStr">
        <is>
          <t>Received</t>
        </is>
      </c>
      <c r="L298" s="17">
        <f>INDEX(Items!$C$2:$C$117,MATCH(B298,Items!$A$2:$A$117,0))</f>
        <v/>
      </c>
      <c r="M298" s="49">
        <f>INDEX(Items!$E$2:$E$117,MATCH(B298,Items!$A$2:$A$117,0))</f>
        <v/>
      </c>
      <c r="N298" s="17">
        <f>TEXT(D298,"yyyy-mm")</f>
        <v/>
      </c>
      <c r="O298" s="50">
        <f>G298*J298</f>
        <v/>
      </c>
      <c r="P298" s="50">
        <f>(J298-M298)*G298</f>
        <v/>
      </c>
      <c r="Q298" s="51">
        <f>IF(K298="Received",1,0)</f>
        <v/>
      </c>
      <c r="R298" s="51">
        <f>IF(Q298=1,F298-D298,0)</f>
        <v/>
      </c>
      <c r="S298" s="51">
        <f>IF(Q298=1,IF(F298&lt;=E298,1,0),0)</f>
        <v/>
      </c>
      <c r="T298" s="51">
        <f>IF(Q298=1,IF(H298&gt;=G298,1,0),0)</f>
        <v/>
      </c>
      <c r="U298" s="51">
        <f>S298*T298</f>
        <v/>
      </c>
      <c r="V298" s="51">
        <f>IF(Q298=1,MAX(0,F298-E298),0)</f>
        <v/>
      </c>
    </row>
    <row r="299">
      <c r="A299" s="43" t="inlineStr">
        <is>
          <t>PO101161</t>
        </is>
      </c>
      <c r="B299" s="43" t="inlineStr">
        <is>
          <t>CMD-0054</t>
        </is>
      </c>
      <c r="C299" s="43" t="inlineStr">
        <is>
          <t>S10</t>
        </is>
      </c>
      <c r="D299" s="47" t="n">
        <v>45662</v>
      </c>
      <c r="E299" s="47" t="n">
        <v>45690</v>
      </c>
      <c r="F299" s="47" t="n">
        <v>45687</v>
      </c>
      <c r="G299" s="46" t="n">
        <v>49103</v>
      </c>
      <c r="H299" s="46" t="n">
        <v>41262</v>
      </c>
      <c r="I299" s="46" t="n">
        <v>32</v>
      </c>
      <c r="J299" s="44" t="n">
        <v>0.1687</v>
      </c>
      <c r="K299" s="43" t="inlineStr">
        <is>
          <t>Received</t>
        </is>
      </c>
      <c r="L299" s="17">
        <f>INDEX(Items!$C$2:$C$117,MATCH(B299,Items!$A$2:$A$117,0))</f>
        <v/>
      </c>
      <c r="M299" s="49">
        <f>INDEX(Items!$E$2:$E$117,MATCH(B299,Items!$A$2:$A$117,0))</f>
        <v/>
      </c>
      <c r="N299" s="17">
        <f>TEXT(D299,"yyyy-mm")</f>
        <v/>
      </c>
      <c r="O299" s="50">
        <f>G299*J299</f>
        <v/>
      </c>
      <c r="P299" s="50">
        <f>(J299-M299)*G299</f>
        <v/>
      </c>
      <c r="Q299" s="51">
        <f>IF(K299="Received",1,0)</f>
        <v/>
      </c>
      <c r="R299" s="51">
        <f>IF(Q299=1,F299-D299,0)</f>
        <v/>
      </c>
      <c r="S299" s="51">
        <f>IF(Q299=1,IF(F299&lt;=E299,1,0),0)</f>
        <v/>
      </c>
      <c r="T299" s="51">
        <f>IF(Q299=1,IF(H299&gt;=G299,1,0),0)</f>
        <v/>
      </c>
      <c r="U299" s="51">
        <f>S299*T299</f>
        <v/>
      </c>
      <c r="V299" s="51">
        <f>IF(Q299=1,MAX(0,F299-E299),0)</f>
        <v/>
      </c>
    </row>
    <row r="300">
      <c r="A300" s="43" t="inlineStr">
        <is>
          <t>PO101669</t>
        </is>
      </c>
      <c r="B300" s="43" t="inlineStr">
        <is>
          <t>CMD-0092</t>
        </is>
      </c>
      <c r="C300" s="43" t="inlineStr">
        <is>
          <t>S08</t>
        </is>
      </c>
      <c r="D300" s="47" t="n">
        <v>45662</v>
      </c>
      <c r="E300" s="47" t="n">
        <v>45739</v>
      </c>
      <c r="F300" s="47" t="n">
        <v>45737</v>
      </c>
      <c r="G300" s="46" t="n">
        <v>349</v>
      </c>
      <c r="H300" s="46" t="n">
        <v>349</v>
      </c>
      <c r="I300" s="46" t="n">
        <v>5</v>
      </c>
      <c r="J300" s="44" t="n">
        <v>29.47</v>
      </c>
      <c r="K300" s="43" t="inlineStr">
        <is>
          <t>Received</t>
        </is>
      </c>
      <c r="L300" s="17">
        <f>INDEX(Items!$C$2:$C$117,MATCH(B300,Items!$A$2:$A$117,0))</f>
        <v/>
      </c>
      <c r="M300" s="49">
        <f>INDEX(Items!$E$2:$E$117,MATCH(B300,Items!$A$2:$A$117,0))</f>
        <v/>
      </c>
      <c r="N300" s="17">
        <f>TEXT(D300,"yyyy-mm")</f>
        <v/>
      </c>
      <c r="O300" s="50">
        <f>G300*J300</f>
        <v/>
      </c>
      <c r="P300" s="50">
        <f>(J300-M300)*G300</f>
        <v/>
      </c>
      <c r="Q300" s="51">
        <f>IF(K300="Received",1,0)</f>
        <v/>
      </c>
      <c r="R300" s="51">
        <f>IF(Q300=1,F300-D300,0)</f>
        <v/>
      </c>
      <c r="S300" s="51">
        <f>IF(Q300=1,IF(F300&lt;=E300,1,0),0)</f>
        <v/>
      </c>
      <c r="T300" s="51">
        <f>IF(Q300=1,IF(H300&gt;=G300,1,0),0)</f>
        <v/>
      </c>
      <c r="U300" s="51">
        <f>S300*T300</f>
        <v/>
      </c>
      <c r="V300" s="51">
        <f>IF(Q300=1,MAX(0,F300-E300),0)</f>
        <v/>
      </c>
    </row>
    <row r="301">
      <c r="A301" s="43" t="inlineStr">
        <is>
          <t>PO100243</t>
        </is>
      </c>
      <c r="B301" s="43" t="inlineStr">
        <is>
          <t>CMD-0011</t>
        </is>
      </c>
      <c r="C301" s="43" t="inlineStr">
        <is>
          <t>S07</t>
        </is>
      </c>
      <c r="D301" s="47" t="n">
        <v>45662</v>
      </c>
      <c r="E301" s="47" t="n">
        <v>45753</v>
      </c>
      <c r="F301" s="47" t="n">
        <v>45756</v>
      </c>
      <c r="G301" s="46" t="n">
        <v>4109</v>
      </c>
      <c r="H301" s="46" t="n">
        <v>4109</v>
      </c>
      <c r="I301" s="46" t="n">
        <v>31</v>
      </c>
      <c r="J301" s="44" t="n">
        <v>8.08</v>
      </c>
      <c r="K301" s="43" t="inlineStr">
        <is>
          <t>Received</t>
        </is>
      </c>
      <c r="L301" s="17">
        <f>INDEX(Items!$C$2:$C$117,MATCH(B301,Items!$A$2:$A$117,0))</f>
        <v/>
      </c>
      <c r="M301" s="49">
        <f>INDEX(Items!$E$2:$E$117,MATCH(B301,Items!$A$2:$A$117,0))</f>
        <v/>
      </c>
      <c r="N301" s="17">
        <f>TEXT(D301,"yyyy-mm")</f>
        <v/>
      </c>
      <c r="O301" s="50">
        <f>G301*J301</f>
        <v/>
      </c>
      <c r="P301" s="50">
        <f>(J301-M301)*G301</f>
        <v/>
      </c>
      <c r="Q301" s="51">
        <f>IF(K301="Received",1,0)</f>
        <v/>
      </c>
      <c r="R301" s="51">
        <f>IF(Q301=1,F301-D301,0)</f>
        <v/>
      </c>
      <c r="S301" s="51">
        <f>IF(Q301=1,IF(F301&lt;=E301,1,0),0)</f>
        <v/>
      </c>
      <c r="T301" s="51">
        <f>IF(Q301=1,IF(H301&gt;=G301,1,0),0)</f>
        <v/>
      </c>
      <c r="U301" s="51">
        <f>S301*T301</f>
        <v/>
      </c>
      <c r="V301" s="51">
        <f>IF(Q301=1,MAX(0,F301-E301),0)</f>
        <v/>
      </c>
    </row>
    <row r="302">
      <c r="A302" s="43" t="inlineStr">
        <is>
          <t>PO101483</t>
        </is>
      </c>
      <c r="B302" s="43" t="inlineStr">
        <is>
          <t>CMD-0079</t>
        </is>
      </c>
      <c r="C302" s="43" t="inlineStr">
        <is>
          <t>S06</t>
        </is>
      </c>
      <c r="D302" s="47" t="n">
        <v>45662</v>
      </c>
      <c r="E302" s="47" t="n">
        <v>45683</v>
      </c>
      <c r="F302" s="47" t="n">
        <v>45680</v>
      </c>
      <c r="G302" s="46" t="n">
        <v>1983</v>
      </c>
      <c r="H302" s="46" t="n">
        <v>1983</v>
      </c>
      <c r="I302" s="46" t="n">
        <v>17</v>
      </c>
      <c r="J302" s="44" t="n">
        <v>3.53</v>
      </c>
      <c r="K302" s="43" t="inlineStr">
        <is>
          <t>Received</t>
        </is>
      </c>
      <c r="L302" s="17">
        <f>INDEX(Items!$C$2:$C$117,MATCH(B302,Items!$A$2:$A$117,0))</f>
        <v/>
      </c>
      <c r="M302" s="49">
        <f>INDEX(Items!$E$2:$E$117,MATCH(B302,Items!$A$2:$A$117,0))</f>
        <v/>
      </c>
      <c r="N302" s="17">
        <f>TEXT(D302,"yyyy-mm")</f>
        <v/>
      </c>
      <c r="O302" s="50">
        <f>G302*J302</f>
        <v/>
      </c>
      <c r="P302" s="50">
        <f>(J302-M302)*G302</f>
        <v/>
      </c>
      <c r="Q302" s="51">
        <f>IF(K302="Received",1,0)</f>
        <v/>
      </c>
      <c r="R302" s="51">
        <f>IF(Q302=1,F302-D302,0)</f>
        <v/>
      </c>
      <c r="S302" s="51">
        <f>IF(Q302=1,IF(F302&lt;=E302,1,0),0)</f>
        <v/>
      </c>
      <c r="T302" s="51">
        <f>IF(Q302=1,IF(H302&gt;=G302,1,0),0)</f>
        <v/>
      </c>
      <c r="U302" s="51">
        <f>S302*T302</f>
        <v/>
      </c>
      <c r="V302" s="51">
        <f>IF(Q302=1,MAX(0,F302-E302),0)</f>
        <v/>
      </c>
    </row>
    <row r="303">
      <c r="A303" s="43" t="inlineStr">
        <is>
          <t>PO100271</t>
        </is>
      </c>
      <c r="B303" s="43" t="inlineStr">
        <is>
          <t>CMD-0013</t>
        </is>
      </c>
      <c r="C303" s="43" t="inlineStr">
        <is>
          <t>S11</t>
        </is>
      </c>
      <c r="D303" s="47" t="n">
        <v>45662</v>
      </c>
      <c r="E303" s="47" t="n">
        <v>45781</v>
      </c>
      <c r="F303" s="47" t="n">
        <v>45778</v>
      </c>
      <c r="G303" s="46" t="n">
        <v>998</v>
      </c>
      <c r="H303" s="46" t="n">
        <v>998</v>
      </c>
      <c r="I303" s="46" t="n">
        <v>0</v>
      </c>
      <c r="J303" s="44" t="n">
        <v>6.75</v>
      </c>
      <c r="K303" s="43" t="inlineStr">
        <is>
          <t>Received</t>
        </is>
      </c>
      <c r="L303" s="17">
        <f>INDEX(Items!$C$2:$C$117,MATCH(B303,Items!$A$2:$A$117,0))</f>
        <v/>
      </c>
      <c r="M303" s="49">
        <f>INDEX(Items!$E$2:$E$117,MATCH(B303,Items!$A$2:$A$117,0))</f>
        <v/>
      </c>
      <c r="N303" s="17">
        <f>TEXT(D303,"yyyy-mm")</f>
        <v/>
      </c>
      <c r="O303" s="50">
        <f>G303*J303</f>
        <v/>
      </c>
      <c r="P303" s="50">
        <f>(J303-M303)*G303</f>
        <v/>
      </c>
      <c r="Q303" s="51">
        <f>IF(K303="Received",1,0)</f>
        <v/>
      </c>
      <c r="R303" s="51">
        <f>IF(Q303=1,F303-D303,0)</f>
        <v/>
      </c>
      <c r="S303" s="51">
        <f>IF(Q303=1,IF(F303&lt;=E303,1,0),0)</f>
        <v/>
      </c>
      <c r="T303" s="51">
        <f>IF(Q303=1,IF(H303&gt;=G303,1,0),0)</f>
        <v/>
      </c>
      <c r="U303" s="51">
        <f>S303*T303</f>
        <v/>
      </c>
      <c r="V303" s="51">
        <f>IF(Q303=1,MAX(0,F303-E303),0)</f>
        <v/>
      </c>
    </row>
    <row r="304">
      <c r="A304" s="43" t="inlineStr">
        <is>
          <t>PO100797</t>
        </is>
      </c>
      <c r="B304" s="43" t="inlineStr">
        <is>
          <t>CMD-0036</t>
        </is>
      </c>
      <c r="C304" s="43" t="inlineStr">
        <is>
          <t>S04</t>
        </is>
      </c>
      <c r="D304" s="47" t="n">
        <v>45662</v>
      </c>
      <c r="E304" s="47" t="n">
        <v>45704</v>
      </c>
      <c r="F304" s="47" t="n">
        <v>45704</v>
      </c>
      <c r="G304" s="46" t="n">
        <v>584</v>
      </c>
      <c r="H304" s="46" t="n">
        <v>584</v>
      </c>
      <c r="I304" s="46" t="n">
        <v>8</v>
      </c>
      <c r="J304" s="44" t="n">
        <v>12.36</v>
      </c>
      <c r="K304" s="43" t="inlineStr">
        <is>
          <t>Received</t>
        </is>
      </c>
      <c r="L304" s="17">
        <f>INDEX(Items!$C$2:$C$117,MATCH(B304,Items!$A$2:$A$117,0))</f>
        <v/>
      </c>
      <c r="M304" s="49">
        <f>INDEX(Items!$E$2:$E$117,MATCH(B304,Items!$A$2:$A$117,0))</f>
        <v/>
      </c>
      <c r="N304" s="17">
        <f>TEXT(D304,"yyyy-mm")</f>
        <v/>
      </c>
      <c r="O304" s="50">
        <f>G304*J304</f>
        <v/>
      </c>
      <c r="P304" s="50">
        <f>(J304-M304)*G304</f>
        <v/>
      </c>
      <c r="Q304" s="51">
        <f>IF(K304="Received",1,0)</f>
        <v/>
      </c>
      <c r="R304" s="51">
        <f>IF(Q304=1,F304-D304,0)</f>
        <v/>
      </c>
      <c r="S304" s="51">
        <f>IF(Q304=1,IF(F304&lt;=E304,1,0),0)</f>
        <v/>
      </c>
      <c r="T304" s="51">
        <f>IF(Q304=1,IF(H304&gt;=G304,1,0),0)</f>
        <v/>
      </c>
      <c r="U304" s="51">
        <f>S304*T304</f>
        <v/>
      </c>
      <c r="V304" s="51">
        <f>IF(Q304=1,MAX(0,F304-E304),0)</f>
        <v/>
      </c>
    </row>
    <row r="305">
      <c r="A305" s="43" t="inlineStr">
        <is>
          <t>PO100749</t>
        </is>
      </c>
      <c r="B305" s="43" t="inlineStr">
        <is>
          <t>CMD-0034</t>
        </is>
      </c>
      <c r="C305" s="43" t="inlineStr">
        <is>
          <t>S04</t>
        </is>
      </c>
      <c r="D305" s="47" t="n">
        <v>45662</v>
      </c>
      <c r="E305" s="47" t="n">
        <v>45704</v>
      </c>
      <c r="F305" s="47" t="n">
        <v>45702</v>
      </c>
      <c r="G305" s="46" t="n">
        <v>679</v>
      </c>
      <c r="H305" s="46" t="n">
        <v>679</v>
      </c>
      <c r="I305" s="46" t="n">
        <v>6</v>
      </c>
      <c r="J305" s="44" t="n">
        <v>10.55</v>
      </c>
      <c r="K305" s="43" t="inlineStr">
        <is>
          <t>Received</t>
        </is>
      </c>
      <c r="L305" s="17">
        <f>INDEX(Items!$C$2:$C$117,MATCH(B305,Items!$A$2:$A$117,0))</f>
        <v/>
      </c>
      <c r="M305" s="49">
        <f>INDEX(Items!$E$2:$E$117,MATCH(B305,Items!$A$2:$A$117,0))</f>
        <v/>
      </c>
      <c r="N305" s="17">
        <f>TEXT(D305,"yyyy-mm")</f>
        <v/>
      </c>
      <c r="O305" s="50">
        <f>G305*J305</f>
        <v/>
      </c>
      <c r="P305" s="50">
        <f>(J305-M305)*G305</f>
        <v/>
      </c>
      <c r="Q305" s="51">
        <f>IF(K305="Received",1,0)</f>
        <v/>
      </c>
      <c r="R305" s="51">
        <f>IF(Q305=1,F305-D305,0)</f>
        <v/>
      </c>
      <c r="S305" s="51">
        <f>IF(Q305=1,IF(F305&lt;=E305,1,0),0)</f>
        <v/>
      </c>
      <c r="T305" s="51">
        <f>IF(Q305=1,IF(H305&gt;=G305,1,0),0)</f>
        <v/>
      </c>
      <c r="U305" s="51">
        <f>S305*T305</f>
        <v/>
      </c>
      <c r="V305" s="51">
        <f>IF(Q305=1,MAX(0,F305-E305),0)</f>
        <v/>
      </c>
    </row>
    <row r="306">
      <c r="A306" s="43" t="inlineStr">
        <is>
          <t>PO100523</t>
        </is>
      </c>
      <c r="B306" s="43" t="inlineStr">
        <is>
          <t>CMD-0024</t>
        </is>
      </c>
      <c r="C306" s="43" t="inlineStr">
        <is>
          <t>S04</t>
        </is>
      </c>
      <c r="D306" s="47" t="n">
        <v>45662</v>
      </c>
      <c r="E306" s="47" t="n">
        <v>45732</v>
      </c>
      <c r="F306" s="47" t="n">
        <v>45731</v>
      </c>
      <c r="G306" s="46" t="n">
        <v>4689</v>
      </c>
      <c r="H306" s="46" t="n">
        <v>4689</v>
      </c>
      <c r="I306" s="46" t="n">
        <v>38</v>
      </c>
      <c r="J306" s="44" t="n">
        <v>3.31</v>
      </c>
      <c r="K306" s="43" t="inlineStr">
        <is>
          <t>Received</t>
        </is>
      </c>
      <c r="L306" s="17">
        <f>INDEX(Items!$C$2:$C$117,MATCH(B306,Items!$A$2:$A$117,0))</f>
        <v/>
      </c>
      <c r="M306" s="49">
        <f>INDEX(Items!$E$2:$E$117,MATCH(B306,Items!$A$2:$A$117,0))</f>
        <v/>
      </c>
      <c r="N306" s="17">
        <f>TEXT(D306,"yyyy-mm")</f>
        <v/>
      </c>
      <c r="O306" s="50">
        <f>G306*J306</f>
        <v/>
      </c>
      <c r="P306" s="50">
        <f>(J306-M306)*G306</f>
        <v/>
      </c>
      <c r="Q306" s="51">
        <f>IF(K306="Received",1,0)</f>
        <v/>
      </c>
      <c r="R306" s="51">
        <f>IF(Q306=1,F306-D306,0)</f>
        <v/>
      </c>
      <c r="S306" s="51">
        <f>IF(Q306=1,IF(F306&lt;=E306,1,0),0)</f>
        <v/>
      </c>
      <c r="T306" s="51">
        <f>IF(Q306=1,IF(H306&gt;=G306,1,0),0)</f>
        <v/>
      </c>
      <c r="U306" s="51">
        <f>S306*T306</f>
        <v/>
      </c>
      <c r="V306" s="51">
        <f>IF(Q306=1,MAX(0,F306-E306),0)</f>
        <v/>
      </c>
    </row>
    <row r="307">
      <c r="A307" s="43" t="inlineStr">
        <is>
          <t>PO100725</t>
        </is>
      </c>
      <c r="B307" s="43" t="inlineStr">
        <is>
          <t>CMD-0033</t>
        </is>
      </c>
      <c r="C307" s="43" t="inlineStr">
        <is>
          <t>S07</t>
        </is>
      </c>
      <c r="D307" s="47" t="n">
        <v>45663</v>
      </c>
      <c r="E307" s="47" t="n">
        <v>45705</v>
      </c>
      <c r="F307" s="47" t="n">
        <v>45705</v>
      </c>
      <c r="G307" s="46" t="n">
        <v>3124</v>
      </c>
      <c r="H307" s="46" t="n">
        <v>3124</v>
      </c>
      <c r="I307" s="46" t="n">
        <v>25</v>
      </c>
      <c r="J307" s="44" t="n">
        <v>58.36</v>
      </c>
      <c r="K307" s="43" t="inlineStr">
        <is>
          <t>Received</t>
        </is>
      </c>
      <c r="L307" s="17">
        <f>INDEX(Items!$C$2:$C$117,MATCH(B307,Items!$A$2:$A$117,0))</f>
        <v/>
      </c>
      <c r="M307" s="49">
        <f>INDEX(Items!$E$2:$E$117,MATCH(B307,Items!$A$2:$A$117,0))</f>
        <v/>
      </c>
      <c r="N307" s="17">
        <f>TEXT(D307,"yyyy-mm")</f>
        <v/>
      </c>
      <c r="O307" s="50">
        <f>G307*J307</f>
        <v/>
      </c>
      <c r="P307" s="50">
        <f>(J307-M307)*G307</f>
        <v/>
      </c>
      <c r="Q307" s="51">
        <f>IF(K307="Received",1,0)</f>
        <v/>
      </c>
      <c r="R307" s="51">
        <f>IF(Q307=1,F307-D307,0)</f>
        <v/>
      </c>
      <c r="S307" s="51">
        <f>IF(Q307=1,IF(F307&lt;=E307,1,0),0)</f>
        <v/>
      </c>
      <c r="T307" s="51">
        <f>IF(Q307=1,IF(H307&gt;=G307,1,0),0)</f>
        <v/>
      </c>
      <c r="U307" s="51">
        <f>S307*T307</f>
        <v/>
      </c>
      <c r="V307" s="51">
        <f>IF(Q307=1,MAX(0,F307-E307),0)</f>
        <v/>
      </c>
    </row>
    <row r="308">
      <c r="A308" s="43" t="inlineStr">
        <is>
          <t>PO100821</t>
        </is>
      </c>
      <c r="B308" s="43" t="inlineStr">
        <is>
          <t>CMD-0037</t>
        </is>
      </c>
      <c r="C308" s="43" t="inlineStr">
        <is>
          <t>S07</t>
        </is>
      </c>
      <c r="D308" s="47" t="n">
        <v>45663</v>
      </c>
      <c r="E308" s="47" t="n">
        <v>45705</v>
      </c>
      <c r="F308" s="47" t="n">
        <v>45702</v>
      </c>
      <c r="G308" s="46" t="n">
        <v>431</v>
      </c>
      <c r="H308" s="46" t="n">
        <v>431</v>
      </c>
      <c r="I308" s="46" t="n">
        <v>5</v>
      </c>
      <c r="J308" s="44" t="n">
        <v>53.62</v>
      </c>
      <c r="K308" s="43" t="inlineStr">
        <is>
          <t>Received</t>
        </is>
      </c>
      <c r="L308" s="17">
        <f>INDEX(Items!$C$2:$C$117,MATCH(B308,Items!$A$2:$A$117,0))</f>
        <v/>
      </c>
      <c r="M308" s="49">
        <f>INDEX(Items!$E$2:$E$117,MATCH(B308,Items!$A$2:$A$117,0))</f>
        <v/>
      </c>
      <c r="N308" s="17">
        <f>TEXT(D308,"yyyy-mm")</f>
        <v/>
      </c>
      <c r="O308" s="50">
        <f>G308*J308</f>
        <v/>
      </c>
      <c r="P308" s="50">
        <f>(J308-M308)*G308</f>
        <v/>
      </c>
      <c r="Q308" s="51">
        <f>IF(K308="Received",1,0)</f>
        <v/>
      </c>
      <c r="R308" s="51">
        <f>IF(Q308=1,F308-D308,0)</f>
        <v/>
      </c>
      <c r="S308" s="51">
        <f>IF(Q308=1,IF(F308&lt;=E308,1,0),0)</f>
        <v/>
      </c>
      <c r="T308" s="51">
        <f>IF(Q308=1,IF(H308&gt;=G308,1,0),0)</f>
        <v/>
      </c>
      <c r="U308" s="51">
        <f>S308*T308</f>
        <v/>
      </c>
      <c r="V308" s="51">
        <f>IF(Q308=1,MAX(0,F308-E308),0)</f>
        <v/>
      </c>
    </row>
    <row r="309">
      <c r="A309" s="43" t="inlineStr">
        <is>
          <t>PO101621</t>
        </is>
      </c>
      <c r="B309" s="43" t="inlineStr">
        <is>
          <t>CMD-0090</t>
        </is>
      </c>
      <c r="C309" s="43" t="inlineStr">
        <is>
          <t>S01</t>
        </is>
      </c>
      <c r="D309" s="47" t="n">
        <v>45663</v>
      </c>
      <c r="E309" s="47" t="n">
        <v>45677</v>
      </c>
      <c r="F309" s="47" t="n">
        <v>45677</v>
      </c>
      <c r="G309" s="46" t="n">
        <v>4494</v>
      </c>
      <c r="H309" s="46" t="n">
        <v>4494</v>
      </c>
      <c r="I309" s="46" t="n">
        <v>7</v>
      </c>
      <c r="J309" s="44" t="n">
        <v>6.99</v>
      </c>
      <c r="K309" s="43" t="inlineStr">
        <is>
          <t>Received</t>
        </is>
      </c>
      <c r="L309" s="17">
        <f>INDEX(Items!$C$2:$C$117,MATCH(B309,Items!$A$2:$A$117,0))</f>
        <v/>
      </c>
      <c r="M309" s="49">
        <f>INDEX(Items!$E$2:$E$117,MATCH(B309,Items!$A$2:$A$117,0))</f>
        <v/>
      </c>
      <c r="N309" s="17">
        <f>TEXT(D309,"yyyy-mm")</f>
        <v/>
      </c>
      <c r="O309" s="50">
        <f>G309*J309</f>
        <v/>
      </c>
      <c r="P309" s="50">
        <f>(J309-M309)*G309</f>
        <v/>
      </c>
      <c r="Q309" s="51">
        <f>IF(K309="Received",1,0)</f>
        <v/>
      </c>
      <c r="R309" s="51">
        <f>IF(Q309=1,F309-D309,0)</f>
        <v/>
      </c>
      <c r="S309" s="51">
        <f>IF(Q309=1,IF(F309&lt;=E309,1,0),0)</f>
        <v/>
      </c>
      <c r="T309" s="51">
        <f>IF(Q309=1,IF(H309&gt;=G309,1,0),0)</f>
        <v/>
      </c>
      <c r="U309" s="51">
        <f>S309*T309</f>
        <v/>
      </c>
      <c r="V309" s="51">
        <f>IF(Q309=1,MAX(0,F309-E309),0)</f>
        <v/>
      </c>
    </row>
    <row r="310">
      <c r="A310" s="43" t="inlineStr">
        <is>
          <t>PO101009</t>
        </is>
      </c>
      <c r="B310" s="43" t="inlineStr">
        <is>
          <t>CMD-0046</t>
        </is>
      </c>
      <c r="C310" s="43" t="inlineStr">
        <is>
          <t>S05</t>
        </is>
      </c>
      <c r="D310" s="47" t="n">
        <v>45663</v>
      </c>
      <c r="E310" s="47" t="n">
        <v>45768</v>
      </c>
      <c r="F310" s="47" t="n">
        <v>45806</v>
      </c>
      <c r="G310" s="46" t="n">
        <v>9144</v>
      </c>
      <c r="H310" s="46" t="n">
        <v>9144</v>
      </c>
      <c r="I310" s="46" t="n">
        <v>161</v>
      </c>
      <c r="J310" s="44" t="n">
        <v>10.57</v>
      </c>
      <c r="K310" s="43" t="inlineStr">
        <is>
          <t>Received</t>
        </is>
      </c>
      <c r="L310" s="17">
        <f>INDEX(Items!$C$2:$C$117,MATCH(B310,Items!$A$2:$A$117,0))</f>
        <v/>
      </c>
      <c r="M310" s="49">
        <f>INDEX(Items!$E$2:$E$117,MATCH(B310,Items!$A$2:$A$117,0))</f>
        <v/>
      </c>
      <c r="N310" s="17">
        <f>TEXT(D310,"yyyy-mm")</f>
        <v/>
      </c>
      <c r="O310" s="50">
        <f>G310*J310</f>
        <v/>
      </c>
      <c r="P310" s="50">
        <f>(J310-M310)*G310</f>
        <v/>
      </c>
      <c r="Q310" s="51">
        <f>IF(K310="Received",1,0)</f>
        <v/>
      </c>
      <c r="R310" s="51">
        <f>IF(Q310=1,F310-D310,0)</f>
        <v/>
      </c>
      <c r="S310" s="51">
        <f>IF(Q310=1,IF(F310&lt;=E310,1,0),0)</f>
        <v/>
      </c>
      <c r="T310" s="51">
        <f>IF(Q310=1,IF(H310&gt;=G310,1,0),0)</f>
        <v/>
      </c>
      <c r="U310" s="51">
        <f>S310*T310</f>
        <v/>
      </c>
      <c r="V310" s="51">
        <f>IF(Q310=1,MAX(0,F310-E310),0)</f>
        <v/>
      </c>
    </row>
    <row r="311">
      <c r="A311" s="43" t="inlineStr">
        <is>
          <t>PO101311</t>
        </is>
      </c>
      <c r="B311" s="43" t="inlineStr">
        <is>
          <t>CMD-0065</t>
        </is>
      </c>
      <c r="C311" s="43" t="inlineStr">
        <is>
          <t>S10</t>
        </is>
      </c>
      <c r="D311" s="47" t="n">
        <v>45663</v>
      </c>
      <c r="E311" s="47" t="n">
        <v>45691</v>
      </c>
      <c r="F311" s="47" t="n">
        <v>45710</v>
      </c>
      <c r="G311" s="46" t="n">
        <v>106275</v>
      </c>
      <c r="H311" s="46" t="n">
        <v>106275</v>
      </c>
      <c r="I311" s="46" t="n">
        <v>119</v>
      </c>
      <c r="J311" s="44" t="n">
        <v>0.1155</v>
      </c>
      <c r="K311" s="43" t="inlineStr">
        <is>
          <t>Received</t>
        </is>
      </c>
      <c r="L311" s="17">
        <f>INDEX(Items!$C$2:$C$117,MATCH(B311,Items!$A$2:$A$117,0))</f>
        <v/>
      </c>
      <c r="M311" s="49">
        <f>INDEX(Items!$E$2:$E$117,MATCH(B311,Items!$A$2:$A$117,0))</f>
        <v/>
      </c>
      <c r="N311" s="17">
        <f>TEXT(D311,"yyyy-mm")</f>
        <v/>
      </c>
      <c r="O311" s="50">
        <f>G311*J311</f>
        <v/>
      </c>
      <c r="P311" s="50">
        <f>(J311-M311)*G311</f>
        <v/>
      </c>
      <c r="Q311" s="51">
        <f>IF(K311="Received",1,0)</f>
        <v/>
      </c>
      <c r="R311" s="51">
        <f>IF(Q311=1,F311-D311,0)</f>
        <v/>
      </c>
      <c r="S311" s="51">
        <f>IF(Q311=1,IF(F311&lt;=E311,1,0),0)</f>
        <v/>
      </c>
      <c r="T311" s="51">
        <f>IF(Q311=1,IF(H311&gt;=G311,1,0),0)</f>
        <v/>
      </c>
      <c r="U311" s="51">
        <f>S311*T311</f>
        <v/>
      </c>
      <c r="V311" s="51">
        <f>IF(Q311=1,MAX(0,F311-E311),0)</f>
        <v/>
      </c>
    </row>
    <row r="312">
      <c r="A312" s="43" t="inlineStr">
        <is>
          <t>PO101279</t>
        </is>
      </c>
      <c r="B312" s="43" t="inlineStr">
        <is>
          <t>CMD-0062</t>
        </is>
      </c>
      <c r="C312" s="43" t="inlineStr">
        <is>
          <t>S01</t>
        </is>
      </c>
      <c r="D312" s="47" t="n">
        <v>45663</v>
      </c>
      <c r="E312" s="47" t="n">
        <v>45684</v>
      </c>
      <c r="F312" s="47" t="n">
        <v>45683</v>
      </c>
      <c r="G312" s="46" t="n">
        <v>85290</v>
      </c>
      <c r="H312" s="46" t="n">
        <v>85290</v>
      </c>
      <c r="I312" s="46" t="n">
        <v>150</v>
      </c>
      <c r="J312" s="44" t="n">
        <v>0.1139</v>
      </c>
      <c r="K312" s="43" t="inlineStr">
        <is>
          <t>Received</t>
        </is>
      </c>
      <c r="L312" s="17">
        <f>INDEX(Items!$C$2:$C$117,MATCH(B312,Items!$A$2:$A$117,0))</f>
        <v/>
      </c>
      <c r="M312" s="49">
        <f>INDEX(Items!$E$2:$E$117,MATCH(B312,Items!$A$2:$A$117,0))</f>
        <v/>
      </c>
      <c r="N312" s="17">
        <f>TEXT(D312,"yyyy-mm")</f>
        <v/>
      </c>
      <c r="O312" s="50">
        <f>G312*J312</f>
        <v/>
      </c>
      <c r="P312" s="50">
        <f>(J312-M312)*G312</f>
        <v/>
      </c>
      <c r="Q312" s="51">
        <f>IF(K312="Received",1,0)</f>
        <v/>
      </c>
      <c r="R312" s="51">
        <f>IF(Q312=1,F312-D312,0)</f>
        <v/>
      </c>
      <c r="S312" s="51">
        <f>IF(Q312=1,IF(F312&lt;=E312,1,0),0)</f>
        <v/>
      </c>
      <c r="T312" s="51">
        <f>IF(Q312=1,IF(H312&gt;=G312,1,0),0)</f>
        <v/>
      </c>
      <c r="U312" s="51">
        <f>S312*T312</f>
        <v/>
      </c>
      <c r="V312" s="51">
        <f>IF(Q312=1,MAX(0,F312-E312),0)</f>
        <v/>
      </c>
    </row>
    <row r="313">
      <c r="A313" s="43" t="inlineStr">
        <is>
          <t>PO101231</t>
        </is>
      </c>
      <c r="B313" s="43" t="inlineStr">
        <is>
          <t>CMD-0058</t>
        </is>
      </c>
      <c r="C313" s="43" t="inlineStr">
        <is>
          <t>S04</t>
        </is>
      </c>
      <c r="D313" s="47" t="n">
        <v>45663</v>
      </c>
      <c r="E313" s="47" t="n">
        <v>45698</v>
      </c>
      <c r="F313" s="47" t="n">
        <v>45715</v>
      </c>
      <c r="G313" s="46" t="n">
        <v>64490</v>
      </c>
      <c r="H313" s="46" t="n">
        <v>64490</v>
      </c>
      <c r="I313" s="46" t="n">
        <v>660</v>
      </c>
      <c r="J313" s="44" t="n">
        <v>0.1178</v>
      </c>
      <c r="K313" s="43" t="inlineStr">
        <is>
          <t>Received</t>
        </is>
      </c>
      <c r="L313" s="17">
        <f>INDEX(Items!$C$2:$C$117,MATCH(B313,Items!$A$2:$A$117,0))</f>
        <v/>
      </c>
      <c r="M313" s="49">
        <f>INDEX(Items!$E$2:$E$117,MATCH(B313,Items!$A$2:$A$117,0))</f>
        <v/>
      </c>
      <c r="N313" s="17">
        <f>TEXT(D313,"yyyy-mm")</f>
        <v/>
      </c>
      <c r="O313" s="50">
        <f>G313*J313</f>
        <v/>
      </c>
      <c r="P313" s="50">
        <f>(J313-M313)*G313</f>
        <v/>
      </c>
      <c r="Q313" s="51">
        <f>IF(K313="Received",1,0)</f>
        <v/>
      </c>
      <c r="R313" s="51">
        <f>IF(Q313=1,F313-D313,0)</f>
        <v/>
      </c>
      <c r="S313" s="51">
        <f>IF(Q313=1,IF(F313&lt;=E313,1,0),0)</f>
        <v/>
      </c>
      <c r="T313" s="51">
        <f>IF(Q313=1,IF(H313&gt;=G313,1,0),0)</f>
        <v/>
      </c>
      <c r="U313" s="51">
        <f>S313*T313</f>
        <v/>
      </c>
      <c r="V313" s="51">
        <f>IF(Q313=1,MAX(0,F313-E313),0)</f>
        <v/>
      </c>
    </row>
    <row r="314">
      <c r="A314" s="43" t="inlineStr">
        <is>
          <t>PO100295</t>
        </is>
      </c>
      <c r="B314" s="43" t="inlineStr">
        <is>
          <t>CMD-0014</t>
        </is>
      </c>
      <c r="C314" s="43" t="inlineStr">
        <is>
          <t>S03</t>
        </is>
      </c>
      <c r="D314" s="47" t="n">
        <v>45664</v>
      </c>
      <c r="E314" s="47" t="n">
        <v>45797</v>
      </c>
      <c r="F314" s="47" t="n">
        <v>45795</v>
      </c>
      <c r="G314" s="46" t="n">
        <v>4136</v>
      </c>
      <c r="H314" s="46" t="n">
        <v>4136</v>
      </c>
      <c r="I314" s="46" t="n">
        <v>24</v>
      </c>
      <c r="J314" s="44" t="n">
        <v>12.62</v>
      </c>
      <c r="K314" s="43" t="inlineStr">
        <is>
          <t>Received</t>
        </is>
      </c>
      <c r="L314" s="17">
        <f>INDEX(Items!$C$2:$C$117,MATCH(B314,Items!$A$2:$A$117,0))</f>
        <v/>
      </c>
      <c r="M314" s="49">
        <f>INDEX(Items!$E$2:$E$117,MATCH(B314,Items!$A$2:$A$117,0))</f>
        <v/>
      </c>
      <c r="N314" s="17">
        <f>TEXT(D314,"yyyy-mm")</f>
        <v/>
      </c>
      <c r="O314" s="50">
        <f>G314*J314</f>
        <v/>
      </c>
      <c r="P314" s="50">
        <f>(J314-M314)*G314</f>
        <v/>
      </c>
      <c r="Q314" s="51">
        <f>IF(K314="Received",1,0)</f>
        <v/>
      </c>
      <c r="R314" s="51">
        <f>IF(Q314=1,F314-D314,0)</f>
        <v/>
      </c>
      <c r="S314" s="51">
        <f>IF(Q314=1,IF(F314&lt;=E314,1,0),0)</f>
        <v/>
      </c>
      <c r="T314" s="51">
        <f>IF(Q314=1,IF(H314&gt;=G314,1,0),0)</f>
        <v/>
      </c>
      <c r="U314" s="51">
        <f>S314*T314</f>
        <v/>
      </c>
      <c r="V314" s="51">
        <f>IF(Q314=1,MAX(0,F314-E314),0)</f>
        <v/>
      </c>
    </row>
    <row r="315">
      <c r="A315" s="43" t="inlineStr">
        <is>
          <t>PO100619</t>
        </is>
      </c>
      <c r="B315" s="43" t="inlineStr">
        <is>
          <t>CMD-0028</t>
        </is>
      </c>
      <c r="C315" s="43" t="inlineStr">
        <is>
          <t>S11</t>
        </is>
      </c>
      <c r="D315" s="47" t="n">
        <v>45664</v>
      </c>
      <c r="E315" s="47" t="n">
        <v>45741</v>
      </c>
      <c r="F315" s="47" t="n">
        <v>45741</v>
      </c>
      <c r="G315" s="46" t="n">
        <v>3512</v>
      </c>
      <c r="H315" s="46" t="n">
        <v>3512</v>
      </c>
      <c r="I315" s="46" t="n">
        <v>5</v>
      </c>
      <c r="J315" s="44" t="n">
        <v>15.84</v>
      </c>
      <c r="K315" s="43" t="inlineStr">
        <is>
          <t>Received</t>
        </is>
      </c>
      <c r="L315" s="17">
        <f>INDEX(Items!$C$2:$C$117,MATCH(B315,Items!$A$2:$A$117,0))</f>
        <v/>
      </c>
      <c r="M315" s="49">
        <f>INDEX(Items!$E$2:$E$117,MATCH(B315,Items!$A$2:$A$117,0))</f>
        <v/>
      </c>
      <c r="N315" s="17">
        <f>TEXT(D315,"yyyy-mm")</f>
        <v/>
      </c>
      <c r="O315" s="50">
        <f>G315*J315</f>
        <v/>
      </c>
      <c r="P315" s="50">
        <f>(J315-M315)*G315</f>
        <v/>
      </c>
      <c r="Q315" s="51">
        <f>IF(K315="Received",1,0)</f>
        <v/>
      </c>
      <c r="R315" s="51">
        <f>IF(Q315=1,F315-D315,0)</f>
        <v/>
      </c>
      <c r="S315" s="51">
        <f>IF(Q315=1,IF(F315&lt;=E315,1,0),0)</f>
        <v/>
      </c>
      <c r="T315" s="51">
        <f>IF(Q315=1,IF(H315&gt;=G315,1,0),0)</f>
        <v/>
      </c>
      <c r="U315" s="51">
        <f>S315*T315</f>
        <v/>
      </c>
      <c r="V315" s="51">
        <f>IF(Q315=1,MAX(0,F315-E315),0)</f>
        <v/>
      </c>
    </row>
    <row r="316">
      <c r="A316" s="43" t="inlineStr">
        <is>
          <t>PO100595</t>
        </is>
      </c>
      <c r="B316" s="43" t="inlineStr">
        <is>
          <t>CMD-0027</t>
        </is>
      </c>
      <c r="C316" s="43" t="inlineStr">
        <is>
          <t>S04</t>
        </is>
      </c>
      <c r="D316" s="47" t="n">
        <v>45664</v>
      </c>
      <c r="E316" s="47" t="n">
        <v>45734</v>
      </c>
      <c r="F316" s="47" t="n">
        <v>45731</v>
      </c>
      <c r="G316" s="46" t="n">
        <v>7369</v>
      </c>
      <c r="H316" s="46" t="n">
        <v>7369</v>
      </c>
      <c r="I316" s="46" t="n">
        <v>75</v>
      </c>
      <c r="J316" s="44" t="n">
        <v>8.85</v>
      </c>
      <c r="K316" s="43" t="inlineStr">
        <is>
          <t>Received</t>
        </is>
      </c>
      <c r="L316" s="17">
        <f>INDEX(Items!$C$2:$C$117,MATCH(B316,Items!$A$2:$A$117,0))</f>
        <v/>
      </c>
      <c r="M316" s="49">
        <f>INDEX(Items!$E$2:$E$117,MATCH(B316,Items!$A$2:$A$117,0))</f>
        <v/>
      </c>
      <c r="N316" s="17">
        <f>TEXT(D316,"yyyy-mm")</f>
        <v/>
      </c>
      <c r="O316" s="50">
        <f>G316*J316</f>
        <v/>
      </c>
      <c r="P316" s="50">
        <f>(J316-M316)*G316</f>
        <v/>
      </c>
      <c r="Q316" s="51">
        <f>IF(K316="Received",1,0)</f>
        <v/>
      </c>
      <c r="R316" s="51">
        <f>IF(Q316=1,F316-D316,0)</f>
        <v/>
      </c>
      <c r="S316" s="51">
        <f>IF(Q316=1,IF(F316&lt;=E316,1,0),0)</f>
        <v/>
      </c>
      <c r="T316" s="51">
        <f>IF(Q316=1,IF(H316&gt;=G316,1,0),0)</f>
        <v/>
      </c>
      <c r="U316" s="51">
        <f>S316*T316</f>
        <v/>
      </c>
      <c r="V316" s="51">
        <f>IF(Q316=1,MAX(0,F316-E316),0)</f>
        <v/>
      </c>
    </row>
    <row r="317">
      <c r="A317" s="43" t="inlineStr">
        <is>
          <t>PO101055</t>
        </is>
      </c>
      <c r="B317" s="43" t="inlineStr">
        <is>
          <t>CMD-0048</t>
        </is>
      </c>
      <c r="C317" s="43" t="inlineStr">
        <is>
          <t>S10</t>
        </is>
      </c>
      <c r="D317" s="47" t="n">
        <v>45664</v>
      </c>
      <c r="E317" s="47" t="n">
        <v>45692</v>
      </c>
      <c r="F317" s="47" t="n">
        <v>45706</v>
      </c>
      <c r="G317" s="46" t="n">
        <v>16427</v>
      </c>
      <c r="H317" s="46" t="n">
        <v>16427</v>
      </c>
      <c r="I317" s="46" t="n">
        <v>16</v>
      </c>
      <c r="J317" s="44" t="n">
        <v>0.3231</v>
      </c>
      <c r="K317" s="43" t="inlineStr">
        <is>
          <t>Received</t>
        </is>
      </c>
      <c r="L317" s="17">
        <f>INDEX(Items!$C$2:$C$117,MATCH(B317,Items!$A$2:$A$117,0))</f>
        <v/>
      </c>
      <c r="M317" s="49">
        <f>INDEX(Items!$E$2:$E$117,MATCH(B317,Items!$A$2:$A$117,0))</f>
        <v/>
      </c>
      <c r="N317" s="17">
        <f>TEXT(D317,"yyyy-mm")</f>
        <v/>
      </c>
      <c r="O317" s="50">
        <f>G317*J317</f>
        <v/>
      </c>
      <c r="P317" s="50">
        <f>(J317-M317)*G317</f>
        <v/>
      </c>
      <c r="Q317" s="51">
        <f>IF(K317="Received",1,0)</f>
        <v/>
      </c>
      <c r="R317" s="51">
        <f>IF(Q317=1,F317-D317,0)</f>
        <v/>
      </c>
      <c r="S317" s="51">
        <f>IF(Q317=1,IF(F317&lt;=E317,1,0),0)</f>
        <v/>
      </c>
      <c r="T317" s="51">
        <f>IF(Q317=1,IF(H317&gt;=G317,1,0),0)</f>
        <v/>
      </c>
      <c r="U317" s="51">
        <f>S317*T317</f>
        <v/>
      </c>
      <c r="V317" s="51">
        <f>IF(Q317=1,MAX(0,F317-E317),0)</f>
        <v/>
      </c>
    </row>
    <row r="318">
      <c r="A318" s="43" t="inlineStr">
        <is>
          <t>PO100195</t>
        </is>
      </c>
      <c r="B318" s="43" t="inlineStr">
        <is>
          <t>CMD-0009</t>
        </is>
      </c>
      <c r="C318" s="43" t="inlineStr">
        <is>
          <t>S11</t>
        </is>
      </c>
      <c r="D318" s="47" t="n">
        <v>45664</v>
      </c>
      <c r="E318" s="47" t="n">
        <v>45783</v>
      </c>
      <c r="F318" s="47" t="n">
        <v>45780</v>
      </c>
      <c r="G318" s="46" t="n">
        <v>7811</v>
      </c>
      <c r="H318" s="46" t="n">
        <v>7811</v>
      </c>
      <c r="I318" s="46" t="n">
        <v>24</v>
      </c>
      <c r="J318" s="44" t="n">
        <v>6.29</v>
      </c>
      <c r="K318" s="43" t="inlineStr">
        <is>
          <t>Received</t>
        </is>
      </c>
      <c r="L318" s="17">
        <f>INDEX(Items!$C$2:$C$117,MATCH(B318,Items!$A$2:$A$117,0))</f>
        <v/>
      </c>
      <c r="M318" s="49">
        <f>INDEX(Items!$E$2:$E$117,MATCH(B318,Items!$A$2:$A$117,0))</f>
        <v/>
      </c>
      <c r="N318" s="17">
        <f>TEXT(D318,"yyyy-mm")</f>
        <v/>
      </c>
      <c r="O318" s="50">
        <f>G318*J318</f>
        <v/>
      </c>
      <c r="P318" s="50">
        <f>(J318-M318)*G318</f>
        <v/>
      </c>
      <c r="Q318" s="51">
        <f>IF(K318="Received",1,0)</f>
        <v/>
      </c>
      <c r="R318" s="51">
        <f>IF(Q318=1,F318-D318,0)</f>
        <v/>
      </c>
      <c r="S318" s="51">
        <f>IF(Q318=1,IF(F318&lt;=E318,1,0),0)</f>
        <v/>
      </c>
      <c r="T318" s="51">
        <f>IF(Q318=1,IF(H318&gt;=G318,1,0),0)</f>
        <v/>
      </c>
      <c r="U318" s="51">
        <f>S318*T318</f>
        <v/>
      </c>
      <c r="V318" s="51">
        <f>IF(Q318=1,MAX(0,F318-E318),0)</f>
        <v/>
      </c>
    </row>
    <row r="319">
      <c r="A319" s="43" t="inlineStr">
        <is>
          <t>PO100845</t>
        </is>
      </c>
      <c r="B319" s="43" t="inlineStr">
        <is>
          <t>CMD-0038</t>
        </is>
      </c>
      <c r="C319" s="43" t="inlineStr">
        <is>
          <t>S01</t>
        </is>
      </c>
      <c r="D319" s="47" t="n">
        <v>45664</v>
      </c>
      <c r="E319" s="47" t="n">
        <v>45692</v>
      </c>
      <c r="F319" s="47" t="n">
        <v>45692</v>
      </c>
      <c r="G319" s="46" t="n">
        <v>1116</v>
      </c>
      <c r="H319" s="46" t="n">
        <v>1116</v>
      </c>
      <c r="I319" s="46" t="n">
        <v>3</v>
      </c>
      <c r="J319" s="44" t="n">
        <v>21.49</v>
      </c>
      <c r="K319" s="43" t="inlineStr">
        <is>
          <t>Received</t>
        </is>
      </c>
      <c r="L319" s="17">
        <f>INDEX(Items!$C$2:$C$117,MATCH(B319,Items!$A$2:$A$117,0))</f>
        <v/>
      </c>
      <c r="M319" s="49">
        <f>INDEX(Items!$E$2:$E$117,MATCH(B319,Items!$A$2:$A$117,0))</f>
        <v/>
      </c>
      <c r="N319" s="17">
        <f>TEXT(D319,"yyyy-mm")</f>
        <v/>
      </c>
      <c r="O319" s="50">
        <f>G319*J319</f>
        <v/>
      </c>
      <c r="P319" s="50">
        <f>(J319-M319)*G319</f>
        <v/>
      </c>
      <c r="Q319" s="51">
        <f>IF(K319="Received",1,0)</f>
        <v/>
      </c>
      <c r="R319" s="51">
        <f>IF(Q319=1,F319-D319,0)</f>
        <v/>
      </c>
      <c r="S319" s="51">
        <f>IF(Q319=1,IF(F319&lt;=E319,1,0),0)</f>
        <v/>
      </c>
      <c r="T319" s="51">
        <f>IF(Q319=1,IF(H319&gt;=G319,1,0),0)</f>
        <v/>
      </c>
      <c r="U319" s="51">
        <f>S319*T319</f>
        <v/>
      </c>
      <c r="V319" s="51">
        <f>IF(Q319=1,MAX(0,F319-E319),0)</f>
        <v/>
      </c>
    </row>
    <row r="320">
      <c r="A320" s="43" t="inlineStr">
        <is>
          <t>PO100961</t>
        </is>
      </c>
      <c r="B320" s="43" t="inlineStr">
        <is>
          <t>CMD-0044</t>
        </is>
      </c>
      <c r="C320" s="43" t="inlineStr">
        <is>
          <t>S05</t>
        </is>
      </c>
      <c r="D320" s="47" t="n">
        <v>45665</v>
      </c>
      <c r="E320" s="47" t="n">
        <v>45770</v>
      </c>
      <c r="F320" s="47" t="n">
        <v>45769</v>
      </c>
      <c r="G320" s="46" t="n">
        <v>6951</v>
      </c>
      <c r="H320" s="46" t="n">
        <v>5203</v>
      </c>
      <c r="I320" s="46" t="n">
        <v>96</v>
      </c>
      <c r="J320" s="44" t="n">
        <v>11.57</v>
      </c>
      <c r="K320" s="43" t="inlineStr">
        <is>
          <t>Received</t>
        </is>
      </c>
      <c r="L320" s="17">
        <f>INDEX(Items!$C$2:$C$117,MATCH(B320,Items!$A$2:$A$117,0))</f>
        <v/>
      </c>
      <c r="M320" s="49">
        <f>INDEX(Items!$E$2:$E$117,MATCH(B320,Items!$A$2:$A$117,0))</f>
        <v/>
      </c>
      <c r="N320" s="17">
        <f>TEXT(D320,"yyyy-mm")</f>
        <v/>
      </c>
      <c r="O320" s="50">
        <f>G320*J320</f>
        <v/>
      </c>
      <c r="P320" s="50">
        <f>(J320-M320)*G320</f>
        <v/>
      </c>
      <c r="Q320" s="51">
        <f>IF(K320="Received",1,0)</f>
        <v/>
      </c>
      <c r="R320" s="51">
        <f>IF(Q320=1,F320-D320,0)</f>
        <v/>
      </c>
      <c r="S320" s="51">
        <f>IF(Q320=1,IF(F320&lt;=E320,1,0),0)</f>
        <v/>
      </c>
      <c r="T320" s="51">
        <f>IF(Q320=1,IF(H320&gt;=G320,1,0),0)</f>
        <v/>
      </c>
      <c r="U320" s="51">
        <f>S320*T320</f>
        <v/>
      </c>
      <c r="V320" s="51">
        <f>IF(Q320=1,MAX(0,F320-E320),0)</f>
        <v/>
      </c>
    </row>
    <row r="321">
      <c r="A321" s="43" t="inlineStr">
        <is>
          <t>PO100343</t>
        </is>
      </c>
      <c r="B321" s="43" t="inlineStr">
        <is>
          <t>CMD-0016</t>
        </is>
      </c>
      <c r="C321" s="43" t="inlineStr">
        <is>
          <t>S07</t>
        </is>
      </c>
      <c r="D321" s="47" t="n">
        <v>45665</v>
      </c>
      <c r="E321" s="47" t="n">
        <v>45756</v>
      </c>
      <c r="F321" s="47" t="n">
        <v>45755</v>
      </c>
      <c r="G321" s="46" t="n">
        <v>7145</v>
      </c>
      <c r="H321" s="46" t="n">
        <v>7145</v>
      </c>
      <c r="I321" s="46" t="n">
        <v>74</v>
      </c>
      <c r="J321" s="44" t="n">
        <v>27.02</v>
      </c>
      <c r="K321" s="43" t="inlineStr">
        <is>
          <t>Received</t>
        </is>
      </c>
      <c r="L321" s="17">
        <f>INDEX(Items!$C$2:$C$117,MATCH(B321,Items!$A$2:$A$117,0))</f>
        <v/>
      </c>
      <c r="M321" s="49">
        <f>INDEX(Items!$E$2:$E$117,MATCH(B321,Items!$A$2:$A$117,0))</f>
        <v/>
      </c>
      <c r="N321" s="17">
        <f>TEXT(D321,"yyyy-mm")</f>
        <v/>
      </c>
      <c r="O321" s="50">
        <f>G321*J321</f>
        <v/>
      </c>
      <c r="P321" s="50">
        <f>(J321-M321)*G321</f>
        <v/>
      </c>
      <c r="Q321" s="51">
        <f>IF(K321="Received",1,0)</f>
        <v/>
      </c>
      <c r="R321" s="51">
        <f>IF(Q321=1,F321-D321,0)</f>
        <v/>
      </c>
      <c r="S321" s="51">
        <f>IF(Q321=1,IF(F321&lt;=E321,1,0),0)</f>
        <v/>
      </c>
      <c r="T321" s="51">
        <f>IF(Q321=1,IF(H321&gt;=G321,1,0),0)</f>
        <v/>
      </c>
      <c r="U321" s="51">
        <f>S321*T321</f>
        <v/>
      </c>
      <c r="V321" s="51">
        <f>IF(Q321=1,MAX(0,F321-E321),0)</f>
        <v/>
      </c>
    </row>
    <row r="322">
      <c r="A322" s="43" t="inlineStr">
        <is>
          <t>PO100051</t>
        </is>
      </c>
      <c r="B322" s="43" t="inlineStr">
        <is>
          <t>CMD-0003</t>
        </is>
      </c>
      <c r="C322" s="43" t="inlineStr">
        <is>
          <t>S11</t>
        </is>
      </c>
      <c r="D322" s="47" t="n">
        <v>45665</v>
      </c>
      <c r="E322" s="47" t="n">
        <v>45784</v>
      </c>
      <c r="F322" s="47" t="n">
        <v>45784</v>
      </c>
      <c r="G322" s="46" t="n">
        <v>9410</v>
      </c>
      <c r="H322" s="46" t="n">
        <v>9410</v>
      </c>
      <c r="I322" s="46" t="n">
        <v>15</v>
      </c>
      <c r="J322" s="44" t="n">
        <v>21.49</v>
      </c>
      <c r="K322" s="43" t="inlineStr">
        <is>
          <t>Received</t>
        </is>
      </c>
      <c r="L322" s="17">
        <f>INDEX(Items!$C$2:$C$117,MATCH(B322,Items!$A$2:$A$117,0))</f>
        <v/>
      </c>
      <c r="M322" s="49">
        <f>INDEX(Items!$E$2:$E$117,MATCH(B322,Items!$A$2:$A$117,0))</f>
        <v/>
      </c>
      <c r="N322" s="17">
        <f>TEXT(D322,"yyyy-mm")</f>
        <v/>
      </c>
      <c r="O322" s="50">
        <f>G322*J322</f>
        <v/>
      </c>
      <c r="P322" s="50">
        <f>(J322-M322)*G322</f>
        <v/>
      </c>
      <c r="Q322" s="51">
        <f>IF(K322="Received",1,0)</f>
        <v/>
      </c>
      <c r="R322" s="51">
        <f>IF(Q322=1,F322-D322,0)</f>
        <v/>
      </c>
      <c r="S322" s="51">
        <f>IF(Q322=1,IF(F322&lt;=E322,1,0),0)</f>
        <v/>
      </c>
      <c r="T322" s="51">
        <f>IF(Q322=1,IF(H322&gt;=G322,1,0),0)</f>
        <v/>
      </c>
      <c r="U322" s="51">
        <f>S322*T322</f>
        <v/>
      </c>
      <c r="V322" s="51">
        <f>IF(Q322=1,MAX(0,F322-E322),0)</f>
        <v/>
      </c>
    </row>
    <row r="323">
      <c r="A323" s="43" t="inlineStr">
        <is>
          <t>PO100869</t>
        </is>
      </c>
      <c r="B323" s="43" t="inlineStr">
        <is>
          <t>CMD-0039</t>
        </is>
      </c>
      <c r="C323" s="43" t="inlineStr">
        <is>
          <t>S07</t>
        </is>
      </c>
      <c r="D323" s="47" t="n">
        <v>45665</v>
      </c>
      <c r="E323" s="47" t="n">
        <v>45707</v>
      </c>
      <c r="F323" s="47" t="n">
        <v>45705</v>
      </c>
      <c r="G323" s="46" t="n">
        <v>372</v>
      </c>
      <c r="H323" s="46" t="n">
        <v>372</v>
      </c>
      <c r="I323" s="46" t="n">
        <v>2</v>
      </c>
      <c r="J323" s="44" t="n">
        <v>51.99</v>
      </c>
      <c r="K323" s="43" t="inlineStr">
        <is>
          <t>Received</t>
        </is>
      </c>
      <c r="L323" s="17">
        <f>INDEX(Items!$C$2:$C$117,MATCH(B323,Items!$A$2:$A$117,0))</f>
        <v/>
      </c>
      <c r="M323" s="49">
        <f>INDEX(Items!$E$2:$E$117,MATCH(B323,Items!$A$2:$A$117,0))</f>
        <v/>
      </c>
      <c r="N323" s="17">
        <f>TEXT(D323,"yyyy-mm")</f>
        <v/>
      </c>
      <c r="O323" s="50">
        <f>G323*J323</f>
        <v/>
      </c>
      <c r="P323" s="50">
        <f>(J323-M323)*G323</f>
        <v/>
      </c>
      <c r="Q323" s="51">
        <f>IF(K323="Received",1,0)</f>
        <v/>
      </c>
      <c r="R323" s="51">
        <f>IF(Q323=1,F323-D323,0)</f>
        <v/>
      </c>
      <c r="S323" s="51">
        <f>IF(Q323=1,IF(F323&lt;=E323,1,0),0)</f>
        <v/>
      </c>
      <c r="T323" s="51">
        <f>IF(Q323=1,IF(H323&gt;=G323,1,0),0)</f>
        <v/>
      </c>
      <c r="U323" s="51">
        <f>S323*T323</f>
        <v/>
      </c>
      <c r="V323" s="51">
        <f>IF(Q323=1,MAX(0,F323-E323),0)</f>
        <v/>
      </c>
    </row>
    <row r="324">
      <c r="A324" s="43" t="inlineStr">
        <is>
          <t>PO100475</t>
        </is>
      </c>
      <c r="B324" s="43" t="inlineStr">
        <is>
          <t>CMD-0022</t>
        </is>
      </c>
      <c r="C324" s="43" t="inlineStr">
        <is>
          <t>S02</t>
        </is>
      </c>
      <c r="D324" s="47" t="n">
        <v>45665</v>
      </c>
      <c r="E324" s="47" t="n">
        <v>45721</v>
      </c>
      <c r="F324" s="47" t="n">
        <v>45719</v>
      </c>
      <c r="G324" s="46" t="n">
        <v>3475</v>
      </c>
      <c r="H324" s="46" t="n">
        <v>3475</v>
      </c>
      <c r="I324" s="46" t="n">
        <v>10</v>
      </c>
      <c r="J324" s="44" t="n">
        <v>17.18</v>
      </c>
      <c r="K324" s="43" t="inlineStr">
        <is>
          <t>Received</t>
        </is>
      </c>
      <c r="L324" s="17">
        <f>INDEX(Items!$C$2:$C$117,MATCH(B324,Items!$A$2:$A$117,0))</f>
        <v/>
      </c>
      <c r="M324" s="49">
        <f>INDEX(Items!$E$2:$E$117,MATCH(B324,Items!$A$2:$A$117,0))</f>
        <v/>
      </c>
      <c r="N324" s="17">
        <f>TEXT(D324,"yyyy-mm")</f>
        <v/>
      </c>
      <c r="O324" s="50">
        <f>G324*J324</f>
        <v/>
      </c>
      <c r="P324" s="50">
        <f>(J324-M324)*G324</f>
        <v/>
      </c>
      <c r="Q324" s="51">
        <f>IF(K324="Received",1,0)</f>
        <v/>
      </c>
      <c r="R324" s="51">
        <f>IF(Q324=1,F324-D324,0)</f>
        <v/>
      </c>
      <c r="S324" s="51">
        <f>IF(Q324=1,IF(F324&lt;=E324,1,0),0)</f>
        <v/>
      </c>
      <c r="T324" s="51">
        <f>IF(Q324=1,IF(H324&gt;=G324,1,0),0)</f>
        <v/>
      </c>
      <c r="U324" s="51">
        <f>S324*T324</f>
        <v/>
      </c>
      <c r="V324" s="51">
        <f>IF(Q324=1,MAX(0,F324-E324),0)</f>
        <v/>
      </c>
    </row>
    <row r="325">
      <c r="A325" s="43" t="inlineStr">
        <is>
          <t>PO101935</t>
        </is>
      </c>
      <c r="B325" s="43" t="inlineStr">
        <is>
          <t>CMD-0107</t>
        </is>
      </c>
      <c r="C325" s="43" t="inlineStr">
        <is>
          <t>S09</t>
        </is>
      </c>
      <c r="D325" s="47" t="n">
        <v>45665</v>
      </c>
      <c r="E325" s="47" t="n">
        <v>45686</v>
      </c>
      <c r="F325" s="47" t="n">
        <v>45684</v>
      </c>
      <c r="G325" s="46" t="n">
        <v>1168</v>
      </c>
      <c r="H325" s="46" t="n">
        <v>1168</v>
      </c>
      <c r="I325" s="46" t="n">
        <v>4</v>
      </c>
      <c r="J325" s="44" t="n">
        <v>6.95</v>
      </c>
      <c r="K325" s="43" t="inlineStr">
        <is>
          <t>Received</t>
        </is>
      </c>
      <c r="L325" s="17">
        <f>INDEX(Items!$C$2:$C$117,MATCH(B325,Items!$A$2:$A$117,0))</f>
        <v/>
      </c>
      <c r="M325" s="49">
        <f>INDEX(Items!$E$2:$E$117,MATCH(B325,Items!$A$2:$A$117,0))</f>
        <v/>
      </c>
      <c r="N325" s="17">
        <f>TEXT(D325,"yyyy-mm")</f>
        <v/>
      </c>
      <c r="O325" s="50">
        <f>G325*J325</f>
        <v/>
      </c>
      <c r="P325" s="50">
        <f>(J325-M325)*G325</f>
        <v/>
      </c>
      <c r="Q325" s="51">
        <f>IF(K325="Received",1,0)</f>
        <v/>
      </c>
      <c r="R325" s="51">
        <f>IF(Q325=1,F325-D325,0)</f>
        <v/>
      </c>
      <c r="S325" s="51">
        <f>IF(Q325=1,IF(F325&lt;=E325,1,0),0)</f>
        <v/>
      </c>
      <c r="T325" s="51">
        <f>IF(Q325=1,IF(H325&gt;=G325,1,0),0)</f>
        <v/>
      </c>
      <c r="U325" s="51">
        <f>S325*T325</f>
        <v/>
      </c>
      <c r="V325" s="51">
        <f>IF(Q325=1,MAX(0,F325-E325),0)</f>
        <v/>
      </c>
    </row>
    <row r="326">
      <c r="A326" s="43" t="inlineStr">
        <is>
          <t>PO100003</t>
        </is>
      </c>
      <c r="B326" s="43" t="inlineStr">
        <is>
          <t>CMD-0001</t>
        </is>
      </c>
      <c r="C326" s="43" t="inlineStr">
        <is>
          <t>S07</t>
        </is>
      </c>
      <c r="D326" s="47" t="n">
        <v>45665</v>
      </c>
      <c r="E326" s="47" t="n">
        <v>45756</v>
      </c>
      <c r="F326" s="47" t="n">
        <v>45755</v>
      </c>
      <c r="G326" s="46" t="n">
        <v>8350</v>
      </c>
      <c r="H326" s="46" t="n">
        <v>8350</v>
      </c>
      <c r="I326" s="46" t="n">
        <v>64</v>
      </c>
      <c r="J326" s="44" t="n">
        <v>14.26</v>
      </c>
      <c r="K326" s="43" t="inlineStr">
        <is>
          <t>Received</t>
        </is>
      </c>
      <c r="L326" s="17">
        <f>INDEX(Items!$C$2:$C$117,MATCH(B326,Items!$A$2:$A$117,0))</f>
        <v/>
      </c>
      <c r="M326" s="49">
        <f>INDEX(Items!$E$2:$E$117,MATCH(B326,Items!$A$2:$A$117,0))</f>
        <v/>
      </c>
      <c r="N326" s="17">
        <f>TEXT(D326,"yyyy-mm")</f>
        <v/>
      </c>
      <c r="O326" s="50">
        <f>G326*J326</f>
        <v/>
      </c>
      <c r="P326" s="50">
        <f>(J326-M326)*G326</f>
        <v/>
      </c>
      <c r="Q326" s="51">
        <f>IF(K326="Received",1,0)</f>
        <v/>
      </c>
      <c r="R326" s="51">
        <f>IF(Q326=1,F326-D326,0)</f>
        <v/>
      </c>
      <c r="S326" s="51">
        <f>IF(Q326=1,IF(F326&lt;=E326,1,0),0)</f>
        <v/>
      </c>
      <c r="T326" s="51">
        <f>IF(Q326=1,IF(H326&gt;=G326,1,0),0)</f>
        <v/>
      </c>
      <c r="U326" s="51">
        <f>S326*T326</f>
        <v/>
      </c>
      <c r="V326" s="51">
        <f>IF(Q326=1,MAX(0,F326-E326),0)</f>
        <v/>
      </c>
    </row>
    <row r="327">
      <c r="A327" s="43" t="inlineStr">
        <is>
          <t>PO101823</t>
        </is>
      </c>
      <c r="B327" s="43" t="inlineStr">
        <is>
          <t>CMD-0100</t>
        </is>
      </c>
      <c r="C327" s="43" t="inlineStr">
        <is>
          <t>S09</t>
        </is>
      </c>
      <c r="D327" s="47" t="n">
        <v>45666</v>
      </c>
      <c r="E327" s="47" t="n">
        <v>45687</v>
      </c>
      <c r="F327" s="47" t="n">
        <v>45685</v>
      </c>
      <c r="G327" s="46" t="n">
        <v>6446</v>
      </c>
      <c r="H327" s="46" t="n">
        <v>6446</v>
      </c>
      <c r="I327" s="46" t="n">
        <v>13</v>
      </c>
      <c r="J327" s="44" t="n">
        <v>4.94</v>
      </c>
      <c r="K327" s="43" t="inlineStr">
        <is>
          <t>Received</t>
        </is>
      </c>
      <c r="L327" s="17">
        <f>INDEX(Items!$C$2:$C$117,MATCH(B327,Items!$A$2:$A$117,0))</f>
        <v/>
      </c>
      <c r="M327" s="49">
        <f>INDEX(Items!$E$2:$E$117,MATCH(B327,Items!$A$2:$A$117,0))</f>
        <v/>
      </c>
      <c r="N327" s="17">
        <f>TEXT(D327,"yyyy-mm")</f>
        <v/>
      </c>
      <c r="O327" s="50">
        <f>G327*J327</f>
        <v/>
      </c>
      <c r="P327" s="50">
        <f>(J327-M327)*G327</f>
        <v/>
      </c>
      <c r="Q327" s="51">
        <f>IF(K327="Received",1,0)</f>
        <v/>
      </c>
      <c r="R327" s="51">
        <f>IF(Q327=1,F327-D327,0)</f>
        <v/>
      </c>
      <c r="S327" s="51">
        <f>IF(Q327=1,IF(F327&lt;=E327,1,0),0)</f>
        <v/>
      </c>
      <c r="T327" s="51">
        <f>IF(Q327=1,IF(H327&gt;=G327,1,0),0)</f>
        <v/>
      </c>
      <c r="U327" s="51">
        <f>S327*T327</f>
        <v/>
      </c>
      <c r="V327" s="51">
        <f>IF(Q327=1,MAX(0,F327-E327),0)</f>
        <v/>
      </c>
    </row>
    <row r="328">
      <c r="A328" s="43" t="inlineStr">
        <is>
          <t>PO100391</t>
        </is>
      </c>
      <c r="B328" s="43" t="inlineStr">
        <is>
          <t>CMD-0018</t>
        </is>
      </c>
      <c r="C328" s="43" t="inlineStr">
        <is>
          <t>S02</t>
        </is>
      </c>
      <c r="D328" s="47" t="n">
        <v>45666</v>
      </c>
      <c r="E328" s="47" t="n">
        <v>45722</v>
      </c>
      <c r="F328" s="47" t="n">
        <v>45720</v>
      </c>
      <c r="G328" s="46" t="n">
        <v>7750</v>
      </c>
      <c r="H328" s="46" t="n">
        <v>7750</v>
      </c>
      <c r="I328" s="46" t="n">
        <v>30</v>
      </c>
      <c r="J328" s="44" t="n">
        <v>37.92</v>
      </c>
      <c r="K328" s="43" t="inlineStr">
        <is>
          <t>Received</t>
        </is>
      </c>
      <c r="L328" s="17">
        <f>INDEX(Items!$C$2:$C$117,MATCH(B328,Items!$A$2:$A$117,0))</f>
        <v/>
      </c>
      <c r="M328" s="49">
        <f>INDEX(Items!$E$2:$E$117,MATCH(B328,Items!$A$2:$A$117,0))</f>
        <v/>
      </c>
      <c r="N328" s="17">
        <f>TEXT(D328,"yyyy-mm")</f>
        <v/>
      </c>
      <c r="O328" s="50">
        <f>G328*J328</f>
        <v/>
      </c>
      <c r="P328" s="50">
        <f>(J328-M328)*G328</f>
        <v/>
      </c>
      <c r="Q328" s="51">
        <f>IF(K328="Received",1,0)</f>
        <v/>
      </c>
      <c r="R328" s="51">
        <f>IF(Q328=1,F328-D328,0)</f>
        <v/>
      </c>
      <c r="S328" s="51">
        <f>IF(Q328=1,IF(F328&lt;=E328,1,0),0)</f>
        <v/>
      </c>
      <c r="T328" s="51">
        <f>IF(Q328=1,IF(H328&gt;=G328,1,0),0)</f>
        <v/>
      </c>
      <c r="U328" s="51">
        <f>S328*T328</f>
        <v/>
      </c>
      <c r="V328" s="51">
        <f>IF(Q328=1,MAX(0,F328-E328),0)</f>
        <v/>
      </c>
    </row>
    <row r="329">
      <c r="A329" s="43" t="inlineStr">
        <is>
          <t>PO101399</t>
        </is>
      </c>
      <c r="B329" s="43" t="inlineStr">
        <is>
          <t>CMD-0074</t>
        </is>
      </c>
      <c r="C329" s="43" t="inlineStr">
        <is>
          <t>S10</t>
        </is>
      </c>
      <c r="D329" s="47" t="n">
        <v>45666</v>
      </c>
      <c r="E329" s="47" t="n">
        <v>45694</v>
      </c>
      <c r="F329" s="47" t="n">
        <v>45694</v>
      </c>
      <c r="G329" s="46" t="n">
        <v>54636</v>
      </c>
      <c r="H329" s="46" t="n">
        <v>54636</v>
      </c>
      <c r="I329" s="46" t="n">
        <v>48</v>
      </c>
      <c r="J329" s="44" t="n">
        <v>0.3496</v>
      </c>
      <c r="K329" s="43" t="inlineStr">
        <is>
          <t>Received</t>
        </is>
      </c>
      <c r="L329" s="17">
        <f>INDEX(Items!$C$2:$C$117,MATCH(B329,Items!$A$2:$A$117,0))</f>
        <v/>
      </c>
      <c r="M329" s="49">
        <f>INDEX(Items!$E$2:$E$117,MATCH(B329,Items!$A$2:$A$117,0))</f>
        <v/>
      </c>
      <c r="N329" s="17">
        <f>TEXT(D329,"yyyy-mm")</f>
        <v/>
      </c>
      <c r="O329" s="50">
        <f>G329*J329</f>
        <v/>
      </c>
      <c r="P329" s="50">
        <f>(J329-M329)*G329</f>
        <v/>
      </c>
      <c r="Q329" s="51">
        <f>IF(K329="Received",1,0)</f>
        <v/>
      </c>
      <c r="R329" s="51">
        <f>IF(Q329=1,F329-D329,0)</f>
        <v/>
      </c>
      <c r="S329" s="51">
        <f>IF(Q329=1,IF(F329&lt;=E329,1,0),0)</f>
        <v/>
      </c>
      <c r="T329" s="51">
        <f>IF(Q329=1,IF(H329&gt;=G329,1,0),0)</f>
        <v/>
      </c>
      <c r="U329" s="51">
        <f>S329*T329</f>
        <v/>
      </c>
      <c r="V329" s="51">
        <f>IF(Q329=1,MAX(0,F329-E329),0)</f>
        <v/>
      </c>
    </row>
    <row r="330">
      <c r="A330" s="43" t="inlineStr">
        <is>
          <t>PO101507</t>
        </is>
      </c>
      <c r="B330" s="43" t="inlineStr">
        <is>
          <t>CMD-0080</t>
        </is>
      </c>
      <c r="C330" s="43" t="inlineStr">
        <is>
          <t>S06</t>
        </is>
      </c>
      <c r="D330" s="47" t="n">
        <v>45666</v>
      </c>
      <c r="E330" s="47" t="n">
        <v>45687</v>
      </c>
      <c r="F330" s="47" t="n">
        <v>45687</v>
      </c>
      <c r="G330" s="46" t="n">
        <v>5315</v>
      </c>
      <c r="H330" s="46" t="n">
        <v>5315</v>
      </c>
      <c r="I330" s="46" t="n">
        <v>23</v>
      </c>
      <c r="J330" s="44" t="n">
        <v>5.53</v>
      </c>
      <c r="K330" s="43" t="inlineStr">
        <is>
          <t>Received</t>
        </is>
      </c>
      <c r="L330" s="17">
        <f>INDEX(Items!$C$2:$C$117,MATCH(B330,Items!$A$2:$A$117,0))</f>
        <v/>
      </c>
      <c r="M330" s="49">
        <f>INDEX(Items!$E$2:$E$117,MATCH(B330,Items!$A$2:$A$117,0))</f>
        <v/>
      </c>
      <c r="N330" s="17">
        <f>TEXT(D330,"yyyy-mm")</f>
        <v/>
      </c>
      <c r="O330" s="50">
        <f>G330*J330</f>
        <v/>
      </c>
      <c r="P330" s="50">
        <f>(J330-M330)*G330</f>
        <v/>
      </c>
      <c r="Q330" s="51">
        <f>IF(K330="Received",1,0)</f>
        <v/>
      </c>
      <c r="R330" s="51">
        <f>IF(Q330=1,F330-D330,0)</f>
        <v/>
      </c>
      <c r="S330" s="51">
        <f>IF(Q330=1,IF(F330&lt;=E330,1,0),0)</f>
        <v/>
      </c>
      <c r="T330" s="51">
        <f>IF(Q330=1,IF(H330&gt;=G330,1,0),0)</f>
        <v/>
      </c>
      <c r="U330" s="51">
        <f>S330*T330</f>
        <v/>
      </c>
      <c r="V330" s="51">
        <f>IF(Q330=1,MAX(0,F330-E330),0)</f>
        <v/>
      </c>
    </row>
    <row r="331">
      <c r="A331" s="43" t="inlineStr">
        <is>
          <t>PO101645</t>
        </is>
      </c>
      <c r="B331" s="43" t="inlineStr">
        <is>
          <t>CMD-0091</t>
        </is>
      </c>
      <c r="C331" s="43" t="inlineStr">
        <is>
          <t>S08</t>
        </is>
      </c>
      <c r="D331" s="47" t="n">
        <v>45666</v>
      </c>
      <c r="E331" s="47" t="n">
        <v>45743</v>
      </c>
      <c r="F331" s="47" t="n">
        <v>45743</v>
      </c>
      <c r="G331" s="46" t="n">
        <v>972</v>
      </c>
      <c r="H331" s="46" t="n">
        <v>972</v>
      </c>
      <c r="I331" s="46" t="n">
        <v>8</v>
      </c>
      <c r="J331" s="44" t="n">
        <v>23.8</v>
      </c>
      <c r="K331" s="43" t="inlineStr">
        <is>
          <t>Received</t>
        </is>
      </c>
      <c r="L331" s="17">
        <f>INDEX(Items!$C$2:$C$117,MATCH(B331,Items!$A$2:$A$117,0))</f>
        <v/>
      </c>
      <c r="M331" s="49">
        <f>INDEX(Items!$E$2:$E$117,MATCH(B331,Items!$A$2:$A$117,0))</f>
        <v/>
      </c>
      <c r="N331" s="17">
        <f>TEXT(D331,"yyyy-mm")</f>
        <v/>
      </c>
      <c r="O331" s="50">
        <f>G331*J331</f>
        <v/>
      </c>
      <c r="P331" s="50">
        <f>(J331-M331)*G331</f>
        <v/>
      </c>
      <c r="Q331" s="51">
        <f>IF(K331="Received",1,0)</f>
        <v/>
      </c>
      <c r="R331" s="51">
        <f>IF(Q331=1,F331-D331,0)</f>
        <v/>
      </c>
      <c r="S331" s="51">
        <f>IF(Q331=1,IF(F331&lt;=E331,1,0),0)</f>
        <v/>
      </c>
      <c r="T331" s="51">
        <f>IF(Q331=1,IF(H331&gt;=G331,1,0),0)</f>
        <v/>
      </c>
      <c r="U331" s="51">
        <f>S331*T331</f>
        <v/>
      </c>
      <c r="V331" s="51">
        <f>IF(Q331=1,MAX(0,F331-E331),0)</f>
        <v/>
      </c>
    </row>
    <row r="332">
      <c r="A332" s="43" t="inlineStr">
        <is>
          <t>PO101963</t>
        </is>
      </c>
      <c r="B332" s="43" t="inlineStr">
        <is>
          <t>CMD-0109</t>
        </is>
      </c>
      <c r="C332" s="43" t="inlineStr">
        <is>
          <t>S12</t>
        </is>
      </c>
      <c r="D332" s="47" t="n">
        <v>45666</v>
      </c>
      <c r="E332" s="47" t="n">
        <v>45673</v>
      </c>
      <c r="F332" s="47" t="n">
        <v>45670</v>
      </c>
      <c r="G332" s="46" t="n">
        <v>6531</v>
      </c>
      <c r="H332" s="46" t="n">
        <v>6531</v>
      </c>
      <c r="I332" s="46" t="n">
        <v>4</v>
      </c>
      <c r="J332" s="44" t="n">
        <v>1.7</v>
      </c>
      <c r="K332" s="43" t="inlineStr">
        <is>
          <t>Received</t>
        </is>
      </c>
      <c r="L332" s="17">
        <f>INDEX(Items!$C$2:$C$117,MATCH(B332,Items!$A$2:$A$117,0))</f>
        <v/>
      </c>
      <c r="M332" s="49">
        <f>INDEX(Items!$E$2:$E$117,MATCH(B332,Items!$A$2:$A$117,0))</f>
        <v/>
      </c>
      <c r="N332" s="17">
        <f>TEXT(D332,"yyyy-mm")</f>
        <v/>
      </c>
      <c r="O332" s="50">
        <f>G332*J332</f>
        <v/>
      </c>
      <c r="P332" s="50">
        <f>(J332-M332)*G332</f>
        <v/>
      </c>
      <c r="Q332" s="51">
        <f>IF(K332="Received",1,0)</f>
        <v/>
      </c>
      <c r="R332" s="51">
        <f>IF(Q332=1,F332-D332,0)</f>
        <v/>
      </c>
      <c r="S332" s="51">
        <f>IF(Q332=1,IF(F332&lt;=E332,1,0),0)</f>
        <v/>
      </c>
      <c r="T332" s="51">
        <f>IF(Q332=1,IF(H332&gt;=G332,1,0),0)</f>
        <v/>
      </c>
      <c r="U332" s="51">
        <f>S332*T332</f>
        <v/>
      </c>
      <c r="V332" s="51">
        <f>IF(Q332=1,MAX(0,F332-E332),0)</f>
        <v/>
      </c>
    </row>
    <row r="333">
      <c r="A333" s="43" t="inlineStr">
        <is>
          <t>PO100913</t>
        </is>
      </c>
      <c r="B333" s="43" t="inlineStr">
        <is>
          <t>CMD-0042</t>
        </is>
      </c>
      <c r="C333" s="43" t="inlineStr">
        <is>
          <t>S05</t>
        </is>
      </c>
      <c r="D333" s="47" t="n">
        <v>45666</v>
      </c>
      <c r="E333" s="47" t="n">
        <v>45771</v>
      </c>
      <c r="F333" s="47" t="n">
        <v>45771</v>
      </c>
      <c r="G333" s="46" t="n">
        <v>588</v>
      </c>
      <c r="H333" s="46" t="n">
        <v>588</v>
      </c>
      <c r="I333" s="46" t="n">
        <v>15</v>
      </c>
      <c r="J333" s="44" t="n">
        <v>8.91</v>
      </c>
      <c r="K333" s="43" t="inlineStr">
        <is>
          <t>Received</t>
        </is>
      </c>
      <c r="L333" s="17">
        <f>INDEX(Items!$C$2:$C$117,MATCH(B333,Items!$A$2:$A$117,0))</f>
        <v/>
      </c>
      <c r="M333" s="49">
        <f>INDEX(Items!$E$2:$E$117,MATCH(B333,Items!$A$2:$A$117,0))</f>
        <v/>
      </c>
      <c r="N333" s="17">
        <f>TEXT(D333,"yyyy-mm")</f>
        <v/>
      </c>
      <c r="O333" s="50">
        <f>G333*J333</f>
        <v/>
      </c>
      <c r="P333" s="50">
        <f>(J333-M333)*G333</f>
        <v/>
      </c>
      <c r="Q333" s="51">
        <f>IF(K333="Received",1,0)</f>
        <v/>
      </c>
      <c r="R333" s="51">
        <f>IF(Q333=1,F333-D333,0)</f>
        <v/>
      </c>
      <c r="S333" s="51">
        <f>IF(Q333=1,IF(F333&lt;=E333,1,0),0)</f>
        <v/>
      </c>
      <c r="T333" s="51">
        <f>IF(Q333=1,IF(H333&gt;=G333,1,0),0)</f>
        <v/>
      </c>
      <c r="U333" s="51">
        <f>S333*T333</f>
        <v/>
      </c>
      <c r="V333" s="51">
        <f>IF(Q333=1,MAX(0,F333-E333),0)</f>
        <v/>
      </c>
    </row>
    <row r="334">
      <c r="A334" s="43" t="inlineStr">
        <is>
          <t>PO100499</t>
        </is>
      </c>
      <c r="B334" s="43" t="inlineStr">
        <is>
          <t>CMD-0023</t>
        </is>
      </c>
      <c r="C334" s="43" t="inlineStr">
        <is>
          <t>S04</t>
        </is>
      </c>
      <c r="D334" s="47" t="n">
        <v>45667</v>
      </c>
      <c r="E334" s="47" t="n">
        <v>45737</v>
      </c>
      <c r="F334" s="47" t="n">
        <v>45734</v>
      </c>
      <c r="G334" s="46" t="n">
        <v>4226</v>
      </c>
      <c r="H334" s="46" t="n">
        <v>4226</v>
      </c>
      <c r="I334" s="46" t="n">
        <v>42</v>
      </c>
      <c r="J334" s="44" t="n">
        <v>8.800000000000001</v>
      </c>
      <c r="K334" s="43" t="inlineStr">
        <is>
          <t>Received</t>
        </is>
      </c>
      <c r="L334" s="17">
        <f>INDEX(Items!$C$2:$C$117,MATCH(B334,Items!$A$2:$A$117,0))</f>
        <v/>
      </c>
      <c r="M334" s="49">
        <f>INDEX(Items!$E$2:$E$117,MATCH(B334,Items!$A$2:$A$117,0))</f>
        <v/>
      </c>
      <c r="N334" s="17">
        <f>TEXT(D334,"yyyy-mm")</f>
        <v/>
      </c>
      <c r="O334" s="50">
        <f>G334*J334</f>
        <v/>
      </c>
      <c r="P334" s="50">
        <f>(J334-M334)*G334</f>
        <v/>
      </c>
      <c r="Q334" s="51">
        <f>IF(K334="Received",1,0)</f>
        <v/>
      </c>
      <c r="R334" s="51">
        <f>IF(Q334=1,F334-D334,0)</f>
        <v/>
      </c>
      <c r="S334" s="51">
        <f>IF(Q334=1,IF(F334&lt;=E334,1,0),0)</f>
        <v/>
      </c>
      <c r="T334" s="51">
        <f>IF(Q334=1,IF(H334&gt;=G334,1,0),0)</f>
        <v/>
      </c>
      <c r="U334" s="51">
        <f>S334*T334</f>
        <v/>
      </c>
      <c r="V334" s="51">
        <f>IF(Q334=1,MAX(0,F334-E334),0)</f>
        <v/>
      </c>
    </row>
    <row r="335">
      <c r="A335" s="43" t="inlineStr">
        <is>
          <t>PO101085</t>
        </is>
      </c>
      <c r="B335" s="43" t="inlineStr">
        <is>
          <t>CMD-0050</t>
        </is>
      </c>
      <c r="C335" s="43" t="inlineStr">
        <is>
          <t>S10</t>
        </is>
      </c>
      <c r="D335" s="47" t="n">
        <v>45667</v>
      </c>
      <c r="E335" s="47" t="n">
        <v>45695</v>
      </c>
      <c r="F335" s="47" t="n">
        <v>45694</v>
      </c>
      <c r="G335" s="46" t="n">
        <v>74928</v>
      </c>
      <c r="H335" s="46" t="n">
        <v>74928</v>
      </c>
      <c r="I335" s="46" t="n">
        <v>75</v>
      </c>
      <c r="J335" s="44" t="n">
        <v>0.075</v>
      </c>
      <c r="K335" s="43" t="inlineStr">
        <is>
          <t>Received</t>
        </is>
      </c>
      <c r="L335" s="17">
        <f>INDEX(Items!$C$2:$C$117,MATCH(B335,Items!$A$2:$A$117,0))</f>
        <v/>
      </c>
      <c r="M335" s="49">
        <f>INDEX(Items!$E$2:$E$117,MATCH(B335,Items!$A$2:$A$117,0))</f>
        <v/>
      </c>
      <c r="N335" s="17">
        <f>TEXT(D335,"yyyy-mm")</f>
        <v/>
      </c>
      <c r="O335" s="50">
        <f>G335*J335</f>
        <v/>
      </c>
      <c r="P335" s="50">
        <f>(J335-M335)*G335</f>
        <v/>
      </c>
      <c r="Q335" s="51">
        <f>IF(K335="Received",1,0)</f>
        <v/>
      </c>
      <c r="R335" s="51">
        <f>IF(Q335=1,F335-D335,0)</f>
        <v/>
      </c>
      <c r="S335" s="51">
        <f>IF(Q335=1,IF(F335&lt;=E335,1,0),0)</f>
        <v/>
      </c>
      <c r="T335" s="51">
        <f>IF(Q335=1,IF(H335&gt;=G335,1,0),0)</f>
        <v/>
      </c>
      <c r="U335" s="51">
        <f>S335*T335</f>
        <v/>
      </c>
      <c r="V335" s="51">
        <f>IF(Q335=1,MAX(0,F335-E335),0)</f>
        <v/>
      </c>
    </row>
    <row r="336">
      <c r="A336" s="43" t="inlineStr">
        <is>
          <t>PO101741</t>
        </is>
      </c>
      <c r="B336" s="43" t="inlineStr">
        <is>
          <t>CMD-0095</t>
        </is>
      </c>
      <c r="C336" s="43" t="inlineStr">
        <is>
          <t>S08</t>
        </is>
      </c>
      <c r="D336" s="47" t="n">
        <v>45667</v>
      </c>
      <c r="E336" s="47" t="n">
        <v>45744</v>
      </c>
      <c r="F336" s="47" t="n">
        <v>45742</v>
      </c>
      <c r="G336" s="46" t="n">
        <v>271</v>
      </c>
      <c r="H336" s="46" t="n">
        <v>271</v>
      </c>
      <c r="I336" s="46" t="n">
        <v>1</v>
      </c>
      <c r="J336" s="44" t="n">
        <v>91.83</v>
      </c>
      <c r="K336" s="43" t="inlineStr">
        <is>
          <t>Received</t>
        </is>
      </c>
      <c r="L336" s="17">
        <f>INDEX(Items!$C$2:$C$117,MATCH(B336,Items!$A$2:$A$117,0))</f>
        <v/>
      </c>
      <c r="M336" s="49">
        <f>INDEX(Items!$E$2:$E$117,MATCH(B336,Items!$A$2:$A$117,0))</f>
        <v/>
      </c>
      <c r="N336" s="17">
        <f>TEXT(D336,"yyyy-mm")</f>
        <v/>
      </c>
      <c r="O336" s="50">
        <f>G336*J336</f>
        <v/>
      </c>
      <c r="P336" s="50">
        <f>(J336-M336)*G336</f>
        <v/>
      </c>
      <c r="Q336" s="51">
        <f>IF(K336="Received",1,0)</f>
        <v/>
      </c>
      <c r="R336" s="51">
        <f>IF(Q336=1,F336-D336,0)</f>
        <v/>
      </c>
      <c r="S336" s="51">
        <f>IF(Q336=1,IF(F336&lt;=E336,1,0),0)</f>
        <v/>
      </c>
      <c r="T336" s="51">
        <f>IF(Q336=1,IF(H336&gt;=G336,1,0),0)</f>
        <v/>
      </c>
      <c r="U336" s="51">
        <f>S336*T336</f>
        <v/>
      </c>
      <c r="V336" s="51">
        <f>IF(Q336=1,MAX(0,F336-E336),0)</f>
        <v/>
      </c>
    </row>
    <row r="337">
      <c r="A337" s="43" t="inlineStr">
        <is>
          <t>PO100433</t>
        </is>
      </c>
      <c r="B337" s="43" t="inlineStr">
        <is>
          <t>CMD-0020</t>
        </is>
      </c>
      <c r="C337" s="43" t="inlineStr">
        <is>
          <t>S04</t>
        </is>
      </c>
      <c r="D337" s="47" t="n">
        <v>45667</v>
      </c>
      <c r="E337" s="47" t="n">
        <v>45737</v>
      </c>
      <c r="F337" s="47" t="n">
        <v>45736</v>
      </c>
      <c r="G337" s="46" t="n">
        <v>2740</v>
      </c>
      <c r="H337" s="46" t="n">
        <v>2740</v>
      </c>
      <c r="I337" s="46" t="n">
        <v>25</v>
      </c>
      <c r="J337" s="44" t="n">
        <v>5.03</v>
      </c>
      <c r="K337" s="43" t="inlineStr">
        <is>
          <t>Received</t>
        </is>
      </c>
      <c r="L337" s="17">
        <f>INDEX(Items!$C$2:$C$117,MATCH(B337,Items!$A$2:$A$117,0))</f>
        <v/>
      </c>
      <c r="M337" s="49">
        <f>INDEX(Items!$E$2:$E$117,MATCH(B337,Items!$A$2:$A$117,0))</f>
        <v/>
      </c>
      <c r="N337" s="17">
        <f>TEXT(D337,"yyyy-mm")</f>
        <v/>
      </c>
      <c r="O337" s="50">
        <f>G337*J337</f>
        <v/>
      </c>
      <c r="P337" s="50">
        <f>(J337-M337)*G337</f>
        <v/>
      </c>
      <c r="Q337" s="51">
        <f>IF(K337="Received",1,0)</f>
        <v/>
      </c>
      <c r="R337" s="51">
        <f>IF(Q337=1,F337-D337,0)</f>
        <v/>
      </c>
      <c r="S337" s="51">
        <f>IF(Q337=1,IF(F337&lt;=E337,1,0),0)</f>
        <v/>
      </c>
      <c r="T337" s="51">
        <f>IF(Q337=1,IF(H337&gt;=G337,1,0),0)</f>
        <v/>
      </c>
      <c r="U337" s="51">
        <f>S337*T337</f>
        <v/>
      </c>
      <c r="V337" s="51">
        <f>IF(Q337=1,MAX(0,F337-E337),0)</f>
        <v/>
      </c>
    </row>
    <row r="338">
      <c r="A338" s="43" t="inlineStr">
        <is>
          <t>PO100147</t>
        </is>
      </c>
      <c r="B338" s="43" t="inlineStr">
        <is>
          <t>CMD-0007</t>
        </is>
      </c>
      <c r="C338" s="43" t="inlineStr">
        <is>
          <t>S03</t>
        </is>
      </c>
      <c r="D338" s="47" t="n">
        <v>45667</v>
      </c>
      <c r="E338" s="47" t="n">
        <v>45800</v>
      </c>
      <c r="F338" s="47" t="n">
        <v>45798</v>
      </c>
      <c r="G338" s="46" t="n">
        <v>3678</v>
      </c>
      <c r="H338" s="46" t="n">
        <v>3678</v>
      </c>
      <c r="I338" s="46" t="n">
        <v>25</v>
      </c>
      <c r="J338" s="44" t="n">
        <v>19.39</v>
      </c>
      <c r="K338" s="43" t="inlineStr">
        <is>
          <t>Received</t>
        </is>
      </c>
      <c r="L338" s="17">
        <f>INDEX(Items!$C$2:$C$117,MATCH(B338,Items!$A$2:$A$117,0))</f>
        <v/>
      </c>
      <c r="M338" s="49">
        <f>INDEX(Items!$E$2:$E$117,MATCH(B338,Items!$A$2:$A$117,0))</f>
        <v/>
      </c>
      <c r="N338" s="17">
        <f>TEXT(D338,"yyyy-mm")</f>
        <v/>
      </c>
      <c r="O338" s="50">
        <f>G338*J338</f>
        <v/>
      </c>
      <c r="P338" s="50">
        <f>(J338-M338)*G338</f>
        <v/>
      </c>
      <c r="Q338" s="51">
        <f>IF(K338="Received",1,0)</f>
        <v/>
      </c>
      <c r="R338" s="51">
        <f>IF(Q338=1,F338-D338,0)</f>
        <v/>
      </c>
      <c r="S338" s="51">
        <f>IF(Q338=1,IF(F338&lt;=E338,1,0),0)</f>
        <v/>
      </c>
      <c r="T338" s="51">
        <f>IF(Q338=1,IF(H338&gt;=G338,1,0),0)</f>
        <v/>
      </c>
      <c r="U338" s="51">
        <f>S338*T338</f>
        <v/>
      </c>
      <c r="V338" s="51">
        <f>IF(Q338=1,MAX(0,F338-E338),0)</f>
        <v/>
      </c>
    </row>
    <row r="339">
      <c r="A339" s="43" t="inlineStr">
        <is>
          <t>PO100171</t>
        </is>
      </c>
      <c r="B339" s="43" t="inlineStr">
        <is>
          <t>CMD-0008</t>
        </is>
      </c>
      <c r="C339" s="43" t="inlineStr">
        <is>
          <t>S03</t>
        </is>
      </c>
      <c r="D339" s="47" t="n">
        <v>45667</v>
      </c>
      <c r="E339" s="47" t="n">
        <v>45800</v>
      </c>
      <c r="F339" s="47" t="n">
        <v>45797</v>
      </c>
      <c r="G339" s="46" t="n">
        <v>1291</v>
      </c>
      <c r="H339" s="46" t="n">
        <v>1206</v>
      </c>
      <c r="I339" s="46" t="n">
        <v>6</v>
      </c>
      <c r="J339" s="44" t="n">
        <v>23.66</v>
      </c>
      <c r="K339" s="43" t="inlineStr">
        <is>
          <t>Received</t>
        </is>
      </c>
      <c r="L339" s="17">
        <f>INDEX(Items!$C$2:$C$117,MATCH(B339,Items!$A$2:$A$117,0))</f>
        <v/>
      </c>
      <c r="M339" s="49">
        <f>INDEX(Items!$E$2:$E$117,MATCH(B339,Items!$A$2:$A$117,0))</f>
        <v/>
      </c>
      <c r="N339" s="17">
        <f>TEXT(D339,"yyyy-mm")</f>
        <v/>
      </c>
      <c r="O339" s="50">
        <f>G339*J339</f>
        <v/>
      </c>
      <c r="P339" s="50">
        <f>(J339-M339)*G339</f>
        <v/>
      </c>
      <c r="Q339" s="51">
        <f>IF(K339="Received",1,0)</f>
        <v/>
      </c>
      <c r="R339" s="51">
        <f>IF(Q339=1,F339-D339,0)</f>
        <v/>
      </c>
      <c r="S339" s="51">
        <f>IF(Q339=1,IF(F339&lt;=E339,1,0),0)</f>
        <v/>
      </c>
      <c r="T339" s="51">
        <f>IF(Q339=1,IF(H339&gt;=G339,1,0),0)</f>
        <v/>
      </c>
      <c r="U339" s="51">
        <f>S339*T339</f>
        <v/>
      </c>
      <c r="V339" s="51">
        <f>IF(Q339=1,MAX(0,F339-E339),0)</f>
        <v/>
      </c>
    </row>
    <row r="340">
      <c r="A340" s="43" t="inlineStr">
        <is>
          <t>PO101871</t>
        </is>
      </c>
      <c r="B340" s="43" t="inlineStr">
        <is>
          <t>CMD-0102</t>
        </is>
      </c>
      <c r="C340" s="43" t="inlineStr">
        <is>
          <t>S09</t>
        </is>
      </c>
      <c r="D340" s="47" t="n">
        <v>45667</v>
      </c>
      <c r="E340" s="47" t="n">
        <v>45688</v>
      </c>
      <c r="F340" s="47" t="n">
        <v>45688</v>
      </c>
      <c r="G340" s="46" t="n">
        <v>2066</v>
      </c>
      <c r="H340" s="46" t="n">
        <v>2066</v>
      </c>
      <c r="I340" s="46" t="n">
        <v>8</v>
      </c>
      <c r="J340" s="44" t="n">
        <v>6.71</v>
      </c>
      <c r="K340" s="43" t="inlineStr">
        <is>
          <t>Received</t>
        </is>
      </c>
      <c r="L340" s="17">
        <f>INDEX(Items!$C$2:$C$117,MATCH(B340,Items!$A$2:$A$117,0))</f>
        <v/>
      </c>
      <c r="M340" s="49">
        <f>INDEX(Items!$E$2:$E$117,MATCH(B340,Items!$A$2:$A$117,0))</f>
        <v/>
      </c>
      <c r="N340" s="17">
        <f>TEXT(D340,"yyyy-mm")</f>
        <v/>
      </c>
      <c r="O340" s="50">
        <f>G340*J340</f>
        <v/>
      </c>
      <c r="P340" s="50">
        <f>(J340-M340)*G340</f>
        <v/>
      </c>
      <c r="Q340" s="51">
        <f>IF(K340="Received",1,0)</f>
        <v/>
      </c>
      <c r="R340" s="51">
        <f>IF(Q340=1,F340-D340,0)</f>
        <v/>
      </c>
      <c r="S340" s="51">
        <f>IF(Q340=1,IF(F340&lt;=E340,1,0),0)</f>
        <v/>
      </c>
      <c r="T340" s="51">
        <f>IF(Q340=1,IF(H340&gt;=G340,1,0),0)</f>
        <v/>
      </c>
      <c r="U340" s="51">
        <f>S340*T340</f>
        <v/>
      </c>
      <c r="V340" s="51">
        <f>IF(Q340=1,MAX(0,F340-E340),0)</f>
        <v/>
      </c>
    </row>
    <row r="341">
      <c r="A341" s="43" t="inlineStr">
        <is>
          <t>PO101185</t>
        </is>
      </c>
      <c r="B341" s="43" t="inlineStr">
        <is>
          <t>CMD-0055</t>
        </is>
      </c>
      <c r="C341" s="43" t="inlineStr">
        <is>
          <t>S04</t>
        </is>
      </c>
      <c r="D341" s="47" t="n">
        <v>45667</v>
      </c>
      <c r="E341" s="47" t="n">
        <v>45702</v>
      </c>
      <c r="F341" s="47" t="n">
        <v>45700</v>
      </c>
      <c r="G341" s="46" t="n">
        <v>100361</v>
      </c>
      <c r="H341" s="46" t="n">
        <v>100361</v>
      </c>
      <c r="I341" s="46" t="n">
        <v>1002</v>
      </c>
      <c r="J341" s="44" t="n">
        <v>0.09379999999999999</v>
      </c>
      <c r="K341" s="43" t="inlineStr">
        <is>
          <t>Received</t>
        </is>
      </c>
      <c r="L341" s="17">
        <f>INDEX(Items!$C$2:$C$117,MATCH(B341,Items!$A$2:$A$117,0))</f>
        <v/>
      </c>
      <c r="M341" s="49">
        <f>INDEX(Items!$E$2:$E$117,MATCH(B341,Items!$A$2:$A$117,0))</f>
        <v/>
      </c>
      <c r="N341" s="17">
        <f>TEXT(D341,"yyyy-mm")</f>
        <v/>
      </c>
      <c r="O341" s="50">
        <f>G341*J341</f>
        <v/>
      </c>
      <c r="P341" s="50">
        <f>(J341-M341)*G341</f>
        <v/>
      </c>
      <c r="Q341" s="51">
        <f>IF(K341="Received",1,0)</f>
        <v/>
      </c>
      <c r="R341" s="51">
        <f>IF(Q341=1,F341-D341,0)</f>
        <v/>
      </c>
      <c r="S341" s="51">
        <f>IF(Q341=1,IF(F341&lt;=E341,1,0),0)</f>
        <v/>
      </c>
      <c r="T341" s="51">
        <f>IF(Q341=1,IF(H341&gt;=G341,1,0),0)</f>
        <v/>
      </c>
      <c r="U341" s="51">
        <f>S341*T341</f>
        <v/>
      </c>
      <c r="V341" s="51">
        <f>IF(Q341=1,MAX(0,F341-E341),0)</f>
        <v/>
      </c>
    </row>
    <row r="342">
      <c r="A342" s="43" t="inlineStr">
        <is>
          <t>PO101435</t>
        </is>
      </c>
      <c r="B342" s="43" t="inlineStr">
        <is>
          <t>CMD-0077</t>
        </is>
      </c>
      <c r="C342" s="43" t="inlineStr">
        <is>
          <t>S01</t>
        </is>
      </c>
      <c r="D342" s="47" t="n">
        <v>45667</v>
      </c>
      <c r="E342" s="47" t="n">
        <v>45681</v>
      </c>
      <c r="F342" s="47" t="n">
        <v>45678</v>
      </c>
      <c r="G342" s="46" t="n">
        <v>4054</v>
      </c>
      <c r="H342" s="46" t="n">
        <v>4054</v>
      </c>
      <c r="I342" s="46" t="n">
        <v>8</v>
      </c>
      <c r="J342" s="44" t="n">
        <v>8.75</v>
      </c>
      <c r="K342" s="43" t="inlineStr">
        <is>
          <t>Received</t>
        </is>
      </c>
      <c r="L342" s="17">
        <f>INDEX(Items!$C$2:$C$117,MATCH(B342,Items!$A$2:$A$117,0))</f>
        <v/>
      </c>
      <c r="M342" s="49">
        <f>INDEX(Items!$E$2:$E$117,MATCH(B342,Items!$A$2:$A$117,0))</f>
        <v/>
      </c>
      <c r="N342" s="17">
        <f>TEXT(D342,"yyyy-mm")</f>
        <v/>
      </c>
      <c r="O342" s="50">
        <f>G342*J342</f>
        <v/>
      </c>
      <c r="P342" s="50">
        <f>(J342-M342)*G342</f>
        <v/>
      </c>
      <c r="Q342" s="51">
        <f>IF(K342="Received",1,0)</f>
        <v/>
      </c>
      <c r="R342" s="51">
        <f>IF(Q342=1,F342-D342,0)</f>
        <v/>
      </c>
      <c r="S342" s="51">
        <f>IF(Q342=1,IF(F342&lt;=E342,1,0),0)</f>
        <v/>
      </c>
      <c r="T342" s="51">
        <f>IF(Q342=1,IF(H342&gt;=G342,1,0),0)</f>
        <v/>
      </c>
      <c r="U342" s="51">
        <f>S342*T342</f>
        <v/>
      </c>
      <c r="V342" s="51">
        <f>IF(Q342=1,MAX(0,F342-E342),0)</f>
        <v/>
      </c>
    </row>
    <row r="343">
      <c r="A343" s="43" t="inlineStr">
        <is>
          <t>PO100075</t>
        </is>
      </c>
      <c r="B343" s="43" t="inlineStr">
        <is>
          <t>CMD-0004</t>
        </is>
      </c>
      <c r="C343" s="43" t="inlineStr">
        <is>
          <t>S07</t>
        </is>
      </c>
      <c r="D343" s="47" t="n">
        <v>45667</v>
      </c>
      <c r="E343" s="47" t="n">
        <v>45758</v>
      </c>
      <c r="F343" s="47" t="n">
        <v>45758</v>
      </c>
      <c r="G343" s="46" t="n">
        <v>3816</v>
      </c>
      <c r="H343" s="46" t="n">
        <v>3816</v>
      </c>
      <c r="I343" s="46" t="n">
        <v>29</v>
      </c>
      <c r="J343" s="44" t="n">
        <v>4.05</v>
      </c>
      <c r="K343" s="43" t="inlineStr">
        <is>
          <t>Received</t>
        </is>
      </c>
      <c r="L343" s="17">
        <f>INDEX(Items!$C$2:$C$117,MATCH(B343,Items!$A$2:$A$117,0))</f>
        <v/>
      </c>
      <c r="M343" s="49">
        <f>INDEX(Items!$E$2:$E$117,MATCH(B343,Items!$A$2:$A$117,0))</f>
        <v/>
      </c>
      <c r="N343" s="17">
        <f>TEXT(D343,"yyyy-mm")</f>
        <v/>
      </c>
      <c r="O343" s="50">
        <f>G343*J343</f>
        <v/>
      </c>
      <c r="P343" s="50">
        <f>(J343-M343)*G343</f>
        <v/>
      </c>
      <c r="Q343" s="51">
        <f>IF(K343="Received",1,0)</f>
        <v/>
      </c>
      <c r="R343" s="51">
        <f>IF(Q343=1,F343-D343,0)</f>
        <v/>
      </c>
      <c r="S343" s="51">
        <f>IF(Q343=1,IF(F343&lt;=E343,1,0),0)</f>
        <v/>
      </c>
      <c r="T343" s="51">
        <f>IF(Q343=1,IF(H343&gt;=G343,1,0),0)</f>
        <v/>
      </c>
      <c r="U343" s="51">
        <f>S343*T343</f>
        <v/>
      </c>
      <c r="V343" s="51">
        <f>IF(Q343=1,MAX(0,F343-E343),0)</f>
        <v/>
      </c>
    </row>
    <row r="344">
      <c r="A344" s="43" t="inlineStr">
        <is>
          <t>PO100708</t>
        </is>
      </c>
      <c r="B344" s="43" t="inlineStr">
        <is>
          <t>CMD-0032</t>
        </is>
      </c>
      <c r="C344" s="43" t="inlineStr">
        <is>
          <t>S01</t>
        </is>
      </c>
      <c r="D344" s="47" t="n">
        <v>45668</v>
      </c>
      <c r="E344" s="47" t="n">
        <v>45696</v>
      </c>
      <c r="F344" s="47" t="n">
        <v>45696</v>
      </c>
      <c r="G344" s="46" t="n">
        <v>1149</v>
      </c>
      <c r="H344" s="46" t="n">
        <v>1149</v>
      </c>
      <c r="I344" s="46" t="n">
        <v>4</v>
      </c>
      <c r="J344" s="44" t="n">
        <v>5.15</v>
      </c>
      <c r="K344" s="43" t="inlineStr">
        <is>
          <t>Received</t>
        </is>
      </c>
      <c r="L344" s="17">
        <f>INDEX(Items!$C$2:$C$117,MATCH(B344,Items!$A$2:$A$117,0))</f>
        <v/>
      </c>
      <c r="M344" s="49">
        <f>INDEX(Items!$E$2:$E$117,MATCH(B344,Items!$A$2:$A$117,0))</f>
        <v/>
      </c>
      <c r="N344" s="17">
        <f>TEXT(D344,"yyyy-mm")</f>
        <v/>
      </c>
      <c r="O344" s="50">
        <f>G344*J344</f>
        <v/>
      </c>
      <c r="P344" s="50">
        <f>(J344-M344)*G344</f>
        <v/>
      </c>
      <c r="Q344" s="51">
        <f>IF(K344="Received",1,0)</f>
        <v/>
      </c>
      <c r="R344" s="51">
        <f>IF(Q344=1,F344-D344,0)</f>
        <v/>
      </c>
      <c r="S344" s="51">
        <f>IF(Q344=1,IF(F344&lt;=E344,1,0),0)</f>
        <v/>
      </c>
      <c r="T344" s="51">
        <f>IF(Q344=1,IF(H344&gt;=G344,1,0),0)</f>
        <v/>
      </c>
      <c r="U344" s="51">
        <f>S344*T344</f>
        <v/>
      </c>
      <c r="V344" s="51">
        <f>IF(Q344=1,MAX(0,F344-E344),0)</f>
        <v/>
      </c>
    </row>
    <row r="345">
      <c r="A345" s="43" t="inlineStr">
        <is>
          <t>PO101221</t>
        </is>
      </c>
      <c r="B345" s="43" t="inlineStr">
        <is>
          <t>CMD-0057</t>
        </is>
      </c>
      <c r="C345" s="43" t="inlineStr">
        <is>
          <t>S01</t>
        </is>
      </c>
      <c r="D345" s="47" t="n">
        <v>45670</v>
      </c>
      <c r="E345" s="47" t="n">
        <v>45691</v>
      </c>
      <c r="F345" s="47" t="n">
        <v>45694</v>
      </c>
      <c r="G345" s="46" t="n">
        <v>49581</v>
      </c>
      <c r="H345" s="46" t="n">
        <v>49581</v>
      </c>
      <c r="I345" s="46" t="n">
        <v>92</v>
      </c>
      <c r="J345" s="44" t="n">
        <v>0.1124</v>
      </c>
      <c r="K345" s="43" t="inlineStr">
        <is>
          <t>Received</t>
        </is>
      </c>
      <c r="L345" s="17">
        <f>INDEX(Items!$C$2:$C$117,MATCH(B345,Items!$A$2:$A$117,0))</f>
        <v/>
      </c>
      <c r="M345" s="49">
        <f>INDEX(Items!$E$2:$E$117,MATCH(B345,Items!$A$2:$A$117,0))</f>
        <v/>
      </c>
      <c r="N345" s="17">
        <f>TEXT(D345,"yyyy-mm")</f>
        <v/>
      </c>
      <c r="O345" s="50">
        <f>G345*J345</f>
        <v/>
      </c>
      <c r="P345" s="50">
        <f>(J345-M345)*G345</f>
        <v/>
      </c>
      <c r="Q345" s="51">
        <f>IF(K345="Received",1,0)</f>
        <v/>
      </c>
      <c r="R345" s="51">
        <f>IF(Q345=1,F345-D345,0)</f>
        <v/>
      </c>
      <c r="S345" s="51">
        <f>IF(Q345=1,IF(F345&lt;=E345,1,0),0)</f>
        <v/>
      </c>
      <c r="T345" s="51">
        <f>IF(Q345=1,IF(H345&gt;=G345,1,0),0)</f>
        <v/>
      </c>
      <c r="U345" s="51">
        <f>S345*T345</f>
        <v/>
      </c>
      <c r="V345" s="51">
        <f>IF(Q345=1,MAX(0,F345-E345),0)</f>
        <v/>
      </c>
    </row>
    <row r="346">
      <c r="A346" s="43" t="inlineStr">
        <is>
          <t>PO101033</t>
        </is>
      </c>
      <c r="B346" s="43" t="inlineStr">
        <is>
          <t>CMD-0047</t>
        </is>
      </c>
      <c r="C346" s="43" t="inlineStr">
        <is>
          <t>S04</t>
        </is>
      </c>
      <c r="D346" s="47" t="n">
        <v>45672</v>
      </c>
      <c r="E346" s="47" t="n">
        <v>45707</v>
      </c>
      <c r="F346" s="47" t="n">
        <v>45723</v>
      </c>
      <c r="G346" s="46" t="n">
        <v>20893</v>
      </c>
      <c r="H346" s="46" t="n">
        <v>20893</v>
      </c>
      <c r="I346" s="46" t="n">
        <v>202</v>
      </c>
      <c r="J346" s="44" t="n">
        <v>0.296</v>
      </c>
      <c r="K346" s="43" t="inlineStr">
        <is>
          <t>Received</t>
        </is>
      </c>
      <c r="L346" s="17">
        <f>INDEX(Items!$C$2:$C$117,MATCH(B346,Items!$A$2:$A$117,0))</f>
        <v/>
      </c>
      <c r="M346" s="49">
        <f>INDEX(Items!$E$2:$E$117,MATCH(B346,Items!$A$2:$A$117,0))</f>
        <v/>
      </c>
      <c r="N346" s="17">
        <f>TEXT(D346,"yyyy-mm")</f>
        <v/>
      </c>
      <c r="O346" s="50">
        <f>G346*J346</f>
        <v/>
      </c>
      <c r="P346" s="50">
        <f>(J346-M346)*G346</f>
        <v/>
      </c>
      <c r="Q346" s="51">
        <f>IF(K346="Received",1,0)</f>
        <v/>
      </c>
      <c r="R346" s="51">
        <f>IF(Q346=1,F346-D346,0)</f>
        <v/>
      </c>
      <c r="S346" s="51">
        <f>IF(Q346=1,IF(F346&lt;=E346,1,0),0)</f>
        <v/>
      </c>
      <c r="T346" s="51">
        <f>IF(Q346=1,IF(H346&gt;=G346,1,0),0)</f>
        <v/>
      </c>
      <c r="U346" s="51">
        <f>S346*T346</f>
        <v/>
      </c>
      <c r="V346" s="51">
        <f>IF(Q346=1,MAX(0,F346-E346),0)</f>
        <v/>
      </c>
    </row>
    <row r="347">
      <c r="A347" s="43" t="inlineStr">
        <is>
          <t>PO101146</t>
        </is>
      </c>
      <c r="B347" s="43" t="inlineStr">
        <is>
          <t>CMD-0053</t>
        </is>
      </c>
      <c r="C347" s="43" t="inlineStr">
        <is>
          <t>S04</t>
        </is>
      </c>
      <c r="D347" s="47" t="n">
        <v>45676</v>
      </c>
      <c r="E347" s="47" t="n">
        <v>45711</v>
      </c>
      <c r="F347" s="47" t="n">
        <v>45711</v>
      </c>
      <c r="G347" s="46" t="n">
        <v>56379</v>
      </c>
      <c r="H347" s="46" t="n">
        <v>56379</v>
      </c>
      <c r="I347" s="46" t="n">
        <v>553</v>
      </c>
      <c r="J347" s="44" t="n">
        <v>0.0968</v>
      </c>
      <c r="K347" s="43" t="inlineStr">
        <is>
          <t>Received</t>
        </is>
      </c>
      <c r="L347" s="17">
        <f>INDEX(Items!$C$2:$C$117,MATCH(B347,Items!$A$2:$A$117,0))</f>
        <v/>
      </c>
      <c r="M347" s="49">
        <f>INDEX(Items!$E$2:$E$117,MATCH(B347,Items!$A$2:$A$117,0))</f>
        <v/>
      </c>
      <c r="N347" s="17">
        <f>TEXT(D347,"yyyy-mm")</f>
        <v/>
      </c>
      <c r="O347" s="50">
        <f>G347*J347</f>
        <v/>
      </c>
      <c r="P347" s="50">
        <f>(J347-M347)*G347</f>
        <v/>
      </c>
      <c r="Q347" s="51">
        <f>IF(K347="Received",1,0)</f>
        <v/>
      </c>
      <c r="R347" s="51">
        <f>IF(Q347=1,F347-D347,0)</f>
        <v/>
      </c>
      <c r="S347" s="51">
        <f>IF(Q347=1,IF(F347&lt;=E347,1,0),0)</f>
        <v/>
      </c>
      <c r="T347" s="51">
        <f>IF(Q347=1,IF(H347&gt;=G347,1,0),0)</f>
        <v/>
      </c>
      <c r="U347" s="51">
        <f>S347*T347</f>
        <v/>
      </c>
      <c r="V347" s="51">
        <f>IF(Q347=1,MAX(0,F347-E347),0)</f>
        <v/>
      </c>
    </row>
    <row r="348">
      <c r="A348" s="43" t="inlineStr">
        <is>
          <t>PO101920</t>
        </is>
      </c>
      <c r="B348" s="43" t="inlineStr">
        <is>
          <t>CMD-0106</t>
        </is>
      </c>
      <c r="C348" s="43" t="inlineStr">
        <is>
          <t>S09</t>
        </is>
      </c>
      <c r="D348" s="47" t="n">
        <v>45677</v>
      </c>
      <c r="E348" s="47" t="n">
        <v>45698</v>
      </c>
      <c r="F348" s="47" t="n">
        <v>45695</v>
      </c>
      <c r="G348" s="46" t="n">
        <v>504</v>
      </c>
      <c r="H348" s="46" t="n">
        <v>504</v>
      </c>
      <c r="I348" s="46" t="n">
        <v>0</v>
      </c>
      <c r="J348" s="44" t="n">
        <v>10.42</v>
      </c>
      <c r="K348" s="43" t="inlineStr">
        <is>
          <t>Received</t>
        </is>
      </c>
      <c r="L348" s="17">
        <f>INDEX(Items!$C$2:$C$117,MATCH(B348,Items!$A$2:$A$117,0))</f>
        <v/>
      </c>
      <c r="M348" s="49">
        <f>INDEX(Items!$E$2:$E$117,MATCH(B348,Items!$A$2:$A$117,0))</f>
        <v/>
      </c>
      <c r="N348" s="17">
        <f>TEXT(D348,"yyyy-mm")</f>
        <v/>
      </c>
      <c r="O348" s="50">
        <f>G348*J348</f>
        <v/>
      </c>
      <c r="P348" s="50">
        <f>(J348-M348)*G348</f>
        <v/>
      </c>
      <c r="Q348" s="51">
        <f>IF(K348="Received",1,0)</f>
        <v/>
      </c>
      <c r="R348" s="51">
        <f>IF(Q348=1,F348-D348,0)</f>
        <v/>
      </c>
      <c r="S348" s="51">
        <f>IF(Q348=1,IF(F348&lt;=E348,1,0),0)</f>
        <v/>
      </c>
      <c r="T348" s="51">
        <f>IF(Q348=1,IF(H348&gt;=G348,1,0),0)</f>
        <v/>
      </c>
      <c r="U348" s="51">
        <f>S348*T348</f>
        <v/>
      </c>
      <c r="V348" s="51">
        <f>IF(Q348=1,MAX(0,F348-E348),0)</f>
        <v/>
      </c>
    </row>
    <row r="349">
      <c r="A349" s="43" t="inlineStr">
        <is>
          <t>PO101208</t>
        </is>
      </c>
      <c r="B349" s="43" t="inlineStr">
        <is>
          <t>CMD-0056</t>
        </is>
      </c>
      <c r="C349" s="43" t="inlineStr">
        <is>
          <t>S04</t>
        </is>
      </c>
      <c r="D349" s="47" t="n">
        <v>45678</v>
      </c>
      <c r="E349" s="47" t="n">
        <v>45713</v>
      </c>
      <c r="F349" s="47" t="n">
        <v>45713</v>
      </c>
      <c r="G349" s="46" t="n">
        <v>63834</v>
      </c>
      <c r="H349" s="46" t="n">
        <v>63834</v>
      </c>
      <c r="I349" s="46" t="n">
        <v>679</v>
      </c>
      <c r="J349" s="44" t="n">
        <v>0.1015</v>
      </c>
      <c r="K349" s="43" t="inlineStr">
        <is>
          <t>Received</t>
        </is>
      </c>
      <c r="L349" s="17">
        <f>INDEX(Items!$C$2:$C$117,MATCH(B349,Items!$A$2:$A$117,0))</f>
        <v/>
      </c>
      <c r="M349" s="49">
        <f>INDEX(Items!$E$2:$E$117,MATCH(B349,Items!$A$2:$A$117,0))</f>
        <v/>
      </c>
      <c r="N349" s="17">
        <f>TEXT(D349,"yyyy-mm")</f>
        <v/>
      </c>
      <c r="O349" s="50">
        <f>G349*J349</f>
        <v/>
      </c>
      <c r="P349" s="50">
        <f>(J349-M349)*G349</f>
        <v/>
      </c>
      <c r="Q349" s="51">
        <f>IF(K349="Received",1,0)</f>
        <v/>
      </c>
      <c r="R349" s="51">
        <f>IF(Q349=1,F349-D349,0)</f>
        <v/>
      </c>
      <c r="S349" s="51">
        <f>IF(Q349=1,IF(F349&lt;=E349,1,0),0)</f>
        <v/>
      </c>
      <c r="T349" s="51">
        <f>IF(Q349=1,IF(H349&gt;=G349,1,0),0)</f>
        <v/>
      </c>
      <c r="U349" s="51">
        <f>S349*T349</f>
        <v/>
      </c>
      <c r="V349" s="51">
        <f>IF(Q349=1,MAX(0,F349-E349),0)</f>
        <v/>
      </c>
    </row>
    <row r="350">
      <c r="A350" s="43" t="inlineStr">
        <is>
          <t>PO101254</t>
        </is>
      </c>
      <c r="B350" s="43" t="inlineStr">
        <is>
          <t>CMD-0059</t>
        </is>
      </c>
      <c r="C350" s="43" t="inlineStr">
        <is>
          <t>S01</t>
        </is>
      </c>
      <c r="D350" s="47" t="n">
        <v>45679</v>
      </c>
      <c r="E350" s="47" t="n">
        <v>45700</v>
      </c>
      <c r="F350" s="47" t="n">
        <v>45699</v>
      </c>
      <c r="G350" s="46" t="n">
        <v>170909</v>
      </c>
      <c r="H350" s="46" t="n">
        <v>170909</v>
      </c>
      <c r="I350" s="46" t="n">
        <v>372</v>
      </c>
      <c r="J350" s="44" t="n">
        <v>0.0281</v>
      </c>
      <c r="K350" s="43" t="inlineStr">
        <is>
          <t>Received</t>
        </is>
      </c>
      <c r="L350" s="17">
        <f>INDEX(Items!$C$2:$C$117,MATCH(B350,Items!$A$2:$A$117,0))</f>
        <v/>
      </c>
      <c r="M350" s="49">
        <f>INDEX(Items!$E$2:$E$117,MATCH(B350,Items!$A$2:$A$117,0))</f>
        <v/>
      </c>
      <c r="N350" s="17">
        <f>TEXT(D350,"yyyy-mm")</f>
        <v/>
      </c>
      <c r="O350" s="50">
        <f>G350*J350</f>
        <v/>
      </c>
      <c r="P350" s="50">
        <f>(J350-M350)*G350</f>
        <v/>
      </c>
      <c r="Q350" s="51">
        <f>IF(K350="Received",1,0)</f>
        <v/>
      </c>
      <c r="R350" s="51">
        <f>IF(Q350=1,F350-D350,0)</f>
        <v/>
      </c>
      <c r="S350" s="51">
        <f>IF(Q350=1,IF(F350&lt;=E350,1,0),0)</f>
        <v/>
      </c>
      <c r="T350" s="51">
        <f>IF(Q350=1,IF(H350&gt;=G350,1,0),0)</f>
        <v/>
      </c>
      <c r="U350" s="51">
        <f>S350*T350</f>
        <v/>
      </c>
      <c r="V350" s="51">
        <f>IF(Q350=1,MAX(0,F350-E350),0)</f>
        <v/>
      </c>
    </row>
    <row r="351">
      <c r="A351" s="43" t="inlineStr">
        <is>
          <t>PO101108</t>
        </is>
      </c>
      <c r="B351" s="43" t="inlineStr">
        <is>
          <t>CMD-0051</t>
        </is>
      </c>
      <c r="C351" s="43" t="inlineStr">
        <is>
          <t>S01</t>
        </is>
      </c>
      <c r="D351" s="47" t="n">
        <v>45680</v>
      </c>
      <c r="E351" s="47" t="n">
        <v>45701</v>
      </c>
      <c r="F351" s="47" t="n">
        <v>45700</v>
      </c>
      <c r="G351" s="46" t="n">
        <v>264813</v>
      </c>
      <c r="H351" s="46" t="n">
        <v>264813</v>
      </c>
      <c r="I351" s="46" t="n">
        <v>540</v>
      </c>
      <c r="J351" s="44" t="n">
        <v>0.0236</v>
      </c>
      <c r="K351" s="43" t="inlineStr">
        <is>
          <t>Received</t>
        </is>
      </c>
      <c r="L351" s="17">
        <f>INDEX(Items!$C$2:$C$117,MATCH(B351,Items!$A$2:$A$117,0))</f>
        <v/>
      </c>
      <c r="M351" s="49">
        <f>INDEX(Items!$E$2:$E$117,MATCH(B351,Items!$A$2:$A$117,0))</f>
        <v/>
      </c>
      <c r="N351" s="17">
        <f>TEXT(D351,"yyyy-mm")</f>
        <v/>
      </c>
      <c r="O351" s="50">
        <f>G351*J351</f>
        <v/>
      </c>
      <c r="P351" s="50">
        <f>(J351-M351)*G351</f>
        <v/>
      </c>
      <c r="Q351" s="51">
        <f>IF(K351="Received",1,0)</f>
        <v/>
      </c>
      <c r="R351" s="51">
        <f>IF(Q351=1,F351-D351,0)</f>
        <v/>
      </c>
      <c r="S351" s="51">
        <f>IF(Q351=1,IF(F351&lt;=E351,1,0),0)</f>
        <v/>
      </c>
      <c r="T351" s="51">
        <f>IF(Q351=1,IF(H351&gt;=G351,1,0),0)</f>
        <v/>
      </c>
      <c r="U351" s="51">
        <f>S351*T351</f>
        <v/>
      </c>
      <c r="V351" s="51">
        <f>IF(Q351=1,MAX(0,F351-E351),0)</f>
        <v/>
      </c>
    </row>
    <row r="352">
      <c r="A352" s="43" t="inlineStr">
        <is>
          <t>PO101345</t>
        </is>
      </c>
      <c r="B352" s="43" t="inlineStr">
        <is>
          <t>CMD-0068</t>
        </is>
      </c>
      <c r="C352" s="43" t="inlineStr">
        <is>
          <t>S01</t>
        </is>
      </c>
      <c r="D352" s="47" t="n">
        <v>45684</v>
      </c>
      <c r="E352" s="47" t="n">
        <v>45705</v>
      </c>
      <c r="F352" s="47" t="n">
        <v>45704</v>
      </c>
      <c r="G352" s="46" t="n">
        <v>38998</v>
      </c>
      <c r="H352" s="46" t="n">
        <v>38998</v>
      </c>
      <c r="I352" s="46" t="n">
        <v>80</v>
      </c>
      <c r="J352" s="44" t="n">
        <v>0.1562</v>
      </c>
      <c r="K352" s="43" t="inlineStr">
        <is>
          <t>Received</t>
        </is>
      </c>
      <c r="L352" s="17">
        <f>INDEX(Items!$C$2:$C$117,MATCH(B352,Items!$A$2:$A$117,0))</f>
        <v/>
      </c>
      <c r="M352" s="49">
        <f>INDEX(Items!$E$2:$E$117,MATCH(B352,Items!$A$2:$A$117,0))</f>
        <v/>
      </c>
      <c r="N352" s="17">
        <f>TEXT(D352,"yyyy-mm")</f>
        <v/>
      </c>
      <c r="O352" s="50">
        <f>G352*J352</f>
        <v/>
      </c>
      <c r="P352" s="50">
        <f>(J352-M352)*G352</f>
        <v/>
      </c>
      <c r="Q352" s="51">
        <f>IF(K352="Received",1,0)</f>
        <v/>
      </c>
      <c r="R352" s="51">
        <f>IF(Q352=1,F352-D352,0)</f>
        <v/>
      </c>
      <c r="S352" s="51">
        <f>IF(Q352=1,IF(F352&lt;=E352,1,0),0)</f>
        <v/>
      </c>
      <c r="T352" s="51">
        <f>IF(Q352=1,IF(H352&gt;=G352,1,0),0)</f>
        <v/>
      </c>
      <c r="U352" s="51">
        <f>S352*T352</f>
        <v/>
      </c>
      <c r="V352" s="51">
        <f>IF(Q352=1,MAX(0,F352-E352),0)</f>
        <v/>
      </c>
    </row>
    <row r="353">
      <c r="A353" s="43" t="inlineStr">
        <is>
          <t>PO100938</t>
        </is>
      </c>
      <c r="B353" s="43" t="inlineStr">
        <is>
          <t>CMD-0043</t>
        </is>
      </c>
      <c r="C353" s="43" t="inlineStr">
        <is>
          <t>S05</t>
        </is>
      </c>
      <c r="D353" s="47" t="n">
        <v>45690</v>
      </c>
      <c r="E353" s="47" t="n">
        <v>45795</v>
      </c>
      <c r="F353" s="47" t="n">
        <v>45794</v>
      </c>
      <c r="G353" s="46" t="n">
        <v>6599</v>
      </c>
      <c r="H353" s="46" t="n">
        <v>4315</v>
      </c>
      <c r="I353" s="46" t="n">
        <v>91</v>
      </c>
      <c r="J353" s="44" t="n">
        <v>3.69</v>
      </c>
      <c r="K353" s="43" t="inlineStr">
        <is>
          <t>Received</t>
        </is>
      </c>
      <c r="L353" s="17">
        <f>INDEX(Items!$C$2:$C$117,MATCH(B353,Items!$A$2:$A$117,0))</f>
        <v/>
      </c>
      <c r="M353" s="49">
        <f>INDEX(Items!$E$2:$E$117,MATCH(B353,Items!$A$2:$A$117,0))</f>
        <v/>
      </c>
      <c r="N353" s="17">
        <f>TEXT(D353,"yyyy-mm")</f>
        <v/>
      </c>
      <c r="O353" s="50">
        <f>G353*J353</f>
        <v/>
      </c>
      <c r="P353" s="50">
        <f>(J353-M353)*G353</f>
        <v/>
      </c>
      <c r="Q353" s="51">
        <f>IF(K353="Received",1,0)</f>
        <v/>
      </c>
      <c r="R353" s="51">
        <f>IF(Q353=1,F353-D353,0)</f>
        <v/>
      </c>
      <c r="S353" s="51">
        <f>IF(Q353=1,IF(F353&lt;=E353,1,0),0)</f>
        <v/>
      </c>
      <c r="T353" s="51">
        <f>IF(Q353=1,IF(H353&gt;=G353,1,0),0)</f>
        <v/>
      </c>
      <c r="U353" s="51">
        <f>S353*T353</f>
        <v/>
      </c>
      <c r="V353" s="51">
        <f>IF(Q353=1,MAX(0,F353-E353),0)</f>
        <v/>
      </c>
    </row>
    <row r="354">
      <c r="A354" s="43" t="inlineStr">
        <is>
          <t>PO100004</t>
        </is>
      </c>
      <c r="B354" s="43" t="inlineStr">
        <is>
          <t>CMD-0001</t>
        </is>
      </c>
      <c r="C354" s="43" t="inlineStr">
        <is>
          <t>S07</t>
        </is>
      </c>
      <c r="D354" s="47" t="n">
        <v>45690</v>
      </c>
      <c r="E354" s="47" t="n">
        <v>45781</v>
      </c>
      <c r="F354" s="47" t="n">
        <v>45780</v>
      </c>
      <c r="G354" s="46" t="n">
        <v>7163</v>
      </c>
      <c r="H354" s="46" t="n">
        <v>7163</v>
      </c>
      <c r="I354" s="46" t="n">
        <v>54</v>
      </c>
      <c r="J354" s="44" t="n">
        <v>14.26</v>
      </c>
      <c r="K354" s="43" t="inlineStr">
        <is>
          <t>Received</t>
        </is>
      </c>
      <c r="L354" s="17">
        <f>INDEX(Items!$C$2:$C$117,MATCH(B354,Items!$A$2:$A$117,0))</f>
        <v/>
      </c>
      <c r="M354" s="49">
        <f>INDEX(Items!$E$2:$E$117,MATCH(B354,Items!$A$2:$A$117,0))</f>
        <v/>
      </c>
      <c r="N354" s="17">
        <f>TEXT(D354,"yyyy-mm")</f>
        <v/>
      </c>
      <c r="O354" s="50">
        <f>G354*J354</f>
        <v/>
      </c>
      <c r="P354" s="50">
        <f>(J354-M354)*G354</f>
        <v/>
      </c>
      <c r="Q354" s="51">
        <f>IF(K354="Received",1,0)</f>
        <v/>
      </c>
      <c r="R354" s="51">
        <f>IF(Q354=1,F354-D354,0)</f>
        <v/>
      </c>
      <c r="S354" s="51">
        <f>IF(Q354=1,IF(F354&lt;=E354,1,0),0)</f>
        <v/>
      </c>
      <c r="T354" s="51">
        <f>IF(Q354=1,IF(H354&gt;=G354,1,0),0)</f>
        <v/>
      </c>
      <c r="U354" s="51">
        <f>S354*T354</f>
        <v/>
      </c>
      <c r="V354" s="51">
        <f>IF(Q354=1,MAX(0,F354-E354),0)</f>
        <v/>
      </c>
    </row>
    <row r="355">
      <c r="A355" s="43" t="inlineStr">
        <is>
          <t>PO100368</t>
        </is>
      </c>
      <c r="B355" s="43" t="inlineStr">
        <is>
          <t>CMD-0017</t>
        </is>
      </c>
      <c r="C355" s="43" t="inlineStr">
        <is>
          <t>S11</t>
        </is>
      </c>
      <c r="D355" s="47" t="n">
        <v>45690</v>
      </c>
      <c r="E355" s="47" t="n">
        <v>45767</v>
      </c>
      <c r="F355" s="47" t="n">
        <v>45765</v>
      </c>
      <c r="G355" s="46" t="n">
        <v>6627</v>
      </c>
      <c r="H355" s="46" t="n">
        <v>6627</v>
      </c>
      <c r="I355" s="46" t="n">
        <v>14</v>
      </c>
      <c r="J355" s="44" t="n">
        <v>12.69</v>
      </c>
      <c r="K355" s="43" t="inlineStr">
        <is>
          <t>Received</t>
        </is>
      </c>
      <c r="L355" s="17">
        <f>INDEX(Items!$C$2:$C$117,MATCH(B355,Items!$A$2:$A$117,0))</f>
        <v/>
      </c>
      <c r="M355" s="49">
        <f>INDEX(Items!$E$2:$E$117,MATCH(B355,Items!$A$2:$A$117,0))</f>
        <v/>
      </c>
      <c r="N355" s="17">
        <f>TEXT(D355,"yyyy-mm")</f>
        <v/>
      </c>
      <c r="O355" s="50">
        <f>G355*J355</f>
        <v/>
      </c>
      <c r="P355" s="50">
        <f>(J355-M355)*G355</f>
        <v/>
      </c>
      <c r="Q355" s="51">
        <f>IF(K355="Received",1,0)</f>
        <v/>
      </c>
      <c r="R355" s="51">
        <f>IF(Q355=1,F355-D355,0)</f>
        <v/>
      </c>
      <c r="S355" s="51">
        <f>IF(Q355=1,IF(F355&lt;=E355,1,0),0)</f>
        <v/>
      </c>
      <c r="T355" s="51">
        <f>IF(Q355=1,IF(H355&gt;=G355,1,0),0)</f>
        <v/>
      </c>
      <c r="U355" s="51">
        <f>S355*T355</f>
        <v/>
      </c>
      <c r="V355" s="51">
        <f>IF(Q355=1,MAX(0,F355-E355),0)</f>
        <v/>
      </c>
    </row>
    <row r="356">
      <c r="A356" s="43" t="inlineStr">
        <is>
          <t>PO100476</t>
        </is>
      </c>
      <c r="B356" s="43" t="inlineStr">
        <is>
          <t>CMD-0022</t>
        </is>
      </c>
      <c r="C356" s="43" t="inlineStr">
        <is>
          <t>S02</t>
        </is>
      </c>
      <c r="D356" s="47" t="n">
        <v>45690</v>
      </c>
      <c r="E356" s="47" t="n">
        <v>45746</v>
      </c>
      <c r="F356" s="47" t="n">
        <v>45743</v>
      </c>
      <c r="G356" s="46" t="n">
        <v>3916</v>
      </c>
      <c r="H356" s="46" t="n">
        <v>3916</v>
      </c>
      <c r="I356" s="46" t="n">
        <v>17</v>
      </c>
      <c r="J356" s="44" t="n">
        <v>17.18</v>
      </c>
      <c r="K356" s="43" t="inlineStr">
        <is>
          <t>Received</t>
        </is>
      </c>
      <c r="L356" s="17">
        <f>INDEX(Items!$C$2:$C$117,MATCH(B356,Items!$A$2:$A$117,0))</f>
        <v/>
      </c>
      <c r="M356" s="49">
        <f>INDEX(Items!$E$2:$E$117,MATCH(B356,Items!$A$2:$A$117,0))</f>
        <v/>
      </c>
      <c r="N356" s="17">
        <f>TEXT(D356,"yyyy-mm")</f>
        <v/>
      </c>
      <c r="O356" s="50">
        <f>G356*J356</f>
        <v/>
      </c>
      <c r="P356" s="50">
        <f>(J356-M356)*G356</f>
        <v/>
      </c>
      <c r="Q356" s="51">
        <f>IF(K356="Received",1,0)</f>
        <v/>
      </c>
      <c r="R356" s="51">
        <f>IF(Q356=1,F356-D356,0)</f>
        <v/>
      </c>
      <c r="S356" s="51">
        <f>IF(Q356=1,IF(F356&lt;=E356,1,0),0)</f>
        <v/>
      </c>
      <c r="T356" s="51">
        <f>IF(Q356=1,IF(H356&gt;=G356,1,0),0)</f>
        <v/>
      </c>
      <c r="U356" s="51">
        <f>S356*T356</f>
        <v/>
      </c>
      <c r="V356" s="51">
        <f>IF(Q356=1,MAX(0,F356-E356),0)</f>
        <v/>
      </c>
    </row>
    <row r="357">
      <c r="A357" s="43" t="inlineStr">
        <is>
          <t>PO101536</t>
        </is>
      </c>
      <c r="B357" s="43" t="inlineStr">
        <is>
          <t>CMD-0082</t>
        </is>
      </c>
      <c r="C357" s="43" t="inlineStr">
        <is>
          <t>S01</t>
        </is>
      </c>
      <c r="D357" s="47" t="n">
        <v>45690</v>
      </c>
      <c r="E357" s="47" t="n">
        <v>45704</v>
      </c>
      <c r="F357" s="47" t="n">
        <v>45703</v>
      </c>
      <c r="G357" s="46" t="n">
        <v>8927</v>
      </c>
      <c r="H357" s="46" t="n">
        <v>8927</v>
      </c>
      <c r="I357" s="46" t="n">
        <v>11</v>
      </c>
      <c r="J357" s="44" t="n">
        <v>2.32</v>
      </c>
      <c r="K357" s="43" t="inlineStr">
        <is>
          <t>Received</t>
        </is>
      </c>
      <c r="L357" s="17">
        <f>INDEX(Items!$C$2:$C$117,MATCH(B357,Items!$A$2:$A$117,0))</f>
        <v/>
      </c>
      <c r="M357" s="49">
        <f>INDEX(Items!$E$2:$E$117,MATCH(B357,Items!$A$2:$A$117,0))</f>
        <v/>
      </c>
      <c r="N357" s="17">
        <f>TEXT(D357,"yyyy-mm")</f>
        <v/>
      </c>
      <c r="O357" s="50">
        <f>G357*J357</f>
        <v/>
      </c>
      <c r="P357" s="50">
        <f>(J357-M357)*G357</f>
        <v/>
      </c>
      <c r="Q357" s="51">
        <f>IF(K357="Received",1,0)</f>
        <v/>
      </c>
      <c r="R357" s="51">
        <f>IF(Q357=1,F357-D357,0)</f>
        <v/>
      </c>
      <c r="S357" s="51">
        <f>IF(Q357=1,IF(F357&lt;=E357,1,0),0)</f>
        <v/>
      </c>
      <c r="T357" s="51">
        <f>IF(Q357=1,IF(H357&gt;=G357,1,0),0)</f>
        <v/>
      </c>
      <c r="U357" s="51">
        <f>S357*T357</f>
        <v/>
      </c>
      <c r="V357" s="51">
        <f>IF(Q357=1,MAX(0,F357-E357),0)</f>
        <v/>
      </c>
    </row>
    <row r="358">
      <c r="A358" s="43" t="inlineStr">
        <is>
          <t>PO100320</t>
        </is>
      </c>
      <c r="B358" s="43" t="inlineStr">
        <is>
          <t>CMD-0015</t>
        </is>
      </c>
      <c r="C358" s="43" t="inlineStr">
        <is>
          <t>S03</t>
        </is>
      </c>
      <c r="D358" s="47" t="n">
        <v>45690</v>
      </c>
      <c r="E358" s="47" t="n">
        <v>45823</v>
      </c>
      <c r="F358" s="47" t="n">
        <v>45823</v>
      </c>
      <c r="G358" s="46" t="n">
        <v>3640</v>
      </c>
      <c r="H358" s="46" t="n">
        <v>3640</v>
      </c>
      <c r="I358" s="46" t="n">
        <v>23</v>
      </c>
      <c r="J358" s="44" t="n">
        <v>5.66</v>
      </c>
      <c r="K358" s="43" t="inlineStr">
        <is>
          <t>Received</t>
        </is>
      </c>
      <c r="L358" s="17">
        <f>INDEX(Items!$C$2:$C$117,MATCH(B358,Items!$A$2:$A$117,0))</f>
        <v/>
      </c>
      <c r="M358" s="49">
        <f>INDEX(Items!$E$2:$E$117,MATCH(B358,Items!$A$2:$A$117,0))</f>
        <v/>
      </c>
      <c r="N358" s="17">
        <f>TEXT(D358,"yyyy-mm")</f>
        <v/>
      </c>
      <c r="O358" s="50">
        <f>G358*J358</f>
        <v/>
      </c>
      <c r="P358" s="50">
        <f>(J358-M358)*G358</f>
        <v/>
      </c>
      <c r="Q358" s="51">
        <f>IF(K358="Received",1,0)</f>
        <v/>
      </c>
      <c r="R358" s="51">
        <f>IF(Q358=1,F358-D358,0)</f>
        <v/>
      </c>
      <c r="S358" s="51">
        <f>IF(Q358=1,IF(F358&lt;=E358,1,0),0)</f>
        <v/>
      </c>
      <c r="T358" s="51">
        <f>IF(Q358=1,IF(H358&gt;=G358,1,0),0)</f>
        <v/>
      </c>
      <c r="U358" s="51">
        <f>S358*T358</f>
        <v/>
      </c>
      <c r="V358" s="51">
        <f>IF(Q358=1,MAX(0,F358-E358),0)</f>
        <v/>
      </c>
    </row>
    <row r="359">
      <c r="A359" s="43" t="inlineStr">
        <is>
          <t>PO100028</t>
        </is>
      </c>
      <c r="B359" s="43" t="inlineStr">
        <is>
          <t>CMD-0002</t>
        </is>
      </c>
      <c r="C359" s="43" t="inlineStr">
        <is>
          <t>S11</t>
        </is>
      </c>
      <c r="D359" s="47" t="n">
        <v>45690</v>
      </c>
      <c r="E359" s="47" t="n">
        <v>45809</v>
      </c>
      <c r="F359" s="47" t="n">
        <v>45809</v>
      </c>
      <c r="G359" s="46" t="n">
        <v>8544</v>
      </c>
      <c r="H359" s="46" t="n">
        <v>8544</v>
      </c>
      <c r="I359" s="46" t="n">
        <v>18</v>
      </c>
      <c r="J359" s="44" t="n">
        <v>6.85</v>
      </c>
      <c r="K359" s="43" t="inlineStr">
        <is>
          <t>Received</t>
        </is>
      </c>
      <c r="L359" s="17">
        <f>INDEX(Items!$C$2:$C$117,MATCH(B359,Items!$A$2:$A$117,0))</f>
        <v/>
      </c>
      <c r="M359" s="49">
        <f>INDEX(Items!$E$2:$E$117,MATCH(B359,Items!$A$2:$A$117,0))</f>
        <v/>
      </c>
      <c r="N359" s="17">
        <f>TEXT(D359,"yyyy-mm")</f>
        <v/>
      </c>
      <c r="O359" s="50">
        <f>G359*J359</f>
        <v/>
      </c>
      <c r="P359" s="50">
        <f>(J359-M359)*G359</f>
        <v/>
      </c>
      <c r="Q359" s="51">
        <f>IF(K359="Received",1,0)</f>
        <v/>
      </c>
      <c r="R359" s="51">
        <f>IF(Q359=1,F359-D359,0)</f>
        <v/>
      </c>
      <c r="S359" s="51">
        <f>IF(Q359=1,IF(F359&lt;=E359,1,0),0)</f>
        <v/>
      </c>
      <c r="T359" s="51">
        <f>IF(Q359=1,IF(H359&gt;=G359,1,0),0)</f>
        <v/>
      </c>
      <c r="U359" s="51">
        <f>S359*T359</f>
        <v/>
      </c>
      <c r="V359" s="51">
        <f>IF(Q359=1,MAX(0,F359-E359),0)</f>
        <v/>
      </c>
    </row>
    <row r="360">
      <c r="A360" s="43" t="inlineStr">
        <is>
          <t>PO101124</t>
        </is>
      </c>
      <c r="B360" s="43" t="inlineStr">
        <is>
          <t>CMD-0052</t>
        </is>
      </c>
      <c r="C360" s="43" t="inlineStr">
        <is>
          <t>S01</t>
        </is>
      </c>
      <c r="D360" s="47" t="n">
        <v>45690</v>
      </c>
      <c r="E360" s="47" t="n">
        <v>45711</v>
      </c>
      <c r="F360" s="47" t="n">
        <v>45709</v>
      </c>
      <c r="G360" s="46" t="n">
        <v>114772</v>
      </c>
      <c r="H360" s="46" t="n">
        <v>114772</v>
      </c>
      <c r="I360" s="46" t="n">
        <v>253</v>
      </c>
      <c r="J360" s="44" t="n">
        <v>0.2016</v>
      </c>
      <c r="K360" s="43" t="inlineStr">
        <is>
          <t>Received</t>
        </is>
      </c>
      <c r="L360" s="17">
        <f>INDEX(Items!$C$2:$C$117,MATCH(B360,Items!$A$2:$A$117,0))</f>
        <v/>
      </c>
      <c r="M360" s="49">
        <f>INDEX(Items!$E$2:$E$117,MATCH(B360,Items!$A$2:$A$117,0))</f>
        <v/>
      </c>
      <c r="N360" s="17">
        <f>TEXT(D360,"yyyy-mm")</f>
        <v/>
      </c>
      <c r="O360" s="50">
        <f>G360*J360</f>
        <v/>
      </c>
      <c r="P360" s="50">
        <f>(J360-M360)*G360</f>
        <v/>
      </c>
      <c r="Q360" s="51">
        <f>IF(K360="Received",1,0)</f>
        <v/>
      </c>
      <c r="R360" s="51">
        <f>IF(Q360=1,F360-D360,0)</f>
        <v/>
      </c>
      <c r="S360" s="51">
        <f>IF(Q360=1,IF(F360&lt;=E360,1,0),0)</f>
        <v/>
      </c>
      <c r="T360" s="51">
        <f>IF(Q360=1,IF(H360&gt;=G360,1,0),0)</f>
        <v/>
      </c>
      <c r="U360" s="51">
        <f>S360*T360</f>
        <v/>
      </c>
      <c r="V360" s="51">
        <f>IF(Q360=1,MAX(0,F360-E360),0)</f>
        <v/>
      </c>
    </row>
    <row r="361">
      <c r="A361" s="43" t="inlineStr">
        <is>
          <t>PO100124</t>
        </is>
      </c>
      <c r="B361" s="43" t="inlineStr">
        <is>
          <t>CMD-0006</t>
        </is>
      </c>
      <c r="C361" s="43" t="inlineStr">
        <is>
          <t>S03</t>
        </is>
      </c>
      <c r="D361" s="47" t="n">
        <v>45690</v>
      </c>
      <c r="E361" s="47" t="n">
        <v>45823</v>
      </c>
      <c r="F361" s="47" t="n">
        <v>45829</v>
      </c>
      <c r="G361" s="46" t="n">
        <v>751</v>
      </c>
      <c r="H361" s="46" t="n">
        <v>751</v>
      </c>
      <c r="I361" s="46" t="n">
        <v>4</v>
      </c>
      <c r="J361" s="44" t="n">
        <v>30.55</v>
      </c>
      <c r="K361" s="43" t="inlineStr">
        <is>
          <t>Received</t>
        </is>
      </c>
      <c r="L361" s="17">
        <f>INDEX(Items!$C$2:$C$117,MATCH(B361,Items!$A$2:$A$117,0))</f>
        <v/>
      </c>
      <c r="M361" s="49">
        <f>INDEX(Items!$E$2:$E$117,MATCH(B361,Items!$A$2:$A$117,0))</f>
        <v/>
      </c>
      <c r="N361" s="17">
        <f>TEXT(D361,"yyyy-mm")</f>
        <v/>
      </c>
      <c r="O361" s="50">
        <f>G361*J361</f>
        <v/>
      </c>
      <c r="P361" s="50">
        <f>(J361-M361)*G361</f>
        <v/>
      </c>
      <c r="Q361" s="51">
        <f>IF(K361="Received",1,0)</f>
        <v/>
      </c>
      <c r="R361" s="51">
        <f>IF(Q361=1,F361-D361,0)</f>
        <v/>
      </c>
      <c r="S361" s="51">
        <f>IF(Q361=1,IF(F361&lt;=E361,1,0),0)</f>
        <v/>
      </c>
      <c r="T361" s="51">
        <f>IF(Q361=1,IF(H361&gt;=G361,1,0),0)</f>
        <v/>
      </c>
      <c r="U361" s="51">
        <f>S361*T361</f>
        <v/>
      </c>
      <c r="V361" s="51">
        <f>IF(Q361=1,MAX(0,F361-E361),0)</f>
        <v/>
      </c>
    </row>
    <row r="362">
      <c r="A362" s="43" t="inlineStr">
        <is>
          <t>PO100272</t>
        </is>
      </c>
      <c r="B362" s="43" t="inlineStr">
        <is>
          <t>CMD-0013</t>
        </is>
      </c>
      <c r="C362" s="43" t="inlineStr">
        <is>
          <t>S11</t>
        </is>
      </c>
      <c r="D362" s="47" t="n">
        <v>45690</v>
      </c>
      <c r="E362" s="47" t="n">
        <v>45809</v>
      </c>
      <c r="F362" s="47" t="n">
        <v>45806</v>
      </c>
      <c r="G362" s="46" t="n">
        <v>925</v>
      </c>
      <c r="H362" s="46" t="n">
        <v>925</v>
      </c>
      <c r="I362" s="46" t="n">
        <v>0</v>
      </c>
      <c r="J362" s="44" t="n">
        <v>6.75</v>
      </c>
      <c r="K362" s="43" t="inlineStr">
        <is>
          <t>Received</t>
        </is>
      </c>
      <c r="L362" s="17">
        <f>INDEX(Items!$C$2:$C$117,MATCH(B362,Items!$A$2:$A$117,0))</f>
        <v/>
      </c>
      <c r="M362" s="49">
        <f>INDEX(Items!$E$2:$E$117,MATCH(B362,Items!$A$2:$A$117,0))</f>
        <v/>
      </c>
      <c r="N362" s="17">
        <f>TEXT(D362,"yyyy-mm")</f>
        <v/>
      </c>
      <c r="O362" s="50">
        <f>G362*J362</f>
        <v/>
      </c>
      <c r="P362" s="50">
        <f>(J362-M362)*G362</f>
        <v/>
      </c>
      <c r="Q362" s="51">
        <f>IF(K362="Received",1,0)</f>
        <v/>
      </c>
      <c r="R362" s="51">
        <f>IF(Q362=1,F362-D362,0)</f>
        <v/>
      </c>
      <c r="S362" s="51">
        <f>IF(Q362=1,IF(F362&lt;=E362,1,0),0)</f>
        <v/>
      </c>
      <c r="T362" s="51">
        <f>IF(Q362=1,IF(H362&gt;=G362,1,0),0)</f>
        <v/>
      </c>
      <c r="U362" s="51">
        <f>S362*T362</f>
        <v/>
      </c>
      <c r="V362" s="51">
        <f>IF(Q362=1,MAX(0,F362-E362),0)</f>
        <v/>
      </c>
    </row>
    <row r="363">
      <c r="A363" s="43" t="inlineStr">
        <is>
          <t>PO100620</t>
        </is>
      </c>
      <c r="B363" s="43" t="inlineStr">
        <is>
          <t>CMD-0028</t>
        </is>
      </c>
      <c r="C363" s="43" t="inlineStr">
        <is>
          <t>S11</t>
        </is>
      </c>
      <c r="D363" s="47" t="n">
        <v>45691</v>
      </c>
      <c r="E363" s="47" t="n">
        <v>45768</v>
      </c>
      <c r="F363" s="47" t="n">
        <v>45765</v>
      </c>
      <c r="G363" s="46" t="n">
        <v>3637</v>
      </c>
      <c r="H363" s="46" t="n">
        <v>3637</v>
      </c>
      <c r="I363" s="46" t="n">
        <v>5</v>
      </c>
      <c r="J363" s="44" t="n">
        <v>15.84</v>
      </c>
      <c r="K363" s="43" t="inlineStr">
        <is>
          <t>Received</t>
        </is>
      </c>
      <c r="L363" s="17">
        <f>INDEX(Items!$C$2:$C$117,MATCH(B363,Items!$A$2:$A$117,0))</f>
        <v/>
      </c>
      <c r="M363" s="49">
        <f>INDEX(Items!$E$2:$E$117,MATCH(B363,Items!$A$2:$A$117,0))</f>
        <v/>
      </c>
      <c r="N363" s="17">
        <f>TEXT(D363,"yyyy-mm")</f>
        <v/>
      </c>
      <c r="O363" s="50">
        <f>G363*J363</f>
        <v/>
      </c>
      <c r="P363" s="50">
        <f>(J363-M363)*G363</f>
        <v/>
      </c>
      <c r="Q363" s="51">
        <f>IF(K363="Received",1,0)</f>
        <v/>
      </c>
      <c r="R363" s="51">
        <f>IF(Q363=1,F363-D363,0)</f>
        <v/>
      </c>
      <c r="S363" s="51">
        <f>IF(Q363=1,IF(F363&lt;=E363,1,0),0)</f>
        <v/>
      </c>
      <c r="T363" s="51">
        <f>IF(Q363=1,IF(H363&gt;=G363,1,0),0)</f>
        <v/>
      </c>
      <c r="U363" s="51">
        <f>S363*T363</f>
        <v/>
      </c>
      <c r="V363" s="51">
        <f>IF(Q363=1,MAX(0,F363-E363),0)</f>
        <v/>
      </c>
    </row>
    <row r="364">
      <c r="A364" s="43" t="inlineStr">
        <is>
          <t>PO101694</t>
        </is>
      </c>
      <c r="B364" s="43" t="inlineStr">
        <is>
          <t>CMD-0093</t>
        </is>
      </c>
      <c r="C364" s="43" t="inlineStr">
        <is>
          <t>S08</t>
        </is>
      </c>
      <c r="D364" s="47" t="n">
        <v>45691</v>
      </c>
      <c r="E364" s="47" t="n">
        <v>45768</v>
      </c>
      <c r="F364" s="47" t="n">
        <v>45765</v>
      </c>
      <c r="G364" s="46" t="n">
        <v>689</v>
      </c>
      <c r="H364" s="46" t="n">
        <v>689</v>
      </c>
      <c r="I364" s="46" t="n">
        <v>5</v>
      </c>
      <c r="J364" s="44" t="n">
        <v>59.41</v>
      </c>
      <c r="K364" s="43" t="inlineStr">
        <is>
          <t>Received</t>
        </is>
      </c>
      <c r="L364" s="17">
        <f>INDEX(Items!$C$2:$C$117,MATCH(B364,Items!$A$2:$A$117,0))</f>
        <v/>
      </c>
      <c r="M364" s="49">
        <f>INDEX(Items!$E$2:$E$117,MATCH(B364,Items!$A$2:$A$117,0))</f>
        <v/>
      </c>
      <c r="N364" s="17">
        <f>TEXT(D364,"yyyy-mm")</f>
        <v/>
      </c>
      <c r="O364" s="50">
        <f>G364*J364</f>
        <v/>
      </c>
      <c r="P364" s="50">
        <f>(J364-M364)*G364</f>
        <v/>
      </c>
      <c r="Q364" s="51">
        <f>IF(K364="Received",1,0)</f>
        <v/>
      </c>
      <c r="R364" s="51">
        <f>IF(Q364=1,F364-D364,0)</f>
        <v/>
      </c>
      <c r="S364" s="51">
        <f>IF(Q364=1,IF(F364&lt;=E364,1,0),0)</f>
        <v/>
      </c>
      <c r="T364" s="51">
        <f>IF(Q364=1,IF(H364&gt;=G364,1,0),0)</f>
        <v/>
      </c>
      <c r="U364" s="51">
        <f>S364*T364</f>
        <v/>
      </c>
      <c r="V364" s="51">
        <f>IF(Q364=1,MAX(0,F364-E364),0)</f>
        <v/>
      </c>
    </row>
    <row r="365">
      <c r="A365" s="43" t="inlineStr">
        <is>
          <t>PO100572</t>
        </is>
      </c>
      <c r="B365" s="43" t="inlineStr">
        <is>
          <t>CMD-0026</t>
        </is>
      </c>
      <c r="C365" s="43" t="inlineStr">
        <is>
          <t>S04</t>
        </is>
      </c>
      <c r="D365" s="47" t="n">
        <v>45691</v>
      </c>
      <c r="E365" s="47" t="n">
        <v>45761</v>
      </c>
      <c r="F365" s="47" t="n">
        <v>45759</v>
      </c>
      <c r="G365" s="46" t="n">
        <v>7851</v>
      </c>
      <c r="H365" s="46" t="n">
        <v>7851</v>
      </c>
      <c r="I365" s="46" t="n">
        <v>77</v>
      </c>
      <c r="J365" s="44" t="n">
        <v>5.96</v>
      </c>
      <c r="K365" s="43" t="inlineStr">
        <is>
          <t>Received</t>
        </is>
      </c>
      <c r="L365" s="17">
        <f>INDEX(Items!$C$2:$C$117,MATCH(B365,Items!$A$2:$A$117,0))</f>
        <v/>
      </c>
      <c r="M365" s="49">
        <f>INDEX(Items!$E$2:$E$117,MATCH(B365,Items!$A$2:$A$117,0))</f>
        <v/>
      </c>
      <c r="N365" s="17">
        <f>TEXT(D365,"yyyy-mm")</f>
        <v/>
      </c>
      <c r="O365" s="50">
        <f>G365*J365</f>
        <v/>
      </c>
      <c r="P365" s="50">
        <f>(J365-M365)*G365</f>
        <v/>
      </c>
      <c r="Q365" s="51">
        <f>IF(K365="Received",1,0)</f>
        <v/>
      </c>
      <c r="R365" s="51">
        <f>IF(Q365=1,F365-D365,0)</f>
        <v/>
      </c>
      <c r="S365" s="51">
        <f>IF(Q365=1,IF(F365&lt;=E365,1,0),0)</f>
        <v/>
      </c>
      <c r="T365" s="51">
        <f>IF(Q365=1,IF(H365&gt;=G365,1,0),0)</f>
        <v/>
      </c>
      <c r="U365" s="51">
        <f>S365*T365</f>
        <v/>
      </c>
      <c r="V365" s="51">
        <f>IF(Q365=1,MAX(0,F365-E365),0)</f>
        <v/>
      </c>
    </row>
    <row r="366">
      <c r="A366" s="43" t="inlineStr">
        <is>
          <t>PO100774</t>
        </is>
      </c>
      <c r="B366" s="43" t="inlineStr">
        <is>
          <t>CMD-0035</t>
        </is>
      </c>
      <c r="C366" s="43" t="inlineStr">
        <is>
          <t>S01</t>
        </is>
      </c>
      <c r="D366" s="47" t="n">
        <v>45691</v>
      </c>
      <c r="E366" s="47" t="n">
        <v>45719</v>
      </c>
      <c r="F366" s="47" t="n">
        <v>45719</v>
      </c>
      <c r="G366" s="46" t="n">
        <v>735</v>
      </c>
      <c r="H366" s="46" t="n">
        <v>735</v>
      </c>
      <c r="I366" s="46" t="n">
        <v>1</v>
      </c>
      <c r="J366" s="44" t="n">
        <v>9.369999999999999</v>
      </c>
      <c r="K366" s="43" t="inlineStr">
        <is>
          <t>Received</t>
        </is>
      </c>
      <c r="L366" s="17">
        <f>INDEX(Items!$C$2:$C$117,MATCH(B366,Items!$A$2:$A$117,0))</f>
        <v/>
      </c>
      <c r="M366" s="49">
        <f>INDEX(Items!$E$2:$E$117,MATCH(B366,Items!$A$2:$A$117,0))</f>
        <v/>
      </c>
      <c r="N366" s="17">
        <f>TEXT(D366,"yyyy-mm")</f>
        <v/>
      </c>
      <c r="O366" s="50">
        <f>G366*J366</f>
        <v/>
      </c>
      <c r="P366" s="50">
        <f>(J366-M366)*G366</f>
        <v/>
      </c>
      <c r="Q366" s="51">
        <f>IF(K366="Received",1,0)</f>
        <v/>
      </c>
      <c r="R366" s="51">
        <f>IF(Q366=1,F366-D366,0)</f>
        <v/>
      </c>
      <c r="S366" s="51">
        <f>IF(Q366=1,IF(F366&lt;=E366,1,0),0)</f>
        <v/>
      </c>
      <c r="T366" s="51">
        <f>IF(Q366=1,IF(H366&gt;=G366,1,0),0)</f>
        <v/>
      </c>
      <c r="U366" s="51">
        <f>S366*T366</f>
        <v/>
      </c>
      <c r="V366" s="51">
        <f>IF(Q366=1,MAX(0,F366-E366),0)</f>
        <v/>
      </c>
    </row>
    <row r="367">
      <c r="A367" s="43" t="inlineStr">
        <is>
          <t>PO101400</t>
        </is>
      </c>
      <c r="B367" s="43" t="inlineStr">
        <is>
          <t>CMD-0074</t>
        </is>
      </c>
      <c r="C367" s="43" t="inlineStr">
        <is>
          <t>S10</t>
        </is>
      </c>
      <c r="D367" s="47" t="n">
        <v>45691</v>
      </c>
      <c r="E367" s="47" t="n">
        <v>45719</v>
      </c>
      <c r="F367" s="47" t="n">
        <v>45721</v>
      </c>
      <c r="G367" s="46" t="n">
        <v>60241</v>
      </c>
      <c r="H367" s="46" t="n">
        <v>60241</v>
      </c>
      <c r="I367" s="46" t="n">
        <v>52</v>
      </c>
      <c r="J367" s="44" t="n">
        <v>0.3496</v>
      </c>
      <c r="K367" s="43" t="inlineStr">
        <is>
          <t>Received</t>
        </is>
      </c>
      <c r="L367" s="17">
        <f>INDEX(Items!$C$2:$C$117,MATCH(B367,Items!$A$2:$A$117,0))</f>
        <v/>
      </c>
      <c r="M367" s="49">
        <f>INDEX(Items!$E$2:$E$117,MATCH(B367,Items!$A$2:$A$117,0))</f>
        <v/>
      </c>
      <c r="N367" s="17">
        <f>TEXT(D367,"yyyy-mm")</f>
        <v/>
      </c>
      <c r="O367" s="50">
        <f>G367*J367</f>
        <v/>
      </c>
      <c r="P367" s="50">
        <f>(J367-M367)*G367</f>
        <v/>
      </c>
      <c r="Q367" s="51">
        <f>IF(K367="Received",1,0)</f>
        <v/>
      </c>
      <c r="R367" s="51">
        <f>IF(Q367=1,F367-D367,0)</f>
        <v/>
      </c>
      <c r="S367" s="51">
        <f>IF(Q367=1,IF(F367&lt;=E367,1,0),0)</f>
        <v/>
      </c>
      <c r="T367" s="51">
        <f>IF(Q367=1,IF(H367&gt;=G367,1,0),0)</f>
        <v/>
      </c>
      <c r="U367" s="51">
        <f>S367*T367</f>
        <v/>
      </c>
      <c r="V367" s="51">
        <f>IF(Q367=1,MAX(0,F367-E367),0)</f>
        <v/>
      </c>
    </row>
    <row r="368">
      <c r="A368" s="43" t="inlineStr">
        <is>
          <t>PO100100</t>
        </is>
      </c>
      <c r="B368" s="43" t="inlineStr">
        <is>
          <t>CMD-0005</t>
        </is>
      </c>
      <c r="C368" s="43" t="inlineStr">
        <is>
          <t>S07</t>
        </is>
      </c>
      <c r="D368" s="47" t="n">
        <v>45691</v>
      </c>
      <c r="E368" s="47" t="n">
        <v>45782</v>
      </c>
      <c r="F368" s="47" t="n">
        <v>45780</v>
      </c>
      <c r="G368" s="46" t="n">
        <v>5065</v>
      </c>
      <c r="H368" s="46" t="n">
        <v>5065</v>
      </c>
      <c r="I368" s="46" t="n">
        <v>40</v>
      </c>
      <c r="J368" s="44" t="n">
        <v>5.63</v>
      </c>
      <c r="K368" s="43" t="inlineStr">
        <is>
          <t>Received</t>
        </is>
      </c>
      <c r="L368" s="17">
        <f>INDEX(Items!$C$2:$C$117,MATCH(B368,Items!$A$2:$A$117,0))</f>
        <v/>
      </c>
      <c r="M368" s="49">
        <f>INDEX(Items!$E$2:$E$117,MATCH(B368,Items!$A$2:$A$117,0))</f>
        <v/>
      </c>
      <c r="N368" s="17">
        <f>TEXT(D368,"yyyy-mm")</f>
        <v/>
      </c>
      <c r="O368" s="50">
        <f>G368*J368</f>
        <v/>
      </c>
      <c r="P368" s="50">
        <f>(J368-M368)*G368</f>
        <v/>
      </c>
      <c r="Q368" s="51">
        <f>IF(K368="Received",1,0)</f>
        <v/>
      </c>
      <c r="R368" s="51">
        <f>IF(Q368=1,F368-D368,0)</f>
        <v/>
      </c>
      <c r="S368" s="51">
        <f>IF(Q368=1,IF(F368&lt;=E368,1,0),0)</f>
        <v/>
      </c>
      <c r="T368" s="51">
        <f>IF(Q368=1,IF(H368&gt;=G368,1,0),0)</f>
        <v/>
      </c>
      <c r="U368" s="51">
        <f>S368*T368</f>
        <v/>
      </c>
      <c r="V368" s="51">
        <f>IF(Q368=1,MAX(0,F368-E368),0)</f>
        <v/>
      </c>
    </row>
    <row r="369">
      <c r="A369" s="43" t="inlineStr">
        <is>
          <t>PO101766</t>
        </is>
      </c>
      <c r="B369" s="43" t="inlineStr">
        <is>
          <t>CMD-0096</t>
        </is>
      </c>
      <c r="C369" s="43" t="inlineStr">
        <is>
          <t>S09</t>
        </is>
      </c>
      <c r="D369" s="47" t="n">
        <v>45691</v>
      </c>
      <c r="E369" s="47" t="n">
        <v>45712</v>
      </c>
      <c r="F369" s="47" t="n">
        <v>45712</v>
      </c>
      <c r="G369" s="46" t="n">
        <v>1008</v>
      </c>
      <c r="H369" s="46" t="n">
        <v>1008</v>
      </c>
      <c r="I369" s="46" t="n">
        <v>2</v>
      </c>
      <c r="J369" s="44" t="n">
        <v>6.42</v>
      </c>
      <c r="K369" s="43" t="inlineStr">
        <is>
          <t>Received</t>
        </is>
      </c>
      <c r="L369" s="17">
        <f>INDEX(Items!$C$2:$C$117,MATCH(B369,Items!$A$2:$A$117,0))</f>
        <v/>
      </c>
      <c r="M369" s="49">
        <f>INDEX(Items!$E$2:$E$117,MATCH(B369,Items!$A$2:$A$117,0))</f>
        <v/>
      </c>
      <c r="N369" s="17">
        <f>TEXT(D369,"yyyy-mm")</f>
        <v/>
      </c>
      <c r="O369" s="50">
        <f>G369*J369</f>
        <v/>
      </c>
      <c r="P369" s="50">
        <f>(J369-M369)*G369</f>
        <v/>
      </c>
      <c r="Q369" s="51">
        <f>IF(K369="Received",1,0)</f>
        <v/>
      </c>
      <c r="R369" s="51">
        <f>IF(Q369=1,F369-D369,0)</f>
        <v/>
      </c>
      <c r="S369" s="51">
        <f>IF(Q369=1,IF(F369&lt;=E369,1,0),0)</f>
        <v/>
      </c>
      <c r="T369" s="51">
        <f>IF(Q369=1,IF(H369&gt;=G369,1,0),0)</f>
        <v/>
      </c>
      <c r="U369" s="51">
        <f>S369*T369</f>
        <v/>
      </c>
      <c r="V369" s="51">
        <f>IF(Q369=1,MAX(0,F369-E369),0)</f>
        <v/>
      </c>
    </row>
    <row r="370">
      <c r="A370" s="43" t="inlineStr">
        <is>
          <t>PO101280</t>
        </is>
      </c>
      <c r="B370" s="43" t="inlineStr">
        <is>
          <t>CMD-0062</t>
        </is>
      </c>
      <c r="C370" s="43" t="inlineStr">
        <is>
          <t>S01</t>
        </is>
      </c>
      <c r="D370" s="47" t="n">
        <v>45691</v>
      </c>
      <c r="E370" s="47" t="n">
        <v>45712</v>
      </c>
      <c r="F370" s="47" t="n">
        <v>45710</v>
      </c>
      <c r="G370" s="46" t="n">
        <v>73879</v>
      </c>
      <c r="H370" s="46" t="n">
        <v>73879</v>
      </c>
      <c r="I370" s="46" t="n">
        <v>151</v>
      </c>
      <c r="J370" s="44" t="n">
        <v>0.1139</v>
      </c>
      <c r="K370" s="43" t="inlineStr">
        <is>
          <t>Received</t>
        </is>
      </c>
      <c r="L370" s="17">
        <f>INDEX(Items!$C$2:$C$117,MATCH(B370,Items!$A$2:$A$117,0))</f>
        <v/>
      </c>
      <c r="M370" s="49">
        <f>INDEX(Items!$E$2:$E$117,MATCH(B370,Items!$A$2:$A$117,0))</f>
        <v/>
      </c>
      <c r="N370" s="17">
        <f>TEXT(D370,"yyyy-mm")</f>
        <v/>
      </c>
      <c r="O370" s="50">
        <f>G370*J370</f>
        <v/>
      </c>
      <c r="P370" s="50">
        <f>(J370-M370)*G370</f>
        <v/>
      </c>
      <c r="Q370" s="51">
        <f>IF(K370="Received",1,0)</f>
        <v/>
      </c>
      <c r="R370" s="51">
        <f>IF(Q370=1,F370-D370,0)</f>
        <v/>
      </c>
      <c r="S370" s="51">
        <f>IF(Q370=1,IF(F370&lt;=E370,1,0),0)</f>
        <v/>
      </c>
      <c r="T370" s="51">
        <f>IF(Q370=1,IF(H370&gt;=G370,1,0),0)</f>
        <v/>
      </c>
      <c r="U370" s="51">
        <f>S370*T370</f>
        <v/>
      </c>
      <c r="V370" s="51">
        <f>IF(Q370=1,MAX(0,F370-E370),0)</f>
        <v/>
      </c>
    </row>
    <row r="371">
      <c r="A371" s="43" t="inlineStr">
        <is>
          <t>PO101460</t>
        </is>
      </c>
      <c r="B371" s="43" t="inlineStr">
        <is>
          <t>CMD-0078</t>
        </is>
      </c>
      <c r="C371" s="43" t="inlineStr">
        <is>
          <t>S06</t>
        </is>
      </c>
      <c r="D371" s="47" t="n">
        <v>45691</v>
      </c>
      <c r="E371" s="47" t="n">
        <v>45712</v>
      </c>
      <c r="F371" s="47" t="n">
        <v>45709</v>
      </c>
      <c r="G371" s="46" t="n">
        <v>4907</v>
      </c>
      <c r="H371" s="46" t="n">
        <v>4907</v>
      </c>
      <c r="I371" s="46" t="n">
        <v>25</v>
      </c>
      <c r="J371" s="44" t="n">
        <v>2.6</v>
      </c>
      <c r="K371" s="43" t="inlineStr">
        <is>
          <t>Received</t>
        </is>
      </c>
      <c r="L371" s="17">
        <f>INDEX(Items!$C$2:$C$117,MATCH(B371,Items!$A$2:$A$117,0))</f>
        <v/>
      </c>
      <c r="M371" s="49">
        <f>INDEX(Items!$E$2:$E$117,MATCH(B371,Items!$A$2:$A$117,0))</f>
        <v/>
      </c>
      <c r="N371" s="17">
        <f>TEXT(D371,"yyyy-mm")</f>
        <v/>
      </c>
      <c r="O371" s="50">
        <f>G371*J371</f>
        <v/>
      </c>
      <c r="P371" s="50">
        <f>(J371-M371)*G371</f>
        <v/>
      </c>
      <c r="Q371" s="51">
        <f>IF(K371="Received",1,0)</f>
        <v/>
      </c>
      <c r="R371" s="51">
        <f>IF(Q371=1,F371-D371,0)</f>
        <v/>
      </c>
      <c r="S371" s="51">
        <f>IF(Q371=1,IF(F371&lt;=E371,1,0),0)</f>
        <v/>
      </c>
      <c r="T371" s="51">
        <f>IF(Q371=1,IF(H371&gt;=G371,1,0),0)</f>
        <v/>
      </c>
      <c r="U371" s="51">
        <f>S371*T371</f>
        <v/>
      </c>
      <c r="V371" s="51">
        <f>IF(Q371=1,MAX(0,F371-E371),0)</f>
        <v/>
      </c>
    </row>
    <row r="372">
      <c r="A372" s="43" t="inlineStr">
        <is>
          <t>PO100798</t>
        </is>
      </c>
      <c r="B372" s="43" t="inlineStr">
        <is>
          <t>CMD-0036</t>
        </is>
      </c>
      <c r="C372" s="43" t="inlineStr">
        <is>
          <t>S04</t>
        </is>
      </c>
      <c r="D372" s="47" t="n">
        <v>45692</v>
      </c>
      <c r="E372" s="47" t="n">
        <v>45734</v>
      </c>
      <c r="F372" s="47" t="n">
        <v>45731</v>
      </c>
      <c r="G372" s="46" t="n">
        <v>484</v>
      </c>
      <c r="H372" s="46" t="n">
        <v>484</v>
      </c>
      <c r="I372" s="46" t="n">
        <v>6</v>
      </c>
      <c r="J372" s="44" t="n">
        <v>12.36</v>
      </c>
      <c r="K372" s="43" t="inlineStr">
        <is>
          <t>Received</t>
        </is>
      </c>
      <c r="L372" s="17">
        <f>INDEX(Items!$C$2:$C$117,MATCH(B372,Items!$A$2:$A$117,0))</f>
        <v/>
      </c>
      <c r="M372" s="49">
        <f>INDEX(Items!$E$2:$E$117,MATCH(B372,Items!$A$2:$A$117,0))</f>
        <v/>
      </c>
      <c r="N372" s="17">
        <f>TEXT(D372,"yyyy-mm")</f>
        <v/>
      </c>
      <c r="O372" s="50">
        <f>G372*J372</f>
        <v/>
      </c>
      <c r="P372" s="50">
        <f>(J372-M372)*G372</f>
        <v/>
      </c>
      <c r="Q372" s="51">
        <f>IF(K372="Received",1,0)</f>
        <v/>
      </c>
      <c r="R372" s="51">
        <f>IF(Q372=1,F372-D372,0)</f>
        <v/>
      </c>
      <c r="S372" s="51">
        <f>IF(Q372=1,IF(F372&lt;=E372,1,0),0)</f>
        <v/>
      </c>
      <c r="T372" s="51">
        <f>IF(Q372=1,IF(H372&gt;=G372,1,0),0)</f>
        <v/>
      </c>
      <c r="U372" s="51">
        <f>S372*T372</f>
        <v/>
      </c>
      <c r="V372" s="51">
        <f>IF(Q372=1,MAX(0,F372-E372),0)</f>
        <v/>
      </c>
    </row>
    <row r="373">
      <c r="A373" s="43" t="inlineStr">
        <is>
          <t>PO100148</t>
        </is>
      </c>
      <c r="B373" s="43" t="inlineStr">
        <is>
          <t>CMD-0007</t>
        </is>
      </c>
      <c r="C373" s="43" t="inlineStr">
        <is>
          <t>S03</t>
        </is>
      </c>
      <c r="D373" s="47" t="n">
        <v>45692</v>
      </c>
      <c r="E373" s="47" t="n">
        <v>45825</v>
      </c>
      <c r="F373" s="47" t="n">
        <v>45876</v>
      </c>
      <c r="G373" s="46" t="n">
        <v>5033</v>
      </c>
      <c r="H373" s="46" t="n">
        <v>5033</v>
      </c>
      <c r="I373" s="46" t="n">
        <v>35</v>
      </c>
      <c r="J373" s="44" t="n">
        <v>19.39</v>
      </c>
      <c r="K373" s="43" t="inlineStr">
        <is>
          <t>Received</t>
        </is>
      </c>
      <c r="L373" s="17">
        <f>INDEX(Items!$C$2:$C$117,MATCH(B373,Items!$A$2:$A$117,0))</f>
        <v/>
      </c>
      <c r="M373" s="49">
        <f>INDEX(Items!$E$2:$E$117,MATCH(B373,Items!$A$2:$A$117,0))</f>
        <v/>
      </c>
      <c r="N373" s="17">
        <f>TEXT(D373,"yyyy-mm")</f>
        <v/>
      </c>
      <c r="O373" s="50">
        <f>G373*J373</f>
        <v/>
      </c>
      <c r="P373" s="50">
        <f>(J373-M373)*G373</f>
        <v/>
      </c>
      <c r="Q373" s="51">
        <f>IF(K373="Received",1,0)</f>
        <v/>
      </c>
      <c r="R373" s="51">
        <f>IF(Q373=1,F373-D373,0)</f>
        <v/>
      </c>
      <c r="S373" s="51">
        <f>IF(Q373=1,IF(F373&lt;=E373,1,0),0)</f>
        <v/>
      </c>
      <c r="T373" s="51">
        <f>IF(Q373=1,IF(H373&gt;=G373,1,0),0)</f>
        <v/>
      </c>
      <c r="U373" s="51">
        <f>S373*T373</f>
        <v/>
      </c>
      <c r="V373" s="51">
        <f>IF(Q373=1,MAX(0,F373-E373),0)</f>
        <v/>
      </c>
    </row>
    <row r="374">
      <c r="A374" s="43" t="inlineStr">
        <is>
          <t>PO100822</t>
        </is>
      </c>
      <c r="B374" s="43" t="inlineStr">
        <is>
          <t>CMD-0037</t>
        </is>
      </c>
      <c r="C374" s="43" t="inlineStr">
        <is>
          <t>S07</t>
        </is>
      </c>
      <c r="D374" s="47" t="n">
        <v>45692</v>
      </c>
      <c r="E374" s="47" t="n">
        <v>45734</v>
      </c>
      <c r="F374" s="47" t="n">
        <v>45731</v>
      </c>
      <c r="G374" s="46" t="n">
        <v>459</v>
      </c>
      <c r="H374" s="46" t="n">
        <v>459</v>
      </c>
      <c r="I374" s="46" t="n">
        <v>1</v>
      </c>
      <c r="J374" s="44" t="n">
        <v>53.62</v>
      </c>
      <c r="K374" s="43" t="inlineStr">
        <is>
          <t>Received</t>
        </is>
      </c>
      <c r="L374" s="17">
        <f>INDEX(Items!$C$2:$C$117,MATCH(B374,Items!$A$2:$A$117,0))</f>
        <v/>
      </c>
      <c r="M374" s="49">
        <f>INDEX(Items!$E$2:$E$117,MATCH(B374,Items!$A$2:$A$117,0))</f>
        <v/>
      </c>
      <c r="N374" s="17">
        <f>TEXT(D374,"yyyy-mm")</f>
        <v/>
      </c>
      <c r="O374" s="50">
        <f>G374*J374</f>
        <v/>
      </c>
      <c r="P374" s="50">
        <f>(J374-M374)*G374</f>
        <v/>
      </c>
      <c r="Q374" s="51">
        <f>IF(K374="Received",1,0)</f>
        <v/>
      </c>
      <c r="R374" s="51">
        <f>IF(Q374=1,F374-D374,0)</f>
        <v/>
      </c>
      <c r="S374" s="51">
        <f>IF(Q374=1,IF(F374&lt;=E374,1,0),0)</f>
        <v/>
      </c>
      <c r="T374" s="51">
        <f>IF(Q374=1,IF(H374&gt;=G374,1,0),0)</f>
        <v/>
      </c>
      <c r="U374" s="51">
        <f>S374*T374</f>
        <v/>
      </c>
      <c r="V374" s="51">
        <f>IF(Q374=1,MAX(0,F374-E374),0)</f>
        <v/>
      </c>
    </row>
    <row r="375">
      <c r="A375" s="43" t="inlineStr">
        <is>
          <t>PO100076</t>
        </is>
      </c>
      <c r="B375" s="43" t="inlineStr">
        <is>
          <t>CMD-0004</t>
        </is>
      </c>
      <c r="C375" s="43" t="inlineStr">
        <is>
          <t>S07</t>
        </is>
      </c>
      <c r="D375" s="47" t="n">
        <v>45692</v>
      </c>
      <c r="E375" s="47" t="n">
        <v>45783</v>
      </c>
      <c r="F375" s="47" t="n">
        <v>45783</v>
      </c>
      <c r="G375" s="46" t="n">
        <v>3274</v>
      </c>
      <c r="H375" s="46" t="n">
        <v>3274</v>
      </c>
      <c r="I375" s="46" t="n">
        <v>36</v>
      </c>
      <c r="J375" s="44" t="n">
        <v>4.05</v>
      </c>
      <c r="K375" s="43" t="inlineStr">
        <is>
          <t>Received</t>
        </is>
      </c>
      <c r="L375" s="17">
        <f>INDEX(Items!$C$2:$C$117,MATCH(B375,Items!$A$2:$A$117,0))</f>
        <v/>
      </c>
      <c r="M375" s="49">
        <f>INDEX(Items!$E$2:$E$117,MATCH(B375,Items!$A$2:$A$117,0))</f>
        <v/>
      </c>
      <c r="N375" s="17">
        <f>TEXT(D375,"yyyy-mm")</f>
        <v/>
      </c>
      <c r="O375" s="50">
        <f>G375*J375</f>
        <v/>
      </c>
      <c r="P375" s="50">
        <f>(J375-M375)*G375</f>
        <v/>
      </c>
      <c r="Q375" s="51">
        <f>IF(K375="Received",1,0)</f>
        <v/>
      </c>
      <c r="R375" s="51">
        <f>IF(Q375=1,F375-D375,0)</f>
        <v/>
      </c>
      <c r="S375" s="51">
        <f>IF(Q375=1,IF(F375&lt;=E375,1,0),0)</f>
        <v/>
      </c>
      <c r="T375" s="51">
        <f>IF(Q375=1,IF(H375&gt;=G375,1,0),0)</f>
        <v/>
      </c>
      <c r="U375" s="51">
        <f>S375*T375</f>
        <v/>
      </c>
      <c r="V375" s="51">
        <f>IF(Q375=1,MAX(0,F375-E375),0)</f>
        <v/>
      </c>
    </row>
    <row r="376">
      <c r="A376" s="43" t="inlineStr">
        <is>
          <t>PO101232</t>
        </is>
      </c>
      <c r="B376" s="43" t="inlineStr">
        <is>
          <t>CMD-0058</t>
        </is>
      </c>
      <c r="C376" s="43" t="inlineStr">
        <is>
          <t>S04</t>
        </is>
      </c>
      <c r="D376" s="47" t="n">
        <v>45692</v>
      </c>
      <c r="E376" s="47" t="n">
        <v>45727</v>
      </c>
      <c r="F376" s="47" t="n">
        <v>45731</v>
      </c>
      <c r="G376" s="46" t="n">
        <v>65246</v>
      </c>
      <c r="H376" s="46" t="n">
        <v>65246</v>
      </c>
      <c r="I376" s="46" t="n">
        <v>675</v>
      </c>
      <c r="J376" s="44" t="n">
        <v>0.1178</v>
      </c>
      <c r="K376" s="43" t="inlineStr">
        <is>
          <t>Received</t>
        </is>
      </c>
      <c r="L376" s="17">
        <f>INDEX(Items!$C$2:$C$117,MATCH(B376,Items!$A$2:$A$117,0))</f>
        <v/>
      </c>
      <c r="M376" s="49">
        <f>INDEX(Items!$E$2:$E$117,MATCH(B376,Items!$A$2:$A$117,0))</f>
        <v/>
      </c>
      <c r="N376" s="17">
        <f>TEXT(D376,"yyyy-mm")</f>
        <v/>
      </c>
      <c r="O376" s="50">
        <f>G376*J376</f>
        <v/>
      </c>
      <c r="P376" s="50">
        <f>(J376-M376)*G376</f>
        <v/>
      </c>
      <c r="Q376" s="51">
        <f>IF(K376="Received",1,0)</f>
        <v/>
      </c>
      <c r="R376" s="51">
        <f>IF(Q376=1,F376-D376,0)</f>
        <v/>
      </c>
      <c r="S376" s="51">
        <f>IF(Q376=1,IF(F376&lt;=E376,1,0),0)</f>
        <v/>
      </c>
      <c r="T376" s="51">
        <f>IF(Q376=1,IF(H376&gt;=G376,1,0),0)</f>
        <v/>
      </c>
      <c r="U376" s="51">
        <f>S376*T376</f>
        <v/>
      </c>
      <c r="V376" s="51">
        <f>IF(Q376=1,MAX(0,F376-E376),0)</f>
        <v/>
      </c>
    </row>
    <row r="377">
      <c r="A377" s="43" t="inlineStr">
        <is>
          <t>PO101568</t>
        </is>
      </c>
      <c r="B377" s="43" t="inlineStr">
        <is>
          <t>CMD-0085</t>
        </is>
      </c>
      <c r="C377" s="43" t="inlineStr">
        <is>
          <t>S06</t>
        </is>
      </c>
      <c r="D377" s="47" t="n">
        <v>45692</v>
      </c>
      <c r="E377" s="47" t="n">
        <v>45713</v>
      </c>
      <c r="F377" s="47" t="n">
        <v>45710</v>
      </c>
      <c r="G377" s="46" t="n">
        <v>673</v>
      </c>
      <c r="H377" s="46" t="n">
        <v>673</v>
      </c>
      <c r="I377" s="46" t="n">
        <v>3</v>
      </c>
      <c r="J377" s="44" t="n">
        <v>10.56</v>
      </c>
      <c r="K377" s="43" t="inlineStr">
        <is>
          <t>Received</t>
        </is>
      </c>
      <c r="L377" s="17">
        <f>INDEX(Items!$C$2:$C$117,MATCH(B377,Items!$A$2:$A$117,0))</f>
        <v/>
      </c>
      <c r="M377" s="49">
        <f>INDEX(Items!$E$2:$E$117,MATCH(B377,Items!$A$2:$A$117,0))</f>
        <v/>
      </c>
      <c r="N377" s="17">
        <f>TEXT(D377,"yyyy-mm")</f>
        <v/>
      </c>
      <c r="O377" s="50">
        <f>G377*J377</f>
        <v/>
      </c>
      <c r="P377" s="50">
        <f>(J377-M377)*G377</f>
        <v/>
      </c>
      <c r="Q377" s="51">
        <f>IF(K377="Received",1,0)</f>
        <v/>
      </c>
      <c r="R377" s="51">
        <f>IF(Q377=1,F377-D377,0)</f>
        <v/>
      </c>
      <c r="S377" s="51">
        <f>IF(Q377=1,IF(F377&lt;=E377,1,0),0)</f>
        <v/>
      </c>
      <c r="T377" s="51">
        <f>IF(Q377=1,IF(H377&gt;=G377,1,0),0)</f>
        <v/>
      </c>
      <c r="U377" s="51">
        <f>S377*T377</f>
        <v/>
      </c>
      <c r="V377" s="51">
        <f>IF(Q377=1,MAX(0,F377-E377),0)</f>
        <v/>
      </c>
    </row>
    <row r="378">
      <c r="A378" s="43" t="inlineStr">
        <is>
          <t>PO100172</t>
        </is>
      </c>
      <c r="B378" s="43" t="inlineStr">
        <is>
          <t>CMD-0008</t>
        </is>
      </c>
      <c r="C378" s="43" t="inlineStr">
        <is>
          <t>S03</t>
        </is>
      </c>
      <c r="D378" s="47" t="n">
        <v>45692</v>
      </c>
      <c r="E378" s="47" t="n">
        <v>45825</v>
      </c>
      <c r="F378" s="47" t="n">
        <v>45823</v>
      </c>
      <c r="G378" s="46" t="n">
        <v>1350</v>
      </c>
      <c r="H378" s="46" t="n">
        <v>1350</v>
      </c>
      <c r="I378" s="46" t="n">
        <v>10</v>
      </c>
      <c r="J378" s="44" t="n">
        <v>23.66</v>
      </c>
      <c r="K378" s="43" t="inlineStr">
        <is>
          <t>Received</t>
        </is>
      </c>
      <c r="L378" s="17">
        <f>INDEX(Items!$C$2:$C$117,MATCH(B378,Items!$A$2:$A$117,0))</f>
        <v/>
      </c>
      <c r="M378" s="49">
        <f>INDEX(Items!$E$2:$E$117,MATCH(B378,Items!$A$2:$A$117,0))</f>
        <v/>
      </c>
      <c r="N378" s="17">
        <f>TEXT(D378,"yyyy-mm")</f>
        <v/>
      </c>
      <c r="O378" s="50">
        <f>G378*J378</f>
        <v/>
      </c>
      <c r="P378" s="50">
        <f>(J378-M378)*G378</f>
        <v/>
      </c>
      <c r="Q378" s="51">
        <f>IF(K378="Received",1,0)</f>
        <v/>
      </c>
      <c r="R378" s="51">
        <f>IF(Q378=1,F378-D378,0)</f>
        <v/>
      </c>
      <c r="S378" s="51">
        <f>IF(Q378=1,IF(F378&lt;=E378,1,0),0)</f>
        <v/>
      </c>
      <c r="T378" s="51">
        <f>IF(Q378=1,IF(H378&gt;=G378,1,0),0)</f>
        <v/>
      </c>
      <c r="U378" s="51">
        <f>S378*T378</f>
        <v/>
      </c>
      <c r="V378" s="51">
        <f>IF(Q378=1,MAX(0,F378-E378),0)</f>
        <v/>
      </c>
    </row>
    <row r="379">
      <c r="A379" s="43" t="inlineStr">
        <is>
          <t>PO100750</t>
        </is>
      </c>
      <c r="B379" s="43" t="inlineStr">
        <is>
          <t>CMD-0034</t>
        </is>
      </c>
      <c r="C379" s="43" t="inlineStr">
        <is>
          <t>S04</t>
        </is>
      </c>
      <c r="D379" s="47" t="n">
        <v>45692</v>
      </c>
      <c r="E379" s="47" t="n">
        <v>45734</v>
      </c>
      <c r="F379" s="47" t="n">
        <v>45732</v>
      </c>
      <c r="G379" s="46" t="n">
        <v>564</v>
      </c>
      <c r="H379" s="46" t="n">
        <v>564</v>
      </c>
      <c r="I379" s="46" t="n">
        <v>5</v>
      </c>
      <c r="J379" s="44" t="n">
        <v>10.55</v>
      </c>
      <c r="K379" s="43" t="inlineStr">
        <is>
          <t>Received</t>
        </is>
      </c>
      <c r="L379" s="17">
        <f>INDEX(Items!$C$2:$C$117,MATCH(B379,Items!$A$2:$A$117,0))</f>
        <v/>
      </c>
      <c r="M379" s="49">
        <f>INDEX(Items!$E$2:$E$117,MATCH(B379,Items!$A$2:$A$117,0))</f>
        <v/>
      </c>
      <c r="N379" s="17">
        <f>TEXT(D379,"yyyy-mm")</f>
        <v/>
      </c>
      <c r="O379" s="50">
        <f>G379*J379</f>
        <v/>
      </c>
      <c r="P379" s="50">
        <f>(J379-M379)*G379</f>
        <v/>
      </c>
      <c r="Q379" s="51">
        <f>IF(K379="Received",1,0)</f>
        <v/>
      </c>
      <c r="R379" s="51">
        <f>IF(Q379=1,F379-D379,0)</f>
        <v/>
      </c>
      <c r="S379" s="51">
        <f>IF(Q379=1,IF(F379&lt;=E379,1,0),0)</f>
        <v/>
      </c>
      <c r="T379" s="51">
        <f>IF(Q379=1,IF(H379&gt;=G379,1,0),0)</f>
        <v/>
      </c>
      <c r="U379" s="51">
        <f>S379*T379</f>
        <v/>
      </c>
      <c r="V379" s="51">
        <f>IF(Q379=1,MAX(0,F379-E379),0)</f>
        <v/>
      </c>
    </row>
    <row r="380">
      <c r="A380" s="43" t="inlineStr">
        <is>
          <t>PO100244</t>
        </is>
      </c>
      <c r="B380" s="43" t="inlineStr">
        <is>
          <t>CMD-0011</t>
        </is>
      </c>
      <c r="C380" s="43" t="inlineStr">
        <is>
          <t>S07</t>
        </is>
      </c>
      <c r="D380" s="47" t="n">
        <v>45692</v>
      </c>
      <c r="E380" s="47" t="n">
        <v>45783</v>
      </c>
      <c r="F380" s="47" t="n">
        <v>45781</v>
      </c>
      <c r="G380" s="46" t="n">
        <v>3524</v>
      </c>
      <c r="H380" s="46" t="n">
        <v>3524</v>
      </c>
      <c r="I380" s="46" t="n">
        <v>41</v>
      </c>
      <c r="J380" s="44" t="n">
        <v>8.08</v>
      </c>
      <c r="K380" s="43" t="inlineStr">
        <is>
          <t>Received</t>
        </is>
      </c>
      <c r="L380" s="17">
        <f>INDEX(Items!$C$2:$C$117,MATCH(B380,Items!$A$2:$A$117,0))</f>
        <v/>
      </c>
      <c r="M380" s="49">
        <f>INDEX(Items!$E$2:$E$117,MATCH(B380,Items!$A$2:$A$117,0))</f>
        <v/>
      </c>
      <c r="N380" s="17">
        <f>TEXT(D380,"yyyy-mm")</f>
        <v/>
      </c>
      <c r="O380" s="50">
        <f>G380*J380</f>
        <v/>
      </c>
      <c r="P380" s="50">
        <f>(J380-M380)*G380</f>
        <v/>
      </c>
      <c r="Q380" s="51">
        <f>IF(K380="Received",1,0)</f>
        <v/>
      </c>
      <c r="R380" s="51">
        <f>IF(Q380=1,F380-D380,0)</f>
        <v/>
      </c>
      <c r="S380" s="51">
        <f>IF(Q380=1,IF(F380&lt;=E380,1,0),0)</f>
        <v/>
      </c>
      <c r="T380" s="51">
        <f>IF(Q380=1,IF(H380&gt;=G380,1,0),0)</f>
        <v/>
      </c>
      <c r="U380" s="51">
        <f>S380*T380</f>
        <v/>
      </c>
      <c r="V380" s="51">
        <f>IF(Q380=1,MAX(0,F380-E380),0)</f>
        <v/>
      </c>
    </row>
    <row r="381">
      <c r="A381" s="43" t="inlineStr">
        <is>
          <t>PO101186</t>
        </is>
      </c>
      <c r="B381" s="43" t="inlineStr">
        <is>
          <t>CMD-0055</t>
        </is>
      </c>
      <c r="C381" s="43" t="inlineStr">
        <is>
          <t>S04</t>
        </is>
      </c>
      <c r="D381" s="47" t="n">
        <v>45693</v>
      </c>
      <c r="E381" s="47" t="n">
        <v>45728</v>
      </c>
      <c r="F381" s="47" t="n">
        <v>45728</v>
      </c>
      <c r="G381" s="46" t="n">
        <v>106927</v>
      </c>
      <c r="H381" s="46" t="n">
        <v>106927</v>
      </c>
      <c r="I381" s="46" t="n">
        <v>1104</v>
      </c>
      <c r="J381" s="44" t="n">
        <v>0.09379999999999999</v>
      </c>
      <c r="K381" s="43" t="inlineStr">
        <is>
          <t>Received</t>
        </is>
      </c>
      <c r="L381" s="17">
        <f>INDEX(Items!$C$2:$C$117,MATCH(B381,Items!$A$2:$A$117,0))</f>
        <v/>
      </c>
      <c r="M381" s="49">
        <f>INDEX(Items!$E$2:$E$117,MATCH(B381,Items!$A$2:$A$117,0))</f>
        <v/>
      </c>
      <c r="N381" s="17">
        <f>TEXT(D381,"yyyy-mm")</f>
        <v/>
      </c>
      <c r="O381" s="50">
        <f>G381*J381</f>
        <v/>
      </c>
      <c r="P381" s="50">
        <f>(J381-M381)*G381</f>
        <v/>
      </c>
      <c r="Q381" s="51">
        <f>IF(K381="Received",1,0)</f>
        <v/>
      </c>
      <c r="R381" s="51">
        <f>IF(Q381=1,F381-D381,0)</f>
        <v/>
      </c>
      <c r="S381" s="51">
        <f>IF(Q381=1,IF(F381&lt;=E381,1,0),0)</f>
        <v/>
      </c>
      <c r="T381" s="51">
        <f>IF(Q381=1,IF(H381&gt;=G381,1,0),0)</f>
        <v/>
      </c>
      <c r="U381" s="51">
        <f>S381*T381</f>
        <v/>
      </c>
      <c r="V381" s="51">
        <f>IF(Q381=1,MAX(0,F381-E381),0)</f>
        <v/>
      </c>
    </row>
    <row r="382">
      <c r="A382" s="43" t="inlineStr">
        <is>
          <t>PO101484</t>
        </is>
      </c>
      <c r="B382" s="43" t="inlineStr">
        <is>
          <t>CMD-0079</t>
        </is>
      </c>
      <c r="C382" s="43" t="inlineStr">
        <is>
          <t>S06</t>
        </is>
      </c>
      <c r="D382" s="47" t="n">
        <v>45693</v>
      </c>
      <c r="E382" s="47" t="n">
        <v>45714</v>
      </c>
      <c r="F382" s="47" t="n">
        <v>45713</v>
      </c>
      <c r="G382" s="46" t="n">
        <v>2108</v>
      </c>
      <c r="H382" s="46" t="n">
        <v>2108</v>
      </c>
      <c r="I382" s="46" t="n">
        <v>12</v>
      </c>
      <c r="J382" s="44" t="n">
        <v>3.53</v>
      </c>
      <c r="K382" s="43" t="inlineStr">
        <is>
          <t>Received</t>
        </is>
      </c>
      <c r="L382" s="17">
        <f>INDEX(Items!$C$2:$C$117,MATCH(B382,Items!$A$2:$A$117,0))</f>
        <v/>
      </c>
      <c r="M382" s="49">
        <f>INDEX(Items!$E$2:$E$117,MATCH(B382,Items!$A$2:$A$117,0))</f>
        <v/>
      </c>
      <c r="N382" s="17">
        <f>TEXT(D382,"yyyy-mm")</f>
        <v/>
      </c>
      <c r="O382" s="50">
        <f>G382*J382</f>
        <v/>
      </c>
      <c r="P382" s="50">
        <f>(J382-M382)*G382</f>
        <v/>
      </c>
      <c r="Q382" s="51">
        <f>IF(K382="Received",1,0)</f>
        <v/>
      </c>
      <c r="R382" s="51">
        <f>IF(Q382=1,F382-D382,0)</f>
        <v/>
      </c>
      <c r="S382" s="51">
        <f>IF(Q382=1,IF(F382&lt;=E382,1,0),0)</f>
        <v/>
      </c>
      <c r="T382" s="51">
        <f>IF(Q382=1,IF(H382&gt;=G382,1,0),0)</f>
        <v/>
      </c>
      <c r="U382" s="51">
        <f>S382*T382</f>
        <v/>
      </c>
      <c r="V382" s="51">
        <f>IF(Q382=1,MAX(0,F382-E382),0)</f>
        <v/>
      </c>
    </row>
    <row r="383">
      <c r="A383" s="43" t="inlineStr">
        <is>
          <t>PO100726</t>
        </is>
      </c>
      <c r="B383" s="43" t="inlineStr">
        <is>
          <t>CMD-0033</t>
        </is>
      </c>
      <c r="C383" s="43" t="inlineStr">
        <is>
          <t>S07</t>
        </is>
      </c>
      <c r="D383" s="47" t="n">
        <v>45693</v>
      </c>
      <c r="E383" s="47" t="n">
        <v>45735</v>
      </c>
      <c r="F383" s="47" t="n">
        <v>45734</v>
      </c>
      <c r="G383" s="46" t="n">
        <v>3408</v>
      </c>
      <c r="H383" s="46" t="n">
        <v>3408</v>
      </c>
      <c r="I383" s="46" t="n">
        <v>21</v>
      </c>
      <c r="J383" s="44" t="n">
        <v>58.36</v>
      </c>
      <c r="K383" s="43" t="inlineStr">
        <is>
          <t>Received</t>
        </is>
      </c>
      <c r="L383" s="17">
        <f>INDEX(Items!$C$2:$C$117,MATCH(B383,Items!$A$2:$A$117,0))</f>
        <v/>
      </c>
      <c r="M383" s="49">
        <f>INDEX(Items!$E$2:$E$117,MATCH(B383,Items!$A$2:$A$117,0))</f>
        <v/>
      </c>
      <c r="N383" s="17">
        <f>TEXT(D383,"yyyy-mm")</f>
        <v/>
      </c>
      <c r="O383" s="50">
        <f>G383*J383</f>
        <v/>
      </c>
      <c r="P383" s="50">
        <f>(J383-M383)*G383</f>
        <v/>
      </c>
      <c r="Q383" s="51">
        <f>IF(K383="Received",1,0)</f>
        <v/>
      </c>
      <c r="R383" s="51">
        <f>IF(Q383=1,F383-D383,0)</f>
        <v/>
      </c>
      <c r="S383" s="51">
        <f>IF(Q383=1,IF(F383&lt;=E383,1,0),0)</f>
        <v/>
      </c>
      <c r="T383" s="51">
        <f>IF(Q383=1,IF(H383&gt;=G383,1,0),0)</f>
        <v/>
      </c>
      <c r="U383" s="51">
        <f>S383*T383</f>
        <v/>
      </c>
      <c r="V383" s="51">
        <f>IF(Q383=1,MAX(0,F383-E383),0)</f>
        <v/>
      </c>
    </row>
    <row r="384">
      <c r="A384" s="43" t="inlineStr">
        <is>
          <t>PO100644</t>
        </is>
      </c>
      <c r="B384" s="43" t="inlineStr">
        <is>
          <t>CMD-0029</t>
        </is>
      </c>
      <c r="C384" s="43" t="inlineStr">
        <is>
          <t>S11</t>
        </is>
      </c>
      <c r="D384" s="47" t="n">
        <v>45693</v>
      </c>
      <c r="E384" s="47" t="n">
        <v>45770</v>
      </c>
      <c r="F384" s="47" t="n">
        <v>45769</v>
      </c>
      <c r="G384" s="46" t="n">
        <v>4444</v>
      </c>
      <c r="H384" s="46" t="n">
        <v>4444</v>
      </c>
      <c r="I384" s="46" t="n">
        <v>15</v>
      </c>
      <c r="J384" s="44" t="n">
        <v>6.87</v>
      </c>
      <c r="K384" s="43" t="inlineStr">
        <is>
          <t>Received</t>
        </is>
      </c>
      <c r="L384" s="17">
        <f>INDEX(Items!$C$2:$C$117,MATCH(B384,Items!$A$2:$A$117,0))</f>
        <v/>
      </c>
      <c r="M384" s="49">
        <f>INDEX(Items!$E$2:$E$117,MATCH(B384,Items!$A$2:$A$117,0))</f>
        <v/>
      </c>
      <c r="N384" s="17">
        <f>TEXT(D384,"yyyy-mm")</f>
        <v/>
      </c>
      <c r="O384" s="50">
        <f>G384*J384</f>
        <v/>
      </c>
      <c r="P384" s="50">
        <f>(J384-M384)*G384</f>
        <v/>
      </c>
      <c r="Q384" s="51">
        <f>IF(K384="Received",1,0)</f>
        <v/>
      </c>
      <c r="R384" s="51">
        <f>IF(Q384=1,F384-D384,0)</f>
        <v/>
      </c>
      <c r="S384" s="51">
        <f>IF(Q384=1,IF(F384&lt;=E384,1,0),0)</f>
        <v/>
      </c>
      <c r="T384" s="51">
        <f>IF(Q384=1,IF(H384&gt;=G384,1,0),0)</f>
        <v/>
      </c>
      <c r="U384" s="51">
        <f>S384*T384</f>
        <v/>
      </c>
      <c r="V384" s="51">
        <f>IF(Q384=1,MAX(0,F384-E384),0)</f>
        <v/>
      </c>
    </row>
    <row r="385">
      <c r="A385" s="43" t="inlineStr">
        <is>
          <t>PO100668</t>
        </is>
      </c>
      <c r="B385" s="43" t="inlineStr">
        <is>
          <t>CMD-0030</t>
        </is>
      </c>
      <c r="C385" s="43" t="inlineStr">
        <is>
          <t>S11</t>
        </is>
      </c>
      <c r="D385" s="47" t="n">
        <v>45693</v>
      </c>
      <c r="E385" s="47" t="n">
        <v>45770</v>
      </c>
      <c r="F385" s="47" t="n">
        <v>45770</v>
      </c>
      <c r="G385" s="46" t="n">
        <v>7791</v>
      </c>
      <c r="H385" s="46" t="n">
        <v>7791</v>
      </c>
      <c r="I385" s="46" t="n">
        <v>16</v>
      </c>
      <c r="J385" s="44" t="n">
        <v>23.19</v>
      </c>
      <c r="K385" s="43" t="inlineStr">
        <is>
          <t>Received</t>
        </is>
      </c>
      <c r="L385" s="17">
        <f>INDEX(Items!$C$2:$C$117,MATCH(B385,Items!$A$2:$A$117,0))</f>
        <v/>
      </c>
      <c r="M385" s="49">
        <f>INDEX(Items!$E$2:$E$117,MATCH(B385,Items!$A$2:$A$117,0))</f>
        <v/>
      </c>
      <c r="N385" s="17">
        <f>TEXT(D385,"yyyy-mm")</f>
        <v/>
      </c>
      <c r="O385" s="50">
        <f>G385*J385</f>
        <v/>
      </c>
      <c r="P385" s="50">
        <f>(J385-M385)*G385</f>
        <v/>
      </c>
      <c r="Q385" s="51">
        <f>IF(K385="Received",1,0)</f>
        <v/>
      </c>
      <c r="R385" s="51">
        <f>IF(Q385=1,F385-D385,0)</f>
        <v/>
      </c>
      <c r="S385" s="51">
        <f>IF(Q385=1,IF(F385&lt;=E385,1,0),0)</f>
        <v/>
      </c>
      <c r="T385" s="51">
        <f>IF(Q385=1,IF(H385&gt;=G385,1,0),0)</f>
        <v/>
      </c>
      <c r="U385" s="51">
        <f>S385*T385</f>
        <v/>
      </c>
      <c r="V385" s="51">
        <f>IF(Q385=1,MAX(0,F385-E385),0)</f>
        <v/>
      </c>
    </row>
    <row r="386">
      <c r="A386" s="43" t="inlineStr">
        <is>
          <t>PO101312</t>
        </is>
      </c>
      <c r="B386" s="43" t="inlineStr">
        <is>
          <t>CMD-0065</t>
        </is>
      </c>
      <c r="C386" s="43" t="inlineStr">
        <is>
          <t>S10</t>
        </is>
      </c>
      <c r="D386" s="47" t="n">
        <v>45694</v>
      </c>
      <c r="E386" s="47" t="n">
        <v>45722</v>
      </c>
      <c r="F386" s="47" t="n">
        <v>45721</v>
      </c>
      <c r="G386" s="46" t="n">
        <v>98594</v>
      </c>
      <c r="H386" s="46" t="n">
        <v>98594</v>
      </c>
      <c r="I386" s="46" t="n">
        <v>93</v>
      </c>
      <c r="J386" s="44" t="n">
        <v>0.1155</v>
      </c>
      <c r="K386" s="43" t="inlineStr">
        <is>
          <t>Received</t>
        </is>
      </c>
      <c r="L386" s="17">
        <f>INDEX(Items!$C$2:$C$117,MATCH(B386,Items!$A$2:$A$117,0))</f>
        <v/>
      </c>
      <c r="M386" s="49">
        <f>INDEX(Items!$E$2:$E$117,MATCH(B386,Items!$A$2:$A$117,0))</f>
        <v/>
      </c>
      <c r="N386" s="17">
        <f>TEXT(D386,"yyyy-mm")</f>
        <v/>
      </c>
      <c r="O386" s="50">
        <f>G386*J386</f>
        <v/>
      </c>
      <c r="P386" s="50">
        <f>(J386-M386)*G386</f>
        <v/>
      </c>
      <c r="Q386" s="51">
        <f>IF(K386="Received",1,0)</f>
        <v/>
      </c>
      <c r="R386" s="51">
        <f>IF(Q386=1,F386-D386,0)</f>
        <v/>
      </c>
      <c r="S386" s="51">
        <f>IF(Q386=1,IF(F386&lt;=E386,1,0),0)</f>
        <v/>
      </c>
      <c r="T386" s="51">
        <f>IF(Q386=1,IF(H386&gt;=G386,1,0),0)</f>
        <v/>
      </c>
      <c r="U386" s="51">
        <f>S386*T386</f>
        <v/>
      </c>
      <c r="V386" s="51">
        <f>IF(Q386=1,MAX(0,F386-E386),0)</f>
        <v/>
      </c>
    </row>
    <row r="387">
      <c r="A387" s="43" t="inlineStr">
        <is>
          <t>PO100548</t>
        </is>
      </c>
      <c r="B387" s="43" t="inlineStr">
        <is>
          <t>CMD-0025</t>
        </is>
      </c>
      <c r="C387" s="43" t="inlineStr">
        <is>
          <t>S02</t>
        </is>
      </c>
      <c r="D387" s="47" t="n">
        <v>45694</v>
      </c>
      <c r="E387" s="47" t="n">
        <v>45750</v>
      </c>
      <c r="F387" s="47" t="n">
        <v>45748</v>
      </c>
      <c r="G387" s="46" t="n">
        <v>1026</v>
      </c>
      <c r="H387" s="46" t="n">
        <v>893</v>
      </c>
      <c r="I387" s="46" t="n">
        <v>6</v>
      </c>
      <c r="J387" s="44" t="n">
        <v>10.52</v>
      </c>
      <c r="K387" s="43" t="inlineStr">
        <is>
          <t>Received</t>
        </is>
      </c>
      <c r="L387" s="17">
        <f>INDEX(Items!$C$2:$C$117,MATCH(B387,Items!$A$2:$A$117,0))</f>
        <v/>
      </c>
      <c r="M387" s="49">
        <f>INDEX(Items!$E$2:$E$117,MATCH(B387,Items!$A$2:$A$117,0))</f>
        <v/>
      </c>
      <c r="N387" s="17">
        <f>TEXT(D387,"yyyy-mm")</f>
        <v/>
      </c>
      <c r="O387" s="50">
        <f>G387*J387</f>
        <v/>
      </c>
      <c r="P387" s="50">
        <f>(J387-M387)*G387</f>
        <v/>
      </c>
      <c r="Q387" s="51">
        <f>IF(K387="Received",1,0)</f>
        <v/>
      </c>
      <c r="R387" s="51">
        <f>IF(Q387=1,F387-D387,0)</f>
        <v/>
      </c>
      <c r="S387" s="51">
        <f>IF(Q387=1,IF(F387&lt;=E387,1,0),0)</f>
        <v/>
      </c>
      <c r="T387" s="51">
        <f>IF(Q387=1,IF(H387&gt;=G387,1,0),0)</f>
        <v/>
      </c>
      <c r="U387" s="51">
        <f>S387*T387</f>
        <v/>
      </c>
      <c r="V387" s="51">
        <f>IF(Q387=1,MAX(0,F387-E387),0)</f>
        <v/>
      </c>
    </row>
    <row r="388">
      <c r="A388" s="43" t="inlineStr">
        <is>
          <t>PO101010</t>
        </is>
      </c>
      <c r="B388" s="43" t="inlineStr">
        <is>
          <t>CMD-0046</t>
        </is>
      </c>
      <c r="C388" s="43" t="inlineStr">
        <is>
          <t>S05</t>
        </is>
      </c>
      <c r="D388" s="47" t="n">
        <v>45694</v>
      </c>
      <c r="E388" s="47" t="n">
        <v>45799</v>
      </c>
      <c r="F388" s="47" t="n">
        <v>45797</v>
      </c>
      <c r="G388" s="46" t="n">
        <v>8629</v>
      </c>
      <c r="H388" s="46" t="n">
        <v>8629</v>
      </c>
      <c r="I388" s="46" t="n">
        <v>178</v>
      </c>
      <c r="J388" s="44" t="n">
        <v>10.57</v>
      </c>
      <c r="K388" s="43" t="inlineStr">
        <is>
          <t>Received</t>
        </is>
      </c>
      <c r="L388" s="17">
        <f>INDEX(Items!$C$2:$C$117,MATCH(B388,Items!$A$2:$A$117,0))</f>
        <v/>
      </c>
      <c r="M388" s="49">
        <f>INDEX(Items!$E$2:$E$117,MATCH(B388,Items!$A$2:$A$117,0))</f>
        <v/>
      </c>
      <c r="N388" s="17">
        <f>TEXT(D388,"yyyy-mm")</f>
        <v/>
      </c>
      <c r="O388" s="50">
        <f>G388*J388</f>
        <v/>
      </c>
      <c r="P388" s="50">
        <f>(J388-M388)*G388</f>
        <v/>
      </c>
      <c r="Q388" s="51">
        <f>IF(K388="Received",1,0)</f>
        <v/>
      </c>
      <c r="R388" s="51">
        <f>IF(Q388=1,F388-D388,0)</f>
        <v/>
      </c>
      <c r="S388" s="51">
        <f>IF(Q388=1,IF(F388&lt;=E388,1,0),0)</f>
        <v/>
      </c>
      <c r="T388" s="51">
        <f>IF(Q388=1,IF(H388&gt;=G388,1,0),0)</f>
        <v/>
      </c>
      <c r="U388" s="51">
        <f>S388*T388</f>
        <v/>
      </c>
      <c r="V388" s="51">
        <f>IF(Q388=1,MAX(0,F388-E388),0)</f>
        <v/>
      </c>
    </row>
    <row r="389">
      <c r="A389" s="43" t="inlineStr">
        <is>
          <t>PO101369</t>
        </is>
      </c>
      <c r="B389" s="43" t="inlineStr">
        <is>
          <t>CMD-0070</t>
        </is>
      </c>
      <c r="C389" s="43" t="inlineStr">
        <is>
          <t>S04</t>
        </is>
      </c>
      <c r="D389" s="47" t="n">
        <v>45694</v>
      </c>
      <c r="E389" s="47" t="n">
        <v>45729</v>
      </c>
      <c r="F389" s="47" t="n">
        <v>45728</v>
      </c>
      <c r="G389" s="46" t="n">
        <v>52552</v>
      </c>
      <c r="H389" s="46" t="n">
        <v>52552</v>
      </c>
      <c r="I389" s="46" t="n">
        <v>504</v>
      </c>
      <c r="J389" s="44" t="n">
        <v>0.141</v>
      </c>
      <c r="K389" s="43" t="inlineStr">
        <is>
          <t>Received</t>
        </is>
      </c>
      <c r="L389" s="17">
        <f>INDEX(Items!$C$2:$C$117,MATCH(B389,Items!$A$2:$A$117,0))</f>
        <v/>
      </c>
      <c r="M389" s="49">
        <f>INDEX(Items!$E$2:$E$117,MATCH(B389,Items!$A$2:$A$117,0))</f>
        <v/>
      </c>
      <c r="N389" s="17">
        <f>TEXT(D389,"yyyy-mm")</f>
        <v/>
      </c>
      <c r="O389" s="50">
        <f>G389*J389</f>
        <v/>
      </c>
      <c r="P389" s="50">
        <f>(J389-M389)*G389</f>
        <v/>
      </c>
      <c r="Q389" s="51">
        <f>IF(K389="Received",1,0)</f>
        <v/>
      </c>
      <c r="R389" s="51">
        <f>IF(Q389=1,F389-D389,0)</f>
        <v/>
      </c>
      <c r="S389" s="51">
        <f>IF(Q389=1,IF(F389&lt;=E389,1,0),0)</f>
        <v/>
      </c>
      <c r="T389" s="51">
        <f>IF(Q389=1,IF(H389&gt;=G389,1,0),0)</f>
        <v/>
      </c>
      <c r="U389" s="51">
        <f>S389*T389</f>
        <v/>
      </c>
      <c r="V389" s="51">
        <f>IF(Q389=1,MAX(0,F389-E389),0)</f>
        <v/>
      </c>
    </row>
    <row r="390">
      <c r="A390" s="43" t="inlineStr">
        <is>
          <t>PO101508</t>
        </is>
      </c>
      <c r="B390" s="43" t="inlineStr">
        <is>
          <t>CMD-0080</t>
        </is>
      </c>
      <c r="C390" s="43" t="inlineStr">
        <is>
          <t>S06</t>
        </is>
      </c>
      <c r="D390" s="47" t="n">
        <v>45694</v>
      </c>
      <c r="E390" s="47" t="n">
        <v>45715</v>
      </c>
      <c r="F390" s="47" t="n">
        <v>45712</v>
      </c>
      <c r="G390" s="46" t="n">
        <v>4966</v>
      </c>
      <c r="H390" s="46" t="n">
        <v>4966</v>
      </c>
      <c r="I390" s="46" t="n">
        <v>22</v>
      </c>
      <c r="J390" s="44" t="n">
        <v>5.53</v>
      </c>
      <c r="K390" s="43" t="inlineStr">
        <is>
          <t>Received</t>
        </is>
      </c>
      <c r="L390" s="17">
        <f>INDEX(Items!$C$2:$C$117,MATCH(B390,Items!$A$2:$A$117,0))</f>
        <v/>
      </c>
      <c r="M390" s="49">
        <f>INDEX(Items!$E$2:$E$117,MATCH(B390,Items!$A$2:$A$117,0))</f>
        <v/>
      </c>
      <c r="N390" s="17">
        <f>TEXT(D390,"yyyy-mm")</f>
        <v/>
      </c>
      <c r="O390" s="50">
        <f>G390*J390</f>
        <v/>
      </c>
      <c r="P390" s="50">
        <f>(J390-M390)*G390</f>
        <v/>
      </c>
      <c r="Q390" s="51">
        <f>IF(K390="Received",1,0)</f>
        <v/>
      </c>
      <c r="R390" s="51">
        <f>IF(Q390=1,F390-D390,0)</f>
        <v/>
      </c>
      <c r="S390" s="51">
        <f>IF(Q390=1,IF(F390&lt;=E390,1,0),0)</f>
        <v/>
      </c>
      <c r="T390" s="51">
        <f>IF(Q390=1,IF(H390&gt;=G390,1,0),0)</f>
        <v/>
      </c>
      <c r="U390" s="51">
        <f>S390*T390</f>
        <v/>
      </c>
      <c r="V390" s="51">
        <f>IF(Q390=1,MAX(0,F390-E390),0)</f>
        <v/>
      </c>
    </row>
    <row r="391">
      <c r="A391" s="43" t="inlineStr">
        <is>
          <t>PO101824</t>
        </is>
      </c>
      <c r="B391" s="43" t="inlineStr">
        <is>
          <t>CMD-0100</t>
        </is>
      </c>
      <c r="C391" s="43" t="inlineStr">
        <is>
          <t>S09</t>
        </is>
      </c>
      <c r="D391" s="47" t="n">
        <v>45694</v>
      </c>
      <c r="E391" s="47" t="n">
        <v>45715</v>
      </c>
      <c r="F391" s="47" t="n">
        <v>45715</v>
      </c>
      <c r="G391" s="46" t="n">
        <v>6880</v>
      </c>
      <c r="H391" s="46" t="n">
        <v>6880</v>
      </c>
      <c r="I391" s="46" t="n">
        <v>10</v>
      </c>
      <c r="J391" s="44" t="n">
        <v>4.94</v>
      </c>
      <c r="K391" s="43" t="inlineStr">
        <is>
          <t>Received</t>
        </is>
      </c>
      <c r="L391" s="17">
        <f>INDEX(Items!$C$2:$C$117,MATCH(B391,Items!$A$2:$A$117,0))</f>
        <v/>
      </c>
      <c r="M391" s="49">
        <f>INDEX(Items!$E$2:$E$117,MATCH(B391,Items!$A$2:$A$117,0))</f>
        <v/>
      </c>
      <c r="N391" s="17">
        <f>TEXT(D391,"yyyy-mm")</f>
        <v/>
      </c>
      <c r="O391" s="50">
        <f>G391*J391</f>
        <v/>
      </c>
      <c r="P391" s="50">
        <f>(J391-M391)*G391</f>
        <v/>
      </c>
      <c r="Q391" s="51">
        <f>IF(K391="Received",1,0)</f>
        <v/>
      </c>
      <c r="R391" s="51">
        <f>IF(Q391=1,F391-D391,0)</f>
        <v/>
      </c>
      <c r="S391" s="51">
        <f>IF(Q391=1,IF(F391&lt;=E391,1,0),0)</f>
        <v/>
      </c>
      <c r="T391" s="51">
        <f>IF(Q391=1,IF(H391&gt;=G391,1,0),0)</f>
        <v/>
      </c>
      <c r="U391" s="51">
        <f>S391*T391</f>
        <v/>
      </c>
      <c r="V391" s="51">
        <f>IF(Q391=1,MAX(0,F391-E391),0)</f>
        <v/>
      </c>
    </row>
    <row r="392">
      <c r="A392" s="43" t="inlineStr">
        <is>
          <t>PO100434</t>
        </is>
      </c>
      <c r="B392" s="43" t="inlineStr">
        <is>
          <t>CMD-0020</t>
        </is>
      </c>
      <c r="C392" s="43" t="inlineStr">
        <is>
          <t>S04</t>
        </is>
      </c>
      <c r="D392" s="47" t="n">
        <v>45694</v>
      </c>
      <c r="E392" s="47" t="n">
        <v>45764</v>
      </c>
      <c r="F392" s="47" t="n">
        <v>45763</v>
      </c>
      <c r="G392" s="46" t="n">
        <v>3607</v>
      </c>
      <c r="H392" s="46" t="n">
        <v>3607</v>
      </c>
      <c r="I392" s="46" t="n">
        <v>50</v>
      </c>
      <c r="J392" s="44" t="n">
        <v>5.03</v>
      </c>
      <c r="K392" s="43" t="inlineStr">
        <is>
          <t>Received</t>
        </is>
      </c>
      <c r="L392" s="17">
        <f>INDEX(Items!$C$2:$C$117,MATCH(B392,Items!$A$2:$A$117,0))</f>
        <v/>
      </c>
      <c r="M392" s="49">
        <f>INDEX(Items!$E$2:$E$117,MATCH(B392,Items!$A$2:$A$117,0))</f>
        <v/>
      </c>
      <c r="N392" s="17">
        <f>TEXT(D392,"yyyy-mm")</f>
        <v/>
      </c>
      <c r="O392" s="50">
        <f>G392*J392</f>
        <v/>
      </c>
      <c r="P392" s="50">
        <f>(J392-M392)*G392</f>
        <v/>
      </c>
      <c r="Q392" s="51">
        <f>IF(K392="Received",1,0)</f>
        <v/>
      </c>
      <c r="R392" s="51">
        <f>IF(Q392=1,F392-D392,0)</f>
        <v/>
      </c>
      <c r="S392" s="51">
        <f>IF(Q392=1,IF(F392&lt;=E392,1,0),0)</f>
        <v/>
      </c>
      <c r="T392" s="51">
        <f>IF(Q392=1,IF(H392&gt;=G392,1,0),0)</f>
        <v/>
      </c>
      <c r="U392" s="51">
        <f>S392*T392</f>
        <v/>
      </c>
      <c r="V392" s="51">
        <f>IF(Q392=1,MAX(0,F392-E392),0)</f>
        <v/>
      </c>
    </row>
    <row r="393">
      <c r="A393" s="43" t="inlineStr">
        <is>
          <t>PO100846</t>
        </is>
      </c>
      <c r="B393" s="43" t="inlineStr">
        <is>
          <t>CMD-0038</t>
        </is>
      </c>
      <c r="C393" s="43" t="inlineStr">
        <is>
          <t>S01</t>
        </is>
      </c>
      <c r="D393" s="47" t="n">
        <v>45695</v>
      </c>
      <c r="E393" s="47" t="n">
        <v>45723</v>
      </c>
      <c r="F393" s="47" t="n">
        <v>45721</v>
      </c>
      <c r="G393" s="46" t="n">
        <v>949</v>
      </c>
      <c r="H393" s="46" t="n">
        <v>949</v>
      </c>
      <c r="I393" s="46" t="n">
        <v>1</v>
      </c>
      <c r="J393" s="44" t="n">
        <v>21.49</v>
      </c>
      <c r="K393" s="43" t="inlineStr">
        <is>
          <t>Received</t>
        </is>
      </c>
      <c r="L393" s="17">
        <f>INDEX(Items!$C$2:$C$117,MATCH(B393,Items!$A$2:$A$117,0))</f>
        <v/>
      </c>
      <c r="M393" s="49">
        <f>INDEX(Items!$E$2:$E$117,MATCH(B393,Items!$A$2:$A$117,0))</f>
        <v/>
      </c>
      <c r="N393" s="17">
        <f>TEXT(D393,"yyyy-mm")</f>
        <v/>
      </c>
      <c r="O393" s="50">
        <f>G393*J393</f>
        <v/>
      </c>
      <c r="P393" s="50">
        <f>(J393-M393)*G393</f>
        <v/>
      </c>
      <c r="Q393" s="51">
        <f>IF(K393="Received",1,0)</f>
        <v/>
      </c>
      <c r="R393" s="51">
        <f>IF(Q393=1,F393-D393,0)</f>
        <v/>
      </c>
      <c r="S393" s="51">
        <f>IF(Q393=1,IF(F393&lt;=E393,1,0),0)</f>
        <v/>
      </c>
      <c r="T393" s="51">
        <f>IF(Q393=1,IF(H393&gt;=G393,1,0),0)</f>
        <v/>
      </c>
      <c r="U393" s="51">
        <f>S393*T393</f>
        <v/>
      </c>
      <c r="V393" s="51">
        <f>IF(Q393=1,MAX(0,F393-E393),0)</f>
        <v/>
      </c>
    </row>
    <row r="394">
      <c r="A394" s="43" t="inlineStr">
        <is>
          <t>PO100196</t>
        </is>
      </c>
      <c r="B394" s="43" t="inlineStr">
        <is>
          <t>CMD-0009</t>
        </is>
      </c>
      <c r="C394" s="43" t="inlineStr">
        <is>
          <t>S11</t>
        </is>
      </c>
      <c r="D394" s="47" t="n">
        <v>45695</v>
      </c>
      <c r="E394" s="47" t="n">
        <v>45814</v>
      </c>
      <c r="F394" s="47" t="n">
        <v>45814</v>
      </c>
      <c r="G394" s="46" t="n">
        <v>8102</v>
      </c>
      <c r="H394" s="46" t="n">
        <v>8102</v>
      </c>
      <c r="I394" s="46" t="n">
        <v>15</v>
      </c>
      <c r="J394" s="44" t="n">
        <v>6.29</v>
      </c>
      <c r="K394" s="43" t="inlineStr">
        <is>
          <t>Received</t>
        </is>
      </c>
      <c r="L394" s="17">
        <f>INDEX(Items!$C$2:$C$117,MATCH(B394,Items!$A$2:$A$117,0))</f>
        <v/>
      </c>
      <c r="M394" s="49">
        <f>INDEX(Items!$E$2:$E$117,MATCH(B394,Items!$A$2:$A$117,0))</f>
        <v/>
      </c>
      <c r="N394" s="17">
        <f>TEXT(D394,"yyyy-mm")</f>
        <v/>
      </c>
      <c r="O394" s="50">
        <f>G394*J394</f>
        <v/>
      </c>
      <c r="P394" s="50">
        <f>(J394-M394)*G394</f>
        <v/>
      </c>
      <c r="Q394" s="51">
        <f>IF(K394="Received",1,0)</f>
        <v/>
      </c>
      <c r="R394" s="51">
        <f>IF(Q394=1,F394-D394,0)</f>
        <v/>
      </c>
      <c r="S394" s="51">
        <f>IF(Q394=1,IF(F394&lt;=E394,1,0),0)</f>
        <v/>
      </c>
      <c r="T394" s="51">
        <f>IF(Q394=1,IF(H394&gt;=G394,1,0),0)</f>
        <v/>
      </c>
      <c r="U394" s="51">
        <f>S394*T394</f>
        <v/>
      </c>
      <c r="V394" s="51">
        <f>IF(Q394=1,MAX(0,F394-E394),0)</f>
        <v/>
      </c>
    </row>
    <row r="395">
      <c r="A395" s="43" t="inlineStr">
        <is>
          <t>PO100344</t>
        </is>
      </c>
      <c r="B395" s="43" t="inlineStr">
        <is>
          <t>CMD-0016</t>
        </is>
      </c>
      <c r="C395" s="43" t="inlineStr">
        <is>
          <t>S07</t>
        </is>
      </c>
      <c r="D395" s="47" t="n">
        <v>45695</v>
      </c>
      <c r="E395" s="47" t="n">
        <v>45786</v>
      </c>
      <c r="F395" s="47" t="n">
        <v>45783</v>
      </c>
      <c r="G395" s="46" t="n">
        <v>8487</v>
      </c>
      <c r="H395" s="46" t="n">
        <v>8487</v>
      </c>
      <c r="I395" s="46" t="n">
        <v>74</v>
      </c>
      <c r="J395" s="44" t="n">
        <v>27.02</v>
      </c>
      <c r="K395" s="43" t="inlineStr">
        <is>
          <t>Received</t>
        </is>
      </c>
      <c r="L395" s="17">
        <f>INDEX(Items!$C$2:$C$117,MATCH(B395,Items!$A$2:$A$117,0))</f>
        <v/>
      </c>
      <c r="M395" s="49">
        <f>INDEX(Items!$E$2:$E$117,MATCH(B395,Items!$A$2:$A$117,0))</f>
        <v/>
      </c>
      <c r="N395" s="17">
        <f>TEXT(D395,"yyyy-mm")</f>
        <v/>
      </c>
      <c r="O395" s="50">
        <f>G395*J395</f>
        <v/>
      </c>
      <c r="P395" s="50">
        <f>(J395-M395)*G395</f>
        <v/>
      </c>
      <c r="Q395" s="51">
        <f>IF(K395="Received",1,0)</f>
        <v/>
      </c>
      <c r="R395" s="51">
        <f>IF(Q395=1,F395-D395,0)</f>
        <v/>
      </c>
      <c r="S395" s="51">
        <f>IF(Q395=1,IF(F395&lt;=E395,1,0),0)</f>
        <v/>
      </c>
      <c r="T395" s="51">
        <f>IF(Q395=1,IF(H395&gt;=G395,1,0),0)</f>
        <v/>
      </c>
      <c r="U395" s="51">
        <f>S395*T395</f>
        <v/>
      </c>
      <c r="V395" s="51">
        <f>IF(Q395=1,MAX(0,F395-E395),0)</f>
        <v/>
      </c>
    </row>
    <row r="396">
      <c r="A396" s="43" t="inlineStr">
        <is>
          <t>PO101872</t>
        </is>
      </c>
      <c r="B396" s="43" t="inlineStr">
        <is>
          <t>CMD-0102</t>
        </is>
      </c>
      <c r="C396" s="43" t="inlineStr">
        <is>
          <t>S09</t>
        </is>
      </c>
      <c r="D396" s="47" t="n">
        <v>45695</v>
      </c>
      <c r="E396" s="47" t="n">
        <v>45716</v>
      </c>
      <c r="F396" s="47" t="n">
        <v>45714</v>
      </c>
      <c r="G396" s="46" t="n">
        <v>2369</v>
      </c>
      <c r="H396" s="46" t="n">
        <v>2369</v>
      </c>
      <c r="I396" s="46" t="n">
        <v>6</v>
      </c>
      <c r="J396" s="44" t="n">
        <v>6.71</v>
      </c>
      <c r="K396" s="43" t="inlineStr">
        <is>
          <t>Received</t>
        </is>
      </c>
      <c r="L396" s="17">
        <f>INDEX(Items!$C$2:$C$117,MATCH(B396,Items!$A$2:$A$117,0))</f>
        <v/>
      </c>
      <c r="M396" s="49">
        <f>INDEX(Items!$E$2:$E$117,MATCH(B396,Items!$A$2:$A$117,0))</f>
        <v/>
      </c>
      <c r="N396" s="17">
        <f>TEXT(D396,"yyyy-mm")</f>
        <v/>
      </c>
      <c r="O396" s="50">
        <f>G396*J396</f>
        <v/>
      </c>
      <c r="P396" s="50">
        <f>(J396-M396)*G396</f>
        <v/>
      </c>
      <c r="Q396" s="51">
        <f>IF(K396="Received",1,0)</f>
        <v/>
      </c>
      <c r="R396" s="51">
        <f>IF(Q396=1,F396-D396,0)</f>
        <v/>
      </c>
      <c r="S396" s="51">
        <f>IF(Q396=1,IF(F396&lt;=E396,1,0),0)</f>
        <v/>
      </c>
      <c r="T396" s="51">
        <f>IF(Q396=1,IF(H396&gt;=G396,1,0),0)</f>
        <v/>
      </c>
      <c r="U396" s="51">
        <f>S396*T396</f>
        <v/>
      </c>
      <c r="V396" s="51">
        <f>IF(Q396=1,MAX(0,F396-E396),0)</f>
        <v/>
      </c>
    </row>
    <row r="397">
      <c r="A397" s="43" t="inlineStr">
        <is>
          <t>PO101086</t>
        </is>
      </c>
      <c r="B397" s="43" t="inlineStr">
        <is>
          <t>CMD-0050</t>
        </is>
      </c>
      <c r="C397" s="43" t="inlineStr">
        <is>
          <t>S10</t>
        </is>
      </c>
      <c r="D397" s="47" t="n">
        <v>45695</v>
      </c>
      <c r="E397" s="47" t="n">
        <v>45723</v>
      </c>
      <c r="F397" s="47" t="n">
        <v>45720</v>
      </c>
      <c r="G397" s="46" t="n">
        <v>77853</v>
      </c>
      <c r="H397" s="46" t="n">
        <v>77853</v>
      </c>
      <c r="I397" s="46" t="n">
        <v>70</v>
      </c>
      <c r="J397" s="44" t="n">
        <v>0.075</v>
      </c>
      <c r="K397" s="43" t="inlineStr">
        <is>
          <t>Received</t>
        </is>
      </c>
      <c r="L397" s="17">
        <f>INDEX(Items!$C$2:$C$117,MATCH(B397,Items!$A$2:$A$117,0))</f>
        <v/>
      </c>
      <c r="M397" s="49">
        <f>INDEX(Items!$E$2:$E$117,MATCH(B397,Items!$A$2:$A$117,0))</f>
        <v/>
      </c>
      <c r="N397" s="17">
        <f>TEXT(D397,"yyyy-mm")</f>
        <v/>
      </c>
      <c r="O397" s="50">
        <f>G397*J397</f>
        <v/>
      </c>
      <c r="P397" s="50">
        <f>(J397-M397)*G397</f>
        <v/>
      </c>
      <c r="Q397" s="51">
        <f>IF(K397="Received",1,0)</f>
        <v/>
      </c>
      <c r="R397" s="51">
        <f>IF(Q397=1,F397-D397,0)</f>
        <v/>
      </c>
      <c r="S397" s="51">
        <f>IF(Q397=1,IF(F397&lt;=E397,1,0),0)</f>
        <v/>
      </c>
      <c r="T397" s="51">
        <f>IF(Q397=1,IF(H397&gt;=G397,1,0),0)</f>
        <v/>
      </c>
      <c r="U397" s="51">
        <f>S397*T397</f>
        <v/>
      </c>
      <c r="V397" s="51">
        <f>IF(Q397=1,MAX(0,F397-E397),0)</f>
        <v/>
      </c>
    </row>
    <row r="398">
      <c r="A398" s="43" t="inlineStr">
        <is>
          <t>PO101964</t>
        </is>
      </c>
      <c r="B398" s="43" t="inlineStr">
        <is>
          <t>CMD-0109</t>
        </is>
      </c>
      <c r="C398" s="43" t="inlineStr">
        <is>
          <t>S12</t>
        </is>
      </c>
      <c r="D398" s="47" t="n">
        <v>45695</v>
      </c>
      <c r="E398" s="47" t="n">
        <v>45702</v>
      </c>
      <c r="F398" s="47" t="n">
        <v>45701</v>
      </c>
      <c r="G398" s="46" t="n">
        <v>6237</v>
      </c>
      <c r="H398" s="46" t="n">
        <v>6237</v>
      </c>
      <c r="I398" s="46" t="n">
        <v>6</v>
      </c>
      <c r="J398" s="44" t="n">
        <v>1.7</v>
      </c>
      <c r="K398" s="43" t="inlineStr">
        <is>
          <t>Received</t>
        </is>
      </c>
      <c r="L398" s="17">
        <f>INDEX(Items!$C$2:$C$117,MATCH(B398,Items!$A$2:$A$117,0))</f>
        <v/>
      </c>
      <c r="M398" s="49">
        <f>INDEX(Items!$E$2:$E$117,MATCH(B398,Items!$A$2:$A$117,0))</f>
        <v/>
      </c>
      <c r="N398" s="17">
        <f>TEXT(D398,"yyyy-mm")</f>
        <v/>
      </c>
      <c r="O398" s="50">
        <f>G398*J398</f>
        <v/>
      </c>
      <c r="P398" s="50">
        <f>(J398-M398)*G398</f>
        <v/>
      </c>
      <c r="Q398" s="51">
        <f>IF(K398="Received",1,0)</f>
        <v/>
      </c>
      <c r="R398" s="51">
        <f>IF(Q398=1,F398-D398,0)</f>
        <v/>
      </c>
      <c r="S398" s="51">
        <f>IF(Q398=1,IF(F398&lt;=E398,1,0),0)</f>
        <v/>
      </c>
      <c r="T398" s="51">
        <f>IF(Q398=1,IF(H398&gt;=G398,1,0),0)</f>
        <v/>
      </c>
      <c r="U398" s="51">
        <f>S398*T398</f>
        <v/>
      </c>
      <c r="V398" s="51">
        <f>IF(Q398=1,MAX(0,F398-E398),0)</f>
        <v/>
      </c>
    </row>
    <row r="399">
      <c r="A399" s="43" t="inlineStr">
        <is>
          <t>PO100500</t>
        </is>
      </c>
      <c r="B399" s="43" t="inlineStr">
        <is>
          <t>CMD-0023</t>
        </is>
      </c>
      <c r="C399" s="43" t="inlineStr">
        <is>
          <t>S04</t>
        </is>
      </c>
      <c r="D399" s="47" t="n">
        <v>45695</v>
      </c>
      <c r="E399" s="47" t="n">
        <v>45765</v>
      </c>
      <c r="F399" s="47" t="n">
        <v>45765</v>
      </c>
      <c r="G399" s="46" t="n">
        <v>4514</v>
      </c>
      <c r="H399" s="46" t="n">
        <v>4514</v>
      </c>
      <c r="I399" s="46" t="n">
        <v>39</v>
      </c>
      <c r="J399" s="44" t="n">
        <v>8.800000000000001</v>
      </c>
      <c r="K399" s="43" t="inlineStr">
        <is>
          <t>Received</t>
        </is>
      </c>
      <c r="L399" s="17">
        <f>INDEX(Items!$C$2:$C$117,MATCH(B399,Items!$A$2:$A$117,0))</f>
        <v/>
      </c>
      <c r="M399" s="49">
        <f>INDEX(Items!$E$2:$E$117,MATCH(B399,Items!$A$2:$A$117,0))</f>
        <v/>
      </c>
      <c r="N399" s="17">
        <f>TEXT(D399,"yyyy-mm")</f>
        <v/>
      </c>
      <c r="O399" s="50">
        <f>G399*J399</f>
        <v/>
      </c>
      <c r="P399" s="50">
        <f>(J399-M399)*G399</f>
        <v/>
      </c>
      <c r="Q399" s="51">
        <f>IF(K399="Received",1,0)</f>
        <v/>
      </c>
      <c r="R399" s="51">
        <f>IF(Q399=1,F399-D399,0)</f>
        <v/>
      </c>
      <c r="S399" s="51">
        <f>IF(Q399=1,IF(F399&lt;=E399,1,0),0)</f>
        <v/>
      </c>
      <c r="T399" s="51">
        <f>IF(Q399=1,IF(H399&gt;=G399,1,0),0)</f>
        <v/>
      </c>
      <c r="U399" s="51">
        <f>S399*T399</f>
        <v/>
      </c>
      <c r="V399" s="51">
        <f>IF(Q399=1,MAX(0,F399-E399),0)</f>
        <v/>
      </c>
    </row>
    <row r="400">
      <c r="A400" s="43" t="inlineStr">
        <is>
          <t>PO100986</t>
        </is>
      </c>
      <c r="B400" s="43" t="inlineStr">
        <is>
          <t>CMD-0045</t>
        </is>
      </c>
      <c r="C400" s="43" t="inlineStr">
        <is>
          <t>S05</t>
        </is>
      </c>
      <c r="D400" s="47" t="n">
        <v>45696</v>
      </c>
      <c r="E400" s="47" t="n">
        <v>45801</v>
      </c>
      <c r="F400" s="47" t="n">
        <v>45800</v>
      </c>
      <c r="G400" s="46" t="n">
        <v>4227</v>
      </c>
      <c r="H400" s="46" t="n">
        <v>4227</v>
      </c>
      <c r="I400" s="46" t="n">
        <v>75</v>
      </c>
      <c r="J400" s="44" t="n">
        <v>8.99</v>
      </c>
      <c r="K400" s="43" t="inlineStr">
        <is>
          <t>Received</t>
        </is>
      </c>
      <c r="L400" s="17">
        <f>INDEX(Items!$C$2:$C$117,MATCH(B400,Items!$A$2:$A$117,0))</f>
        <v/>
      </c>
      <c r="M400" s="49">
        <f>INDEX(Items!$E$2:$E$117,MATCH(B400,Items!$A$2:$A$117,0))</f>
        <v/>
      </c>
      <c r="N400" s="17">
        <f>TEXT(D400,"yyyy-mm")</f>
        <v/>
      </c>
      <c r="O400" s="50">
        <f>G400*J400</f>
        <v/>
      </c>
      <c r="P400" s="50">
        <f>(J400-M400)*G400</f>
        <v/>
      </c>
      <c r="Q400" s="51">
        <f>IF(K400="Received",1,0)</f>
        <v/>
      </c>
      <c r="R400" s="51">
        <f>IF(Q400=1,F400-D400,0)</f>
        <v/>
      </c>
      <c r="S400" s="51">
        <f>IF(Q400=1,IF(F400&lt;=E400,1,0),0)</f>
        <v/>
      </c>
      <c r="T400" s="51">
        <f>IF(Q400=1,IF(H400&gt;=G400,1,0),0)</f>
        <v/>
      </c>
      <c r="U400" s="51">
        <f>S400*T400</f>
        <v/>
      </c>
      <c r="V400" s="51">
        <f>IF(Q400=1,MAX(0,F400-E400),0)</f>
        <v/>
      </c>
    </row>
    <row r="401">
      <c r="A401" s="43" t="inlineStr">
        <is>
          <t>PO100524</t>
        </is>
      </c>
      <c r="B401" s="43" t="inlineStr">
        <is>
          <t>CMD-0024</t>
        </is>
      </c>
      <c r="C401" s="43" t="inlineStr">
        <is>
          <t>S04</t>
        </is>
      </c>
      <c r="D401" s="47" t="n">
        <v>45696</v>
      </c>
      <c r="E401" s="47" t="n">
        <v>45766</v>
      </c>
      <c r="F401" s="47" t="n">
        <v>45775</v>
      </c>
      <c r="G401" s="46" t="n">
        <v>5740</v>
      </c>
      <c r="H401" s="46" t="n">
        <v>5740</v>
      </c>
      <c r="I401" s="46" t="n">
        <v>70</v>
      </c>
      <c r="J401" s="44" t="n">
        <v>3.31</v>
      </c>
      <c r="K401" s="43" t="inlineStr">
        <is>
          <t>Received</t>
        </is>
      </c>
      <c r="L401" s="17">
        <f>INDEX(Items!$C$2:$C$117,MATCH(B401,Items!$A$2:$A$117,0))</f>
        <v/>
      </c>
      <c r="M401" s="49">
        <f>INDEX(Items!$E$2:$E$117,MATCH(B401,Items!$A$2:$A$117,0))</f>
        <v/>
      </c>
      <c r="N401" s="17">
        <f>TEXT(D401,"yyyy-mm")</f>
        <v/>
      </c>
      <c r="O401" s="50">
        <f>G401*J401</f>
        <v/>
      </c>
      <c r="P401" s="50">
        <f>(J401-M401)*G401</f>
        <v/>
      </c>
      <c r="Q401" s="51">
        <f>IF(K401="Received",1,0)</f>
        <v/>
      </c>
      <c r="R401" s="51">
        <f>IF(Q401=1,F401-D401,0)</f>
        <v/>
      </c>
      <c r="S401" s="51">
        <f>IF(Q401=1,IF(F401&lt;=E401,1,0),0)</f>
        <v/>
      </c>
      <c r="T401" s="51">
        <f>IF(Q401=1,IF(H401&gt;=G401,1,0),0)</f>
        <v/>
      </c>
      <c r="U401" s="51">
        <f>S401*T401</f>
        <v/>
      </c>
      <c r="V401" s="51">
        <f>IF(Q401=1,MAX(0,F401-E401),0)</f>
        <v/>
      </c>
    </row>
    <row r="402">
      <c r="A402" s="43" t="inlineStr">
        <is>
          <t>PO101848</t>
        </is>
      </c>
      <c r="B402" s="43" t="inlineStr">
        <is>
          <t>CMD-0101</t>
        </is>
      </c>
      <c r="C402" s="43" t="inlineStr">
        <is>
          <t>S09</t>
        </is>
      </c>
      <c r="D402" s="47" t="n">
        <v>45696</v>
      </c>
      <c r="E402" s="47" t="n">
        <v>45717</v>
      </c>
      <c r="F402" s="47" t="n">
        <v>45715</v>
      </c>
      <c r="G402" s="46" t="n">
        <v>3808</v>
      </c>
      <c r="H402" s="46" t="n">
        <v>3808</v>
      </c>
      <c r="I402" s="46" t="n">
        <v>12</v>
      </c>
      <c r="J402" s="44" t="n">
        <v>3.7</v>
      </c>
      <c r="K402" s="43" t="inlineStr">
        <is>
          <t>Received</t>
        </is>
      </c>
      <c r="L402" s="17">
        <f>INDEX(Items!$C$2:$C$117,MATCH(B402,Items!$A$2:$A$117,0))</f>
        <v/>
      </c>
      <c r="M402" s="49">
        <f>INDEX(Items!$E$2:$E$117,MATCH(B402,Items!$A$2:$A$117,0))</f>
        <v/>
      </c>
      <c r="N402" s="17">
        <f>TEXT(D402,"yyyy-mm")</f>
        <v/>
      </c>
      <c r="O402" s="50">
        <f>G402*J402</f>
        <v/>
      </c>
      <c r="P402" s="50">
        <f>(J402-M402)*G402</f>
        <v/>
      </c>
      <c r="Q402" s="51">
        <f>IF(K402="Received",1,0)</f>
        <v/>
      </c>
      <c r="R402" s="51">
        <f>IF(Q402=1,F402-D402,0)</f>
        <v/>
      </c>
      <c r="S402" s="51">
        <f>IF(Q402=1,IF(F402&lt;=E402,1,0),0)</f>
        <v/>
      </c>
      <c r="T402" s="51">
        <f>IF(Q402=1,IF(H402&gt;=G402,1,0),0)</f>
        <v/>
      </c>
      <c r="U402" s="51">
        <f>S402*T402</f>
        <v/>
      </c>
      <c r="V402" s="51">
        <f>IF(Q402=1,MAX(0,F402-E402),0)</f>
        <v/>
      </c>
    </row>
    <row r="403">
      <c r="A403" s="43" t="inlineStr">
        <is>
          <t>PO101718</t>
        </is>
      </c>
      <c r="B403" s="43" t="inlineStr">
        <is>
          <t>CMD-0094</t>
        </is>
      </c>
      <c r="C403" s="43" t="inlineStr">
        <is>
          <t>S08</t>
        </is>
      </c>
      <c r="D403" s="47" t="n">
        <v>45696</v>
      </c>
      <c r="E403" s="47" t="n">
        <v>45773</v>
      </c>
      <c r="F403" s="47" t="n">
        <v>45771</v>
      </c>
      <c r="G403" s="46" t="n">
        <v>439</v>
      </c>
      <c r="H403" s="46" t="n">
        <v>439</v>
      </c>
      <c r="I403" s="46" t="n">
        <v>4</v>
      </c>
      <c r="J403" s="44" t="n">
        <v>74.09</v>
      </c>
      <c r="K403" s="43" t="inlineStr">
        <is>
          <t>Received</t>
        </is>
      </c>
      <c r="L403" s="17">
        <f>INDEX(Items!$C$2:$C$117,MATCH(B403,Items!$A$2:$A$117,0))</f>
        <v/>
      </c>
      <c r="M403" s="49">
        <f>INDEX(Items!$E$2:$E$117,MATCH(B403,Items!$A$2:$A$117,0))</f>
        <v/>
      </c>
      <c r="N403" s="17">
        <f>TEXT(D403,"yyyy-mm")</f>
        <v/>
      </c>
      <c r="O403" s="50">
        <f>G403*J403</f>
        <v/>
      </c>
      <c r="P403" s="50">
        <f>(J403-M403)*G403</f>
        <v/>
      </c>
      <c r="Q403" s="51">
        <f>IF(K403="Received",1,0)</f>
        <v/>
      </c>
      <c r="R403" s="51">
        <f>IF(Q403=1,F403-D403,0)</f>
        <v/>
      </c>
      <c r="S403" s="51">
        <f>IF(Q403=1,IF(F403&lt;=E403,1,0),0)</f>
        <v/>
      </c>
      <c r="T403" s="51">
        <f>IF(Q403=1,IF(H403&gt;=G403,1,0),0)</f>
        <v/>
      </c>
      <c r="U403" s="51">
        <f>S403*T403</f>
        <v/>
      </c>
      <c r="V403" s="51">
        <f>IF(Q403=1,MAX(0,F403-E403),0)</f>
        <v/>
      </c>
    </row>
    <row r="404">
      <c r="A404" s="43" t="inlineStr">
        <is>
          <t>PO100596</t>
        </is>
      </c>
      <c r="B404" s="43" t="inlineStr">
        <is>
          <t>CMD-0027</t>
        </is>
      </c>
      <c r="C404" s="43" t="inlineStr">
        <is>
          <t>S04</t>
        </is>
      </c>
      <c r="D404" s="47" t="n">
        <v>45696</v>
      </c>
      <c r="E404" s="47" t="n">
        <v>45766</v>
      </c>
      <c r="F404" s="47" t="n">
        <v>45764</v>
      </c>
      <c r="G404" s="46" t="n">
        <v>6223</v>
      </c>
      <c r="H404" s="46" t="n">
        <v>6223</v>
      </c>
      <c r="I404" s="46" t="n">
        <v>56</v>
      </c>
      <c r="J404" s="44" t="n">
        <v>8.85</v>
      </c>
      <c r="K404" s="43" t="inlineStr">
        <is>
          <t>Received</t>
        </is>
      </c>
      <c r="L404" s="17">
        <f>INDEX(Items!$C$2:$C$117,MATCH(B404,Items!$A$2:$A$117,0))</f>
        <v/>
      </c>
      <c r="M404" s="49">
        <f>INDEX(Items!$E$2:$E$117,MATCH(B404,Items!$A$2:$A$117,0))</f>
        <v/>
      </c>
      <c r="N404" s="17">
        <f>TEXT(D404,"yyyy-mm")</f>
        <v/>
      </c>
      <c r="O404" s="50">
        <f>G404*J404</f>
        <v/>
      </c>
      <c r="P404" s="50">
        <f>(J404-M404)*G404</f>
        <v/>
      </c>
      <c r="Q404" s="51">
        <f>IF(K404="Received",1,0)</f>
        <v/>
      </c>
      <c r="R404" s="51">
        <f>IF(Q404=1,F404-D404,0)</f>
        <v/>
      </c>
      <c r="S404" s="51">
        <f>IF(Q404=1,IF(F404&lt;=E404,1,0),0)</f>
        <v/>
      </c>
      <c r="T404" s="51">
        <f>IF(Q404=1,IF(H404&gt;=G404,1,0),0)</f>
        <v/>
      </c>
      <c r="U404" s="51">
        <f>S404*T404</f>
        <v/>
      </c>
      <c r="V404" s="51">
        <f>IF(Q404=1,MAX(0,F404-E404),0)</f>
        <v/>
      </c>
    </row>
    <row r="405">
      <c r="A405" s="43" t="inlineStr">
        <is>
          <t>PO101742</t>
        </is>
      </c>
      <c r="B405" s="43" t="inlineStr">
        <is>
          <t>CMD-0095</t>
        </is>
      </c>
      <c r="C405" s="43" t="inlineStr">
        <is>
          <t>S08</t>
        </is>
      </c>
      <c r="D405" s="47" t="n">
        <v>45696</v>
      </c>
      <c r="E405" s="47" t="n">
        <v>45773</v>
      </c>
      <c r="F405" s="47" t="n">
        <v>45770</v>
      </c>
      <c r="G405" s="46" t="n">
        <v>323</v>
      </c>
      <c r="H405" s="46" t="n">
        <v>323</v>
      </c>
      <c r="I405" s="46" t="n">
        <v>8</v>
      </c>
      <c r="J405" s="44" t="n">
        <v>91.83</v>
      </c>
      <c r="K405" s="43" t="inlineStr">
        <is>
          <t>Received</t>
        </is>
      </c>
      <c r="L405" s="17">
        <f>INDEX(Items!$C$2:$C$117,MATCH(B405,Items!$A$2:$A$117,0))</f>
        <v/>
      </c>
      <c r="M405" s="49">
        <f>INDEX(Items!$E$2:$E$117,MATCH(B405,Items!$A$2:$A$117,0))</f>
        <v/>
      </c>
      <c r="N405" s="17">
        <f>TEXT(D405,"yyyy-mm")</f>
        <v/>
      </c>
      <c r="O405" s="50">
        <f>G405*J405</f>
        <v/>
      </c>
      <c r="P405" s="50">
        <f>(J405-M405)*G405</f>
        <v/>
      </c>
      <c r="Q405" s="51">
        <f>IF(K405="Received",1,0)</f>
        <v/>
      </c>
      <c r="R405" s="51">
        <f>IF(Q405=1,F405-D405,0)</f>
        <v/>
      </c>
      <c r="S405" s="51">
        <f>IF(Q405=1,IF(F405&lt;=E405,1,0),0)</f>
        <v/>
      </c>
      <c r="T405" s="51">
        <f>IF(Q405=1,IF(H405&gt;=G405,1,0),0)</f>
        <v/>
      </c>
      <c r="U405" s="51">
        <f>S405*T405</f>
        <v/>
      </c>
      <c r="V405" s="51">
        <f>IF(Q405=1,MAX(0,F405-E405),0)</f>
        <v/>
      </c>
    </row>
    <row r="406">
      <c r="A406" s="43" t="inlineStr">
        <is>
          <t>PO101603</t>
        </is>
      </c>
      <c r="B406" s="43" t="inlineStr">
        <is>
          <t>CMD-0089</t>
        </is>
      </c>
      <c r="C406" s="43" t="inlineStr">
        <is>
          <t>S01</t>
        </is>
      </c>
      <c r="D406" s="47" t="n">
        <v>45696</v>
      </c>
      <c r="E406" s="47" t="n">
        <v>45710</v>
      </c>
      <c r="F406" s="47" t="n">
        <v>45708</v>
      </c>
      <c r="G406" s="46" t="n">
        <v>619</v>
      </c>
      <c r="H406" s="46" t="n">
        <v>619</v>
      </c>
      <c r="I406" s="46" t="n">
        <v>2</v>
      </c>
      <c r="J406" s="44" t="n">
        <v>9.49</v>
      </c>
      <c r="K406" s="43" t="inlineStr">
        <is>
          <t>Received</t>
        </is>
      </c>
      <c r="L406" s="17">
        <f>INDEX(Items!$C$2:$C$117,MATCH(B406,Items!$A$2:$A$117,0))</f>
        <v/>
      </c>
      <c r="M406" s="49">
        <f>INDEX(Items!$E$2:$E$117,MATCH(B406,Items!$A$2:$A$117,0))</f>
        <v/>
      </c>
      <c r="N406" s="17">
        <f>TEXT(D406,"yyyy-mm")</f>
        <v/>
      </c>
      <c r="O406" s="50">
        <f>G406*J406</f>
        <v/>
      </c>
      <c r="P406" s="50">
        <f>(J406-M406)*G406</f>
        <v/>
      </c>
      <c r="Q406" s="51">
        <f>IF(K406="Received",1,0)</f>
        <v/>
      </c>
      <c r="R406" s="51">
        <f>IF(Q406=1,F406-D406,0)</f>
        <v/>
      </c>
      <c r="S406" s="51">
        <f>IF(Q406=1,IF(F406&lt;=E406,1,0),0)</f>
        <v/>
      </c>
      <c r="T406" s="51">
        <f>IF(Q406=1,IF(H406&gt;=G406,1,0),0)</f>
        <v/>
      </c>
      <c r="U406" s="51">
        <f>S406*T406</f>
        <v/>
      </c>
      <c r="V406" s="51">
        <f>IF(Q406=1,MAX(0,F406-E406),0)</f>
        <v/>
      </c>
    </row>
    <row r="407">
      <c r="A407" s="43" t="inlineStr">
        <is>
          <t>PO100691</t>
        </is>
      </c>
      <c r="B407" s="43" t="inlineStr">
        <is>
          <t>CMD-0031</t>
        </is>
      </c>
      <c r="C407" s="43" t="inlineStr">
        <is>
          <t>S01</t>
        </is>
      </c>
      <c r="D407" s="47" t="n">
        <v>45696</v>
      </c>
      <c r="E407" s="47" t="n">
        <v>45724</v>
      </c>
      <c r="F407" s="47" t="n">
        <v>45723</v>
      </c>
      <c r="G407" s="46" t="n">
        <v>548</v>
      </c>
      <c r="H407" s="46" t="n">
        <v>548</v>
      </c>
      <c r="I407" s="46" t="n">
        <v>0</v>
      </c>
      <c r="J407" s="44" t="n">
        <v>9.69</v>
      </c>
      <c r="K407" s="43" t="inlineStr">
        <is>
          <t>Received</t>
        </is>
      </c>
      <c r="L407" s="17">
        <f>INDEX(Items!$C$2:$C$117,MATCH(B407,Items!$A$2:$A$117,0))</f>
        <v/>
      </c>
      <c r="M407" s="49">
        <f>INDEX(Items!$E$2:$E$117,MATCH(B407,Items!$A$2:$A$117,0))</f>
        <v/>
      </c>
      <c r="N407" s="17">
        <f>TEXT(D407,"yyyy-mm")</f>
        <v/>
      </c>
      <c r="O407" s="50">
        <f>G407*J407</f>
        <v/>
      </c>
      <c r="P407" s="50">
        <f>(J407-M407)*G407</f>
        <v/>
      </c>
      <c r="Q407" s="51">
        <f>IF(K407="Received",1,0)</f>
        <v/>
      </c>
      <c r="R407" s="51">
        <f>IF(Q407=1,F407-D407,0)</f>
        <v/>
      </c>
      <c r="S407" s="51">
        <f>IF(Q407=1,IF(F407&lt;=E407,1,0),0)</f>
        <v/>
      </c>
      <c r="T407" s="51">
        <f>IF(Q407=1,IF(H407&gt;=G407,1,0),0)</f>
        <v/>
      </c>
      <c r="U407" s="51">
        <f>S407*T407</f>
        <v/>
      </c>
      <c r="V407" s="51">
        <f>IF(Q407=1,MAX(0,F407-E407),0)</f>
        <v/>
      </c>
    </row>
    <row r="408">
      <c r="A408" s="43" t="inlineStr">
        <is>
          <t>PO100052</t>
        </is>
      </c>
      <c r="B408" s="43" t="inlineStr">
        <is>
          <t>CMD-0003</t>
        </is>
      </c>
      <c r="C408" s="43" t="inlineStr">
        <is>
          <t>S11</t>
        </is>
      </c>
      <c r="D408" s="47" t="n">
        <v>45697</v>
      </c>
      <c r="E408" s="47" t="n">
        <v>45816</v>
      </c>
      <c r="F408" s="47" t="n">
        <v>45813</v>
      </c>
      <c r="G408" s="46" t="n">
        <v>8767</v>
      </c>
      <c r="H408" s="46" t="n">
        <v>8767</v>
      </c>
      <c r="I408" s="46" t="n">
        <v>20</v>
      </c>
      <c r="J408" s="44" t="n">
        <v>21.49</v>
      </c>
      <c r="K408" s="43" t="inlineStr">
        <is>
          <t>Received</t>
        </is>
      </c>
      <c r="L408" s="17">
        <f>INDEX(Items!$C$2:$C$117,MATCH(B408,Items!$A$2:$A$117,0))</f>
        <v/>
      </c>
      <c r="M408" s="49">
        <f>INDEX(Items!$E$2:$E$117,MATCH(B408,Items!$A$2:$A$117,0))</f>
        <v/>
      </c>
      <c r="N408" s="17">
        <f>TEXT(D408,"yyyy-mm")</f>
        <v/>
      </c>
      <c r="O408" s="50">
        <f>G408*J408</f>
        <v/>
      </c>
      <c r="P408" s="50">
        <f>(J408-M408)*G408</f>
        <v/>
      </c>
      <c r="Q408" s="51">
        <f>IF(K408="Received",1,0)</f>
        <v/>
      </c>
      <c r="R408" s="51">
        <f>IF(Q408=1,F408-D408,0)</f>
        <v/>
      </c>
      <c r="S408" s="51">
        <f>IF(Q408=1,IF(F408&lt;=E408,1,0),0)</f>
        <v/>
      </c>
      <c r="T408" s="51">
        <f>IF(Q408=1,IF(H408&gt;=G408,1,0),0)</f>
        <v/>
      </c>
      <c r="U408" s="51">
        <f>S408*T408</f>
        <v/>
      </c>
      <c r="V408" s="51">
        <f>IF(Q408=1,MAX(0,F408-E408),0)</f>
        <v/>
      </c>
    </row>
    <row r="409">
      <c r="A409" s="43" t="inlineStr">
        <is>
          <t>PO100457</t>
        </is>
      </c>
      <c r="B409" s="43" t="inlineStr">
        <is>
          <t>CMD-0021</t>
        </is>
      </c>
      <c r="C409" s="43" t="inlineStr">
        <is>
          <t>S04</t>
        </is>
      </c>
      <c r="D409" s="47" t="n">
        <v>45697</v>
      </c>
      <c r="E409" s="47" t="n">
        <v>45767</v>
      </c>
      <c r="F409" s="47" t="n">
        <v>45764</v>
      </c>
      <c r="G409" s="46" t="n">
        <v>1011</v>
      </c>
      <c r="H409" s="46" t="n">
        <v>1011</v>
      </c>
      <c r="I409" s="46" t="n">
        <v>16</v>
      </c>
      <c r="J409" s="44" t="n">
        <v>4.94</v>
      </c>
      <c r="K409" s="43" t="inlineStr">
        <is>
          <t>Received</t>
        </is>
      </c>
      <c r="L409" s="17">
        <f>INDEX(Items!$C$2:$C$117,MATCH(B409,Items!$A$2:$A$117,0))</f>
        <v/>
      </c>
      <c r="M409" s="49">
        <f>INDEX(Items!$E$2:$E$117,MATCH(B409,Items!$A$2:$A$117,0))</f>
        <v/>
      </c>
      <c r="N409" s="17">
        <f>TEXT(D409,"yyyy-mm")</f>
        <v/>
      </c>
      <c r="O409" s="50">
        <f>G409*J409</f>
        <v/>
      </c>
      <c r="P409" s="50">
        <f>(J409-M409)*G409</f>
        <v/>
      </c>
      <c r="Q409" s="51">
        <f>IF(K409="Received",1,0)</f>
        <v/>
      </c>
      <c r="R409" s="51">
        <f>IF(Q409=1,F409-D409,0)</f>
        <v/>
      </c>
      <c r="S409" s="51">
        <f>IF(Q409=1,IF(F409&lt;=E409,1,0),0)</f>
        <v/>
      </c>
      <c r="T409" s="51">
        <f>IF(Q409=1,IF(H409&gt;=G409,1,0),0)</f>
        <v/>
      </c>
      <c r="U409" s="51">
        <f>S409*T409</f>
        <v/>
      </c>
      <c r="V409" s="51">
        <f>IF(Q409=1,MAX(0,F409-E409),0)</f>
        <v/>
      </c>
    </row>
    <row r="410">
      <c r="A410" s="43" t="inlineStr">
        <is>
          <t>PO101436</t>
        </is>
      </c>
      <c r="B410" s="43" t="inlineStr">
        <is>
          <t>CMD-0077</t>
        </is>
      </c>
      <c r="C410" s="43" t="inlineStr">
        <is>
          <t>S01</t>
        </is>
      </c>
      <c r="D410" s="47" t="n">
        <v>45697</v>
      </c>
      <c r="E410" s="47" t="n">
        <v>45711</v>
      </c>
      <c r="F410" s="47" t="n">
        <v>45709</v>
      </c>
      <c r="G410" s="46" t="n">
        <v>3237</v>
      </c>
      <c r="H410" s="46" t="n">
        <v>3237</v>
      </c>
      <c r="I410" s="46" t="n">
        <v>5</v>
      </c>
      <c r="J410" s="44" t="n">
        <v>8.75</v>
      </c>
      <c r="K410" s="43" t="inlineStr">
        <is>
          <t>Received</t>
        </is>
      </c>
      <c r="L410" s="17">
        <f>INDEX(Items!$C$2:$C$117,MATCH(B410,Items!$A$2:$A$117,0))</f>
        <v/>
      </c>
      <c r="M410" s="49">
        <f>INDEX(Items!$E$2:$E$117,MATCH(B410,Items!$A$2:$A$117,0))</f>
        <v/>
      </c>
      <c r="N410" s="17">
        <f>TEXT(D410,"yyyy-mm")</f>
        <v/>
      </c>
      <c r="O410" s="50">
        <f>G410*J410</f>
        <v/>
      </c>
      <c r="P410" s="50">
        <f>(J410-M410)*G410</f>
        <v/>
      </c>
      <c r="Q410" s="51">
        <f>IF(K410="Received",1,0)</f>
        <v/>
      </c>
      <c r="R410" s="51">
        <f>IF(Q410=1,F410-D410,0)</f>
        <v/>
      </c>
      <c r="S410" s="51">
        <f>IF(Q410=1,IF(F410&lt;=E410,1,0),0)</f>
        <v/>
      </c>
      <c r="T410" s="51">
        <f>IF(Q410=1,IF(H410&gt;=G410,1,0),0)</f>
        <v/>
      </c>
      <c r="U410" s="51">
        <f>S410*T410</f>
        <v/>
      </c>
      <c r="V410" s="51">
        <f>IF(Q410=1,MAX(0,F410-E410),0)</f>
        <v/>
      </c>
    </row>
    <row r="411">
      <c r="A411" s="43" t="inlineStr">
        <is>
          <t>PO100220</t>
        </is>
      </c>
      <c r="B411" s="43" t="inlineStr">
        <is>
          <t>CMD-0010</t>
        </is>
      </c>
      <c r="C411" s="43" t="inlineStr">
        <is>
          <t>S03</t>
        </is>
      </c>
      <c r="D411" s="47" t="n">
        <v>45697</v>
      </c>
      <c r="E411" s="47" t="n">
        <v>45830</v>
      </c>
      <c r="F411" s="47" t="n">
        <v>45842</v>
      </c>
      <c r="G411" s="46" t="n">
        <v>4541</v>
      </c>
      <c r="H411" s="46" t="n">
        <v>4541</v>
      </c>
      <c r="I411" s="46" t="n">
        <v>22</v>
      </c>
      <c r="J411" s="44" t="n">
        <v>4.63</v>
      </c>
      <c r="K411" s="43" t="inlineStr">
        <is>
          <t>Received</t>
        </is>
      </c>
      <c r="L411" s="17">
        <f>INDEX(Items!$C$2:$C$117,MATCH(B411,Items!$A$2:$A$117,0))</f>
        <v/>
      </c>
      <c r="M411" s="49">
        <f>INDEX(Items!$E$2:$E$117,MATCH(B411,Items!$A$2:$A$117,0))</f>
        <v/>
      </c>
      <c r="N411" s="17">
        <f>TEXT(D411,"yyyy-mm")</f>
        <v/>
      </c>
      <c r="O411" s="50">
        <f>G411*J411</f>
        <v/>
      </c>
      <c r="P411" s="50">
        <f>(J411-M411)*G411</f>
        <v/>
      </c>
      <c r="Q411" s="51">
        <f>IF(K411="Received",1,0)</f>
        <v/>
      </c>
      <c r="R411" s="51">
        <f>IF(Q411=1,F411-D411,0)</f>
        <v/>
      </c>
      <c r="S411" s="51">
        <f>IF(Q411=1,IF(F411&lt;=E411,1,0),0)</f>
        <v/>
      </c>
      <c r="T411" s="51">
        <f>IF(Q411=1,IF(H411&gt;=G411,1,0),0)</f>
        <v/>
      </c>
      <c r="U411" s="51">
        <f>S411*T411</f>
        <v/>
      </c>
      <c r="V411" s="51">
        <f>IF(Q411=1,MAX(0,F411-E411),0)</f>
        <v/>
      </c>
    </row>
    <row r="412">
      <c r="A412" s="43" t="inlineStr">
        <is>
          <t>PO100914</t>
        </is>
      </c>
      <c r="B412" s="43" t="inlineStr">
        <is>
          <t>CMD-0042</t>
        </is>
      </c>
      <c r="C412" s="43" t="inlineStr">
        <is>
          <t>S05</t>
        </is>
      </c>
      <c r="D412" s="47" t="n">
        <v>45697</v>
      </c>
      <c r="E412" s="47" t="n">
        <v>45802</v>
      </c>
      <c r="F412" s="47" t="n">
        <v>45800</v>
      </c>
      <c r="G412" s="46" t="n">
        <v>753</v>
      </c>
      <c r="H412" s="46" t="n">
        <v>753</v>
      </c>
      <c r="I412" s="46" t="n">
        <v>14</v>
      </c>
      <c r="J412" s="44" t="n">
        <v>8.91</v>
      </c>
      <c r="K412" s="43" t="inlineStr">
        <is>
          <t>Received</t>
        </is>
      </c>
      <c r="L412" s="17">
        <f>INDEX(Items!$C$2:$C$117,MATCH(B412,Items!$A$2:$A$117,0))</f>
        <v/>
      </c>
      <c r="M412" s="49">
        <f>INDEX(Items!$E$2:$E$117,MATCH(B412,Items!$A$2:$A$117,0))</f>
        <v/>
      </c>
      <c r="N412" s="17">
        <f>TEXT(D412,"yyyy-mm")</f>
        <v/>
      </c>
      <c r="O412" s="50">
        <f>G412*J412</f>
        <v/>
      </c>
      <c r="P412" s="50">
        <f>(J412-M412)*G412</f>
        <v/>
      </c>
      <c r="Q412" s="51">
        <f>IF(K412="Received",1,0)</f>
        <v/>
      </c>
      <c r="R412" s="51">
        <f>IF(Q412=1,F412-D412,0)</f>
        <v/>
      </c>
      <c r="S412" s="51">
        <f>IF(Q412=1,IF(F412&lt;=E412,1,0),0)</f>
        <v/>
      </c>
      <c r="T412" s="51">
        <f>IF(Q412=1,IF(H412&gt;=G412,1,0),0)</f>
        <v/>
      </c>
      <c r="U412" s="51">
        <f>S412*T412</f>
        <v/>
      </c>
      <c r="V412" s="51">
        <f>IF(Q412=1,MAX(0,F412-E412),0)</f>
        <v/>
      </c>
    </row>
    <row r="413">
      <c r="A413" s="43" t="inlineStr">
        <is>
          <t>PO101162</t>
        </is>
      </c>
      <c r="B413" s="43" t="inlineStr">
        <is>
          <t>CMD-0054</t>
        </is>
      </c>
      <c r="C413" s="43" t="inlineStr">
        <is>
          <t>S10</t>
        </is>
      </c>
      <c r="D413" s="47" t="n">
        <v>45697</v>
      </c>
      <c r="E413" s="47" t="n">
        <v>45725</v>
      </c>
      <c r="F413" s="47" t="n">
        <v>45724</v>
      </c>
      <c r="G413" s="46" t="n">
        <v>50896</v>
      </c>
      <c r="H413" s="46" t="n">
        <v>50896</v>
      </c>
      <c r="I413" s="46" t="n">
        <v>61</v>
      </c>
      <c r="J413" s="44" t="n">
        <v>0.1687</v>
      </c>
      <c r="K413" s="43" t="inlineStr">
        <is>
          <t>Received</t>
        </is>
      </c>
      <c r="L413" s="17">
        <f>INDEX(Items!$C$2:$C$117,MATCH(B413,Items!$A$2:$A$117,0))</f>
        <v/>
      </c>
      <c r="M413" s="49">
        <f>INDEX(Items!$E$2:$E$117,MATCH(B413,Items!$A$2:$A$117,0))</f>
        <v/>
      </c>
      <c r="N413" s="17">
        <f>TEXT(D413,"yyyy-mm")</f>
        <v/>
      </c>
      <c r="O413" s="50">
        <f>G413*J413</f>
        <v/>
      </c>
      <c r="P413" s="50">
        <f>(J413-M413)*G413</f>
        <v/>
      </c>
      <c r="Q413" s="51">
        <f>IF(K413="Received",1,0)</f>
        <v/>
      </c>
      <c r="R413" s="51">
        <f>IF(Q413=1,F413-D413,0)</f>
        <v/>
      </c>
      <c r="S413" s="51">
        <f>IF(Q413=1,IF(F413&lt;=E413,1,0),0)</f>
        <v/>
      </c>
      <c r="T413" s="51">
        <f>IF(Q413=1,IF(H413&gt;=G413,1,0),0)</f>
        <v/>
      </c>
      <c r="U413" s="51">
        <f>S413*T413</f>
        <v/>
      </c>
      <c r="V413" s="51">
        <f>IF(Q413=1,MAX(0,F413-E413),0)</f>
        <v/>
      </c>
    </row>
    <row r="414">
      <c r="A414" s="43" t="inlineStr">
        <is>
          <t>PO101789</t>
        </is>
      </c>
      <c r="B414" s="43" t="inlineStr">
        <is>
          <t>CMD-0097</t>
        </is>
      </c>
      <c r="C414" s="43" t="inlineStr">
        <is>
          <t>S09</t>
        </is>
      </c>
      <c r="D414" s="47" t="n">
        <v>45698</v>
      </c>
      <c r="E414" s="47" t="n">
        <v>45719</v>
      </c>
      <c r="F414" s="47" t="n">
        <v>45718</v>
      </c>
      <c r="G414" s="46" t="n">
        <v>540</v>
      </c>
      <c r="H414" s="46" t="n">
        <v>540</v>
      </c>
      <c r="I414" s="46" t="n">
        <v>1</v>
      </c>
      <c r="J414" s="44" t="n">
        <v>9.27</v>
      </c>
      <c r="K414" s="43" t="inlineStr">
        <is>
          <t>Received</t>
        </is>
      </c>
      <c r="L414" s="17">
        <f>INDEX(Items!$C$2:$C$117,MATCH(B414,Items!$A$2:$A$117,0))</f>
        <v/>
      </c>
      <c r="M414" s="49">
        <f>INDEX(Items!$E$2:$E$117,MATCH(B414,Items!$A$2:$A$117,0))</f>
        <v/>
      </c>
      <c r="N414" s="17">
        <f>TEXT(D414,"yyyy-mm")</f>
        <v/>
      </c>
      <c r="O414" s="50">
        <f>G414*J414</f>
        <v/>
      </c>
      <c r="P414" s="50">
        <f>(J414-M414)*G414</f>
        <v/>
      </c>
      <c r="Q414" s="51">
        <f>IF(K414="Received",1,0)</f>
        <v/>
      </c>
      <c r="R414" s="51">
        <f>IF(Q414=1,F414-D414,0)</f>
        <v/>
      </c>
      <c r="S414" s="51">
        <f>IF(Q414=1,IF(F414&lt;=E414,1,0),0)</f>
        <v/>
      </c>
      <c r="T414" s="51">
        <f>IF(Q414=1,IF(H414&gt;=G414,1,0),0)</f>
        <v/>
      </c>
      <c r="U414" s="51">
        <f>S414*T414</f>
        <v/>
      </c>
      <c r="V414" s="51">
        <f>IF(Q414=1,MAX(0,F414-E414),0)</f>
        <v/>
      </c>
    </row>
    <row r="415">
      <c r="A415" s="43" t="inlineStr">
        <is>
          <t>PO101056</t>
        </is>
      </c>
      <c r="B415" s="43" t="inlineStr">
        <is>
          <t>CMD-0048</t>
        </is>
      </c>
      <c r="C415" s="43" t="inlineStr">
        <is>
          <t>S10</t>
        </is>
      </c>
      <c r="D415" s="47" t="n">
        <v>45698</v>
      </c>
      <c r="E415" s="47" t="n">
        <v>45726</v>
      </c>
      <c r="F415" s="47" t="n">
        <v>45723</v>
      </c>
      <c r="G415" s="46" t="n">
        <v>17136</v>
      </c>
      <c r="H415" s="46" t="n">
        <v>17136</v>
      </c>
      <c r="I415" s="46" t="n">
        <v>21</v>
      </c>
      <c r="J415" s="44" t="n">
        <v>0.3231</v>
      </c>
      <c r="K415" s="43" t="inlineStr">
        <is>
          <t>Received</t>
        </is>
      </c>
      <c r="L415" s="17">
        <f>INDEX(Items!$C$2:$C$117,MATCH(B415,Items!$A$2:$A$117,0))</f>
        <v/>
      </c>
      <c r="M415" s="49">
        <f>INDEX(Items!$E$2:$E$117,MATCH(B415,Items!$A$2:$A$117,0))</f>
        <v/>
      </c>
      <c r="N415" s="17">
        <f>TEXT(D415,"yyyy-mm")</f>
        <v/>
      </c>
      <c r="O415" s="50">
        <f>G415*J415</f>
        <v/>
      </c>
      <c r="P415" s="50">
        <f>(J415-M415)*G415</f>
        <v/>
      </c>
      <c r="Q415" s="51">
        <f>IF(K415="Received",1,0)</f>
        <v/>
      </c>
      <c r="R415" s="51">
        <f>IF(Q415=1,F415-D415,0)</f>
        <v/>
      </c>
      <c r="S415" s="51">
        <f>IF(Q415=1,IF(F415&lt;=E415,1,0),0)</f>
        <v/>
      </c>
      <c r="T415" s="51">
        <f>IF(Q415=1,IF(H415&gt;=G415,1,0),0)</f>
        <v/>
      </c>
      <c r="U415" s="51">
        <f>S415*T415</f>
        <v/>
      </c>
      <c r="V415" s="51">
        <f>IF(Q415=1,MAX(0,F415-E415),0)</f>
        <v/>
      </c>
    </row>
    <row r="416">
      <c r="A416" s="43" t="inlineStr">
        <is>
          <t>PO100296</t>
        </is>
      </c>
      <c r="B416" s="43" t="inlineStr">
        <is>
          <t>CMD-0014</t>
        </is>
      </c>
      <c r="C416" s="43" t="inlineStr">
        <is>
          <t>S03</t>
        </is>
      </c>
      <c r="D416" s="47" t="n">
        <v>45698</v>
      </c>
      <c r="E416" s="47" t="n">
        <v>45831</v>
      </c>
      <c r="F416" s="47" t="n">
        <v>45829</v>
      </c>
      <c r="G416" s="46" t="n">
        <v>4291</v>
      </c>
      <c r="H416" s="46" t="n">
        <v>4291</v>
      </c>
      <c r="I416" s="46" t="n">
        <v>22</v>
      </c>
      <c r="J416" s="44" t="n">
        <v>12.62</v>
      </c>
      <c r="K416" s="43" t="inlineStr">
        <is>
          <t>Received</t>
        </is>
      </c>
      <c r="L416" s="17">
        <f>INDEX(Items!$C$2:$C$117,MATCH(B416,Items!$A$2:$A$117,0))</f>
        <v/>
      </c>
      <c r="M416" s="49">
        <f>INDEX(Items!$E$2:$E$117,MATCH(B416,Items!$A$2:$A$117,0))</f>
        <v/>
      </c>
      <c r="N416" s="17">
        <f>TEXT(D416,"yyyy-mm")</f>
        <v/>
      </c>
      <c r="O416" s="50">
        <f>G416*J416</f>
        <v/>
      </c>
      <c r="P416" s="50">
        <f>(J416-M416)*G416</f>
        <v/>
      </c>
      <c r="Q416" s="51">
        <f>IF(K416="Received",1,0)</f>
        <v/>
      </c>
      <c r="R416" s="51">
        <f>IF(Q416=1,F416-D416,0)</f>
        <v/>
      </c>
      <c r="S416" s="51">
        <f>IF(Q416=1,IF(F416&lt;=E416,1,0),0)</f>
        <v/>
      </c>
      <c r="T416" s="51">
        <f>IF(Q416=1,IF(H416&gt;=G416,1,0),0)</f>
        <v/>
      </c>
      <c r="U416" s="51">
        <f>S416*T416</f>
        <v/>
      </c>
      <c r="V416" s="51">
        <f>IF(Q416=1,MAX(0,F416-E416),0)</f>
        <v/>
      </c>
    </row>
    <row r="417">
      <c r="A417" s="43" t="inlineStr">
        <is>
          <t>PO101936</t>
        </is>
      </c>
      <c r="B417" s="43" t="inlineStr">
        <is>
          <t>CMD-0107</t>
        </is>
      </c>
      <c r="C417" s="43" t="inlineStr">
        <is>
          <t>S09</t>
        </is>
      </c>
      <c r="D417" s="47" t="n">
        <v>45698</v>
      </c>
      <c r="E417" s="47" t="n">
        <v>45719</v>
      </c>
      <c r="F417" s="47" t="n">
        <v>45719</v>
      </c>
      <c r="G417" s="46" t="n">
        <v>1084</v>
      </c>
      <c r="H417" s="46" t="n">
        <v>1084</v>
      </c>
      <c r="I417" s="46" t="n">
        <v>3</v>
      </c>
      <c r="J417" s="44" t="n">
        <v>6.95</v>
      </c>
      <c r="K417" s="43" t="inlineStr">
        <is>
          <t>Received</t>
        </is>
      </c>
      <c r="L417" s="17">
        <f>INDEX(Items!$C$2:$C$117,MATCH(B417,Items!$A$2:$A$117,0))</f>
        <v/>
      </c>
      <c r="M417" s="49">
        <f>INDEX(Items!$E$2:$E$117,MATCH(B417,Items!$A$2:$A$117,0))</f>
        <v/>
      </c>
      <c r="N417" s="17">
        <f>TEXT(D417,"yyyy-mm")</f>
        <v/>
      </c>
      <c r="O417" s="50">
        <f>G417*J417</f>
        <v/>
      </c>
      <c r="P417" s="50">
        <f>(J417-M417)*G417</f>
        <v/>
      </c>
      <c r="Q417" s="51">
        <f>IF(K417="Received",1,0)</f>
        <v/>
      </c>
      <c r="R417" s="51">
        <f>IF(Q417=1,F417-D417,0)</f>
        <v/>
      </c>
      <c r="S417" s="51">
        <f>IF(Q417=1,IF(F417&lt;=E417,1,0),0)</f>
        <v/>
      </c>
      <c r="T417" s="51">
        <f>IF(Q417=1,IF(H417&gt;=G417,1,0),0)</f>
        <v/>
      </c>
      <c r="U417" s="51">
        <f>S417*T417</f>
        <v/>
      </c>
      <c r="V417" s="51">
        <f>IF(Q417=1,MAX(0,F417-E417),0)</f>
        <v/>
      </c>
    </row>
    <row r="418">
      <c r="A418" s="43" t="inlineStr">
        <is>
          <t>PO101670</t>
        </is>
      </c>
      <c r="B418" s="43" t="inlineStr">
        <is>
          <t>CMD-0092</t>
        </is>
      </c>
      <c r="C418" s="43" t="inlineStr">
        <is>
          <t>S08</t>
        </is>
      </c>
      <c r="D418" s="47" t="n">
        <v>45698</v>
      </c>
      <c r="E418" s="47" t="n">
        <v>45775</v>
      </c>
      <c r="F418" s="47" t="n">
        <v>45787</v>
      </c>
      <c r="G418" s="46" t="n">
        <v>383</v>
      </c>
      <c r="H418" s="46" t="n">
        <v>383</v>
      </c>
      <c r="I418" s="46" t="n">
        <v>3</v>
      </c>
      <c r="J418" s="44" t="n">
        <v>29.47</v>
      </c>
      <c r="K418" s="43" t="inlineStr">
        <is>
          <t>Received</t>
        </is>
      </c>
      <c r="L418" s="17">
        <f>INDEX(Items!$C$2:$C$117,MATCH(B418,Items!$A$2:$A$117,0))</f>
        <v/>
      </c>
      <c r="M418" s="49">
        <f>INDEX(Items!$E$2:$E$117,MATCH(B418,Items!$A$2:$A$117,0))</f>
        <v/>
      </c>
      <c r="N418" s="17">
        <f>TEXT(D418,"yyyy-mm")</f>
        <v/>
      </c>
      <c r="O418" s="50">
        <f>G418*J418</f>
        <v/>
      </c>
      <c r="P418" s="50">
        <f>(J418-M418)*G418</f>
        <v/>
      </c>
      <c r="Q418" s="51">
        <f>IF(K418="Received",1,0)</f>
        <v/>
      </c>
      <c r="R418" s="51">
        <f>IF(Q418=1,F418-D418,0)</f>
        <v/>
      </c>
      <c r="S418" s="51">
        <f>IF(Q418=1,IF(F418&lt;=E418,1,0),0)</f>
        <v/>
      </c>
      <c r="T418" s="51">
        <f>IF(Q418=1,IF(H418&gt;=G418,1,0),0)</f>
        <v/>
      </c>
      <c r="U418" s="51">
        <f>S418*T418</f>
        <v/>
      </c>
      <c r="V418" s="51">
        <f>IF(Q418=1,MAX(0,F418-E418),0)</f>
        <v/>
      </c>
    </row>
    <row r="419">
      <c r="A419" s="43" t="inlineStr">
        <is>
          <t>PO101646</t>
        </is>
      </c>
      <c r="B419" s="43" t="inlineStr">
        <is>
          <t>CMD-0091</t>
        </is>
      </c>
      <c r="C419" s="43" t="inlineStr">
        <is>
          <t>S08</t>
        </is>
      </c>
      <c r="D419" s="47" t="n">
        <v>45698</v>
      </c>
      <c r="E419" s="47" t="n">
        <v>45775</v>
      </c>
      <c r="F419" s="47" t="n">
        <v>45773</v>
      </c>
      <c r="G419" s="46" t="n">
        <v>1002</v>
      </c>
      <c r="H419" s="46" t="n">
        <v>1002</v>
      </c>
      <c r="I419" s="46" t="n">
        <v>5</v>
      </c>
      <c r="J419" s="44" t="n">
        <v>23.8</v>
      </c>
      <c r="K419" s="43" t="inlineStr">
        <is>
          <t>Received</t>
        </is>
      </c>
      <c r="L419" s="17">
        <f>INDEX(Items!$C$2:$C$117,MATCH(B419,Items!$A$2:$A$117,0))</f>
        <v/>
      </c>
      <c r="M419" s="49">
        <f>INDEX(Items!$E$2:$E$117,MATCH(B419,Items!$A$2:$A$117,0))</f>
        <v/>
      </c>
      <c r="N419" s="17">
        <f>TEXT(D419,"yyyy-mm")</f>
        <v/>
      </c>
      <c r="O419" s="50">
        <f>G419*J419</f>
        <v/>
      </c>
      <c r="P419" s="50">
        <f>(J419-M419)*G419</f>
        <v/>
      </c>
      <c r="Q419" s="51">
        <f>IF(K419="Received",1,0)</f>
        <v/>
      </c>
      <c r="R419" s="51">
        <f>IF(Q419=1,F419-D419,0)</f>
        <v/>
      </c>
      <c r="S419" s="51">
        <f>IF(Q419=1,IF(F419&lt;=E419,1,0),0)</f>
        <v/>
      </c>
      <c r="T419" s="51">
        <f>IF(Q419=1,IF(H419&gt;=G419,1,0),0)</f>
        <v/>
      </c>
      <c r="U419" s="51">
        <f>S419*T419</f>
        <v/>
      </c>
      <c r="V419" s="51">
        <f>IF(Q419=1,MAX(0,F419-E419),0)</f>
        <v/>
      </c>
    </row>
    <row r="420">
      <c r="A420" s="43" t="inlineStr">
        <is>
          <t>PO101622</t>
        </is>
      </c>
      <c r="B420" s="43" t="inlineStr">
        <is>
          <t>CMD-0090</t>
        </is>
      </c>
      <c r="C420" s="43" t="inlineStr">
        <is>
          <t>S01</t>
        </is>
      </c>
      <c r="D420" s="47" t="n">
        <v>45698</v>
      </c>
      <c r="E420" s="47" t="n">
        <v>45712</v>
      </c>
      <c r="F420" s="47" t="n">
        <v>45712</v>
      </c>
      <c r="G420" s="46" t="n">
        <v>4329</v>
      </c>
      <c r="H420" s="46" t="n">
        <v>4329</v>
      </c>
      <c r="I420" s="46" t="n">
        <v>5</v>
      </c>
      <c r="J420" s="44" t="n">
        <v>6.99</v>
      </c>
      <c r="K420" s="43" t="inlineStr">
        <is>
          <t>Received</t>
        </is>
      </c>
      <c r="L420" s="17">
        <f>INDEX(Items!$C$2:$C$117,MATCH(B420,Items!$A$2:$A$117,0))</f>
        <v/>
      </c>
      <c r="M420" s="49">
        <f>INDEX(Items!$E$2:$E$117,MATCH(B420,Items!$A$2:$A$117,0))</f>
        <v/>
      </c>
      <c r="N420" s="17">
        <f>TEXT(D420,"yyyy-mm")</f>
        <v/>
      </c>
      <c r="O420" s="50">
        <f>G420*J420</f>
        <v/>
      </c>
      <c r="P420" s="50">
        <f>(J420-M420)*G420</f>
        <v/>
      </c>
      <c r="Q420" s="51">
        <f>IF(K420="Received",1,0)</f>
        <v/>
      </c>
      <c r="R420" s="51">
        <f>IF(Q420=1,F420-D420,0)</f>
        <v/>
      </c>
      <c r="S420" s="51">
        <f>IF(Q420=1,IF(F420&lt;=E420,1,0),0)</f>
        <v/>
      </c>
      <c r="T420" s="51">
        <f>IF(Q420=1,IF(H420&gt;=G420,1,0),0)</f>
        <v/>
      </c>
      <c r="U420" s="51">
        <f>S420*T420</f>
        <v/>
      </c>
      <c r="V420" s="51">
        <f>IF(Q420=1,MAX(0,F420-E420),0)</f>
        <v/>
      </c>
    </row>
    <row r="421">
      <c r="A421" s="43" t="inlineStr">
        <is>
          <t>PO100870</t>
        </is>
      </c>
      <c r="B421" s="43" t="inlineStr">
        <is>
          <t>CMD-0039</t>
        </is>
      </c>
      <c r="C421" s="43" t="inlineStr">
        <is>
          <t>S07</t>
        </is>
      </c>
      <c r="D421" s="47" t="n">
        <v>45698</v>
      </c>
      <c r="E421" s="47" t="n">
        <v>45740</v>
      </c>
      <c r="F421" s="47" t="n">
        <v>45745</v>
      </c>
      <c r="G421" s="46" t="n">
        <v>361</v>
      </c>
      <c r="H421" s="46" t="n">
        <v>361</v>
      </c>
      <c r="I421" s="46" t="n">
        <v>2</v>
      </c>
      <c r="J421" s="44" t="n">
        <v>51.99</v>
      </c>
      <c r="K421" s="43" t="inlineStr">
        <is>
          <t>Received</t>
        </is>
      </c>
      <c r="L421" s="17">
        <f>INDEX(Items!$C$2:$C$117,MATCH(B421,Items!$A$2:$A$117,0))</f>
        <v/>
      </c>
      <c r="M421" s="49">
        <f>INDEX(Items!$E$2:$E$117,MATCH(B421,Items!$A$2:$A$117,0))</f>
        <v/>
      </c>
      <c r="N421" s="17">
        <f>TEXT(D421,"yyyy-mm")</f>
        <v/>
      </c>
      <c r="O421" s="50">
        <f>G421*J421</f>
        <v/>
      </c>
      <c r="P421" s="50">
        <f>(J421-M421)*G421</f>
        <v/>
      </c>
      <c r="Q421" s="51">
        <f>IF(K421="Received",1,0)</f>
        <v/>
      </c>
      <c r="R421" s="51">
        <f>IF(Q421=1,F421-D421,0)</f>
        <v/>
      </c>
      <c r="S421" s="51">
        <f>IF(Q421=1,IF(F421&lt;=E421,1,0),0)</f>
        <v/>
      </c>
      <c r="T421" s="51">
        <f>IF(Q421=1,IF(H421&gt;=G421,1,0),0)</f>
        <v/>
      </c>
      <c r="U421" s="51">
        <f>S421*T421</f>
        <v/>
      </c>
      <c r="V421" s="51">
        <f>IF(Q421=1,MAX(0,F421-E421),0)</f>
        <v/>
      </c>
    </row>
    <row r="422">
      <c r="A422" s="43" t="inlineStr">
        <is>
          <t>PO100962</t>
        </is>
      </c>
      <c r="B422" s="43" t="inlineStr">
        <is>
          <t>CMD-0044</t>
        </is>
      </c>
      <c r="C422" s="43" t="inlineStr">
        <is>
          <t>S05</t>
        </is>
      </c>
      <c r="D422" s="47" t="n">
        <v>45698</v>
      </c>
      <c r="E422" s="47" t="n">
        <v>45803</v>
      </c>
      <c r="F422" s="47" t="n">
        <v>45802</v>
      </c>
      <c r="G422" s="46" t="n">
        <v>7593</v>
      </c>
      <c r="H422" s="46" t="n">
        <v>7593</v>
      </c>
      <c r="I422" s="46" t="n">
        <v>135</v>
      </c>
      <c r="J422" s="44" t="n">
        <v>11.57</v>
      </c>
      <c r="K422" s="43" t="inlineStr">
        <is>
          <t>Received</t>
        </is>
      </c>
      <c r="L422" s="17">
        <f>INDEX(Items!$C$2:$C$117,MATCH(B422,Items!$A$2:$A$117,0))</f>
        <v/>
      </c>
      <c r="M422" s="49">
        <f>INDEX(Items!$E$2:$E$117,MATCH(B422,Items!$A$2:$A$117,0))</f>
        <v/>
      </c>
      <c r="N422" s="17">
        <f>TEXT(D422,"yyyy-mm")</f>
        <v/>
      </c>
      <c r="O422" s="50">
        <f>G422*J422</f>
        <v/>
      </c>
      <c r="P422" s="50">
        <f>(J422-M422)*G422</f>
        <v/>
      </c>
      <c r="Q422" s="51">
        <f>IF(K422="Received",1,0)</f>
        <v/>
      </c>
      <c r="R422" s="51">
        <f>IF(Q422=1,F422-D422,0)</f>
        <v/>
      </c>
      <c r="S422" s="51">
        <f>IF(Q422=1,IF(F422&lt;=E422,1,0),0)</f>
        <v/>
      </c>
      <c r="T422" s="51">
        <f>IF(Q422=1,IF(H422&gt;=G422,1,0),0)</f>
        <v/>
      </c>
      <c r="U422" s="51">
        <f>S422*T422</f>
        <v/>
      </c>
      <c r="V422" s="51">
        <f>IF(Q422=1,MAX(0,F422-E422),0)</f>
        <v/>
      </c>
    </row>
    <row r="423">
      <c r="A423" s="43" t="inlineStr">
        <is>
          <t>PO100392</t>
        </is>
      </c>
      <c r="B423" s="43" t="inlineStr">
        <is>
          <t>CMD-0018</t>
        </is>
      </c>
      <c r="C423" s="43" t="inlineStr">
        <is>
          <t>S02</t>
        </is>
      </c>
      <c r="D423" s="47" t="n">
        <v>45698</v>
      </c>
      <c r="E423" s="47" t="n">
        <v>45754</v>
      </c>
      <c r="F423" s="47" t="n">
        <v>45752</v>
      </c>
      <c r="G423" s="46" t="n">
        <v>5905</v>
      </c>
      <c r="H423" s="46" t="n">
        <v>5905</v>
      </c>
      <c r="I423" s="46" t="n">
        <v>28</v>
      </c>
      <c r="J423" s="44" t="n">
        <v>37.92</v>
      </c>
      <c r="K423" s="43" t="inlineStr">
        <is>
          <t>Received</t>
        </is>
      </c>
      <c r="L423" s="17">
        <f>INDEX(Items!$C$2:$C$117,MATCH(B423,Items!$A$2:$A$117,0))</f>
        <v/>
      </c>
      <c r="M423" s="49">
        <f>INDEX(Items!$E$2:$E$117,MATCH(B423,Items!$A$2:$A$117,0))</f>
        <v/>
      </c>
      <c r="N423" s="17">
        <f>TEXT(D423,"yyyy-mm")</f>
        <v/>
      </c>
      <c r="O423" s="50">
        <f>G423*J423</f>
        <v/>
      </c>
      <c r="P423" s="50">
        <f>(J423-M423)*G423</f>
        <v/>
      </c>
      <c r="Q423" s="51">
        <f>IF(K423="Received",1,0)</f>
        <v/>
      </c>
      <c r="R423" s="51">
        <f>IF(Q423=1,F423-D423,0)</f>
        <v/>
      </c>
      <c r="S423" s="51">
        <f>IF(Q423=1,IF(F423&lt;=E423,1,0),0)</f>
        <v/>
      </c>
      <c r="T423" s="51">
        <f>IF(Q423=1,IF(H423&gt;=G423,1,0),0)</f>
        <v/>
      </c>
      <c r="U423" s="51">
        <f>S423*T423</f>
        <v/>
      </c>
      <c r="V423" s="51">
        <f>IF(Q423=1,MAX(0,F423-E423),0)</f>
        <v/>
      </c>
    </row>
    <row r="424">
      <c r="A424" s="43" t="inlineStr">
        <is>
          <t>PO100415</t>
        </is>
      </c>
      <c r="B424" s="43" t="inlineStr">
        <is>
          <t>CMD-0019</t>
        </is>
      </c>
      <c r="C424" s="43" t="inlineStr">
        <is>
          <t>S11</t>
        </is>
      </c>
      <c r="D424" s="47" t="n">
        <v>45699</v>
      </c>
      <c r="E424" s="47" t="n">
        <v>45776</v>
      </c>
      <c r="F424" s="47" t="n">
        <v>45775</v>
      </c>
      <c r="G424" s="46" t="n">
        <v>669</v>
      </c>
      <c r="H424" s="46" t="n">
        <v>669</v>
      </c>
      <c r="I424" s="46" t="n">
        <v>0</v>
      </c>
      <c r="J424" s="44" t="n">
        <v>7.25</v>
      </c>
      <c r="K424" s="43" t="inlineStr">
        <is>
          <t>Received</t>
        </is>
      </c>
      <c r="L424" s="17">
        <f>INDEX(Items!$C$2:$C$117,MATCH(B424,Items!$A$2:$A$117,0))</f>
        <v/>
      </c>
      <c r="M424" s="49">
        <f>INDEX(Items!$E$2:$E$117,MATCH(B424,Items!$A$2:$A$117,0))</f>
        <v/>
      </c>
      <c r="N424" s="17">
        <f>TEXT(D424,"yyyy-mm")</f>
        <v/>
      </c>
      <c r="O424" s="50">
        <f>G424*J424</f>
        <v/>
      </c>
      <c r="P424" s="50">
        <f>(J424-M424)*G424</f>
        <v/>
      </c>
      <c r="Q424" s="51">
        <f>IF(K424="Received",1,0)</f>
        <v/>
      </c>
      <c r="R424" s="51">
        <f>IF(Q424=1,F424-D424,0)</f>
        <v/>
      </c>
      <c r="S424" s="51">
        <f>IF(Q424=1,IF(F424&lt;=E424,1,0),0)</f>
        <v/>
      </c>
      <c r="T424" s="51">
        <f>IF(Q424=1,IF(H424&gt;=G424,1,0),0)</f>
        <v/>
      </c>
      <c r="U424" s="51">
        <f>S424*T424</f>
        <v/>
      </c>
      <c r="V424" s="51">
        <f>IF(Q424=1,MAX(0,F424-E424),0)</f>
        <v/>
      </c>
    </row>
    <row r="425">
      <c r="A425" s="43" t="inlineStr">
        <is>
          <t>PO102006</t>
        </is>
      </c>
      <c r="B425" s="43" t="inlineStr">
        <is>
          <t>CMD-0114</t>
        </is>
      </c>
      <c r="C425" s="43" t="inlineStr">
        <is>
          <t>S12</t>
        </is>
      </c>
      <c r="D425" s="47" t="n">
        <v>45704</v>
      </c>
      <c r="E425" s="47" t="n">
        <v>45711</v>
      </c>
      <c r="F425" s="47" t="n">
        <v>45711</v>
      </c>
      <c r="G425" s="46" t="n">
        <v>16884</v>
      </c>
      <c r="H425" s="46" t="n">
        <v>16884</v>
      </c>
      <c r="I425" s="46" t="n">
        <v>12</v>
      </c>
      <c r="J425" s="44" t="n">
        <v>0.3431</v>
      </c>
      <c r="K425" s="43" t="inlineStr">
        <is>
          <t>Received</t>
        </is>
      </c>
      <c r="L425" s="17">
        <f>INDEX(Items!$C$2:$C$117,MATCH(B425,Items!$A$2:$A$117,0))</f>
        <v/>
      </c>
      <c r="M425" s="49">
        <f>INDEX(Items!$E$2:$E$117,MATCH(B425,Items!$A$2:$A$117,0))</f>
        <v/>
      </c>
      <c r="N425" s="17">
        <f>TEXT(D425,"yyyy-mm")</f>
        <v/>
      </c>
      <c r="O425" s="50">
        <f>G425*J425</f>
        <v/>
      </c>
      <c r="P425" s="50">
        <f>(J425-M425)*G425</f>
        <v/>
      </c>
      <c r="Q425" s="51">
        <f>IF(K425="Received",1,0)</f>
        <v/>
      </c>
      <c r="R425" s="51">
        <f>IF(Q425=1,F425-D425,0)</f>
        <v/>
      </c>
      <c r="S425" s="51">
        <f>IF(Q425=1,IF(F425&lt;=E425,1,0),0)</f>
        <v/>
      </c>
      <c r="T425" s="51">
        <f>IF(Q425=1,IF(H425&gt;=G425,1,0),0)</f>
        <v/>
      </c>
      <c r="U425" s="51">
        <f>S425*T425</f>
        <v/>
      </c>
      <c r="V425" s="51">
        <f>IF(Q425=1,MAX(0,F425-E425),0)</f>
        <v/>
      </c>
    </row>
    <row r="426">
      <c r="A426" s="43" t="inlineStr">
        <is>
          <t>PO101034</t>
        </is>
      </c>
      <c r="B426" s="43" t="inlineStr">
        <is>
          <t>CMD-0047</t>
        </is>
      </c>
      <c r="C426" s="43" t="inlineStr">
        <is>
          <t>S04</t>
        </is>
      </c>
      <c r="D426" s="47" t="n">
        <v>45709</v>
      </c>
      <c r="E426" s="47" t="n">
        <v>45744</v>
      </c>
      <c r="F426" s="47" t="n">
        <v>45744</v>
      </c>
      <c r="G426" s="46" t="n">
        <v>19592</v>
      </c>
      <c r="H426" s="46" t="n">
        <v>19592</v>
      </c>
      <c r="I426" s="46" t="n">
        <v>176</v>
      </c>
      <c r="J426" s="44" t="n">
        <v>0.296</v>
      </c>
      <c r="K426" s="43" t="inlineStr">
        <is>
          <t>Received</t>
        </is>
      </c>
      <c r="L426" s="17">
        <f>INDEX(Items!$C$2:$C$117,MATCH(B426,Items!$A$2:$A$117,0))</f>
        <v/>
      </c>
      <c r="M426" s="49">
        <f>INDEX(Items!$E$2:$E$117,MATCH(B426,Items!$A$2:$A$117,0))</f>
        <v/>
      </c>
      <c r="N426" s="17">
        <f>TEXT(D426,"yyyy-mm")</f>
        <v/>
      </c>
      <c r="O426" s="50">
        <f>G426*J426</f>
        <v/>
      </c>
      <c r="P426" s="50">
        <f>(J426-M426)*G426</f>
        <v/>
      </c>
      <c r="Q426" s="51">
        <f>IF(K426="Received",1,0)</f>
        <v/>
      </c>
      <c r="R426" s="51">
        <f>IF(Q426=1,F426-D426,0)</f>
        <v/>
      </c>
      <c r="S426" s="51">
        <f>IF(Q426=1,IF(F426&lt;=E426,1,0),0)</f>
        <v/>
      </c>
      <c r="T426" s="51">
        <f>IF(Q426=1,IF(H426&gt;=G426,1,0),0)</f>
        <v/>
      </c>
      <c r="U426" s="51">
        <f>S426*T426</f>
        <v/>
      </c>
      <c r="V426" s="51">
        <f>IF(Q426=1,MAX(0,F426-E426),0)</f>
        <v/>
      </c>
    </row>
    <row r="427">
      <c r="A427" s="43" t="inlineStr">
        <is>
          <t>PO101267</t>
        </is>
      </c>
      <c r="B427" s="43" t="inlineStr">
        <is>
          <t>CMD-0060</t>
        </is>
      </c>
      <c r="C427" s="43" t="inlineStr">
        <is>
          <t>S04</t>
        </is>
      </c>
      <c r="D427" s="47" t="n">
        <v>45710</v>
      </c>
      <c r="E427" s="47" t="n">
        <v>45745</v>
      </c>
      <c r="F427" s="47" t="n">
        <v>45744</v>
      </c>
      <c r="G427" s="46" t="n">
        <v>392796</v>
      </c>
      <c r="H427" s="46" t="n">
        <v>392796</v>
      </c>
      <c r="I427" s="46" t="n">
        <v>3966</v>
      </c>
      <c r="J427" s="44" t="n">
        <v>0.0136</v>
      </c>
      <c r="K427" s="43" t="inlineStr">
        <is>
          <t>Received</t>
        </is>
      </c>
      <c r="L427" s="17">
        <f>INDEX(Items!$C$2:$C$117,MATCH(B427,Items!$A$2:$A$117,0))</f>
        <v/>
      </c>
      <c r="M427" s="49">
        <f>INDEX(Items!$E$2:$E$117,MATCH(B427,Items!$A$2:$A$117,0))</f>
        <v/>
      </c>
      <c r="N427" s="17">
        <f>TEXT(D427,"yyyy-mm")</f>
        <v/>
      </c>
      <c r="O427" s="50">
        <f>G427*J427</f>
        <v/>
      </c>
      <c r="P427" s="50">
        <f>(J427-M427)*G427</f>
        <v/>
      </c>
      <c r="Q427" s="51">
        <f>IF(K427="Received",1,0)</f>
        <v/>
      </c>
      <c r="R427" s="51">
        <f>IF(Q427=1,F427-D427,0)</f>
        <v/>
      </c>
      <c r="S427" s="51">
        <f>IF(Q427=1,IF(F427&lt;=E427,1,0),0)</f>
        <v/>
      </c>
      <c r="T427" s="51">
        <f>IF(Q427=1,IF(H427&gt;=G427,1,0),0)</f>
        <v/>
      </c>
      <c r="U427" s="51">
        <f>S427*T427</f>
        <v/>
      </c>
      <c r="V427" s="51">
        <f>IF(Q427=1,MAX(0,F427-E427),0)</f>
        <v/>
      </c>
    </row>
    <row r="428">
      <c r="A428" s="43" t="inlineStr">
        <is>
          <t>PO101337</t>
        </is>
      </c>
      <c r="B428" s="43" t="inlineStr">
        <is>
          <t>CMD-0067</t>
        </is>
      </c>
      <c r="C428" s="43" t="inlineStr">
        <is>
          <t>S04</t>
        </is>
      </c>
      <c r="D428" s="47" t="n">
        <v>45710</v>
      </c>
      <c r="E428" s="47" t="n">
        <v>45745</v>
      </c>
      <c r="F428" s="47" t="n">
        <v>45744</v>
      </c>
      <c r="G428" s="46" t="n">
        <v>17757</v>
      </c>
      <c r="H428" s="46" t="n">
        <v>17757</v>
      </c>
      <c r="I428" s="46" t="n">
        <v>178</v>
      </c>
      <c r="J428" s="44" t="n">
        <v>0.3432</v>
      </c>
      <c r="K428" s="43" t="inlineStr">
        <is>
          <t>Received</t>
        </is>
      </c>
      <c r="L428" s="17">
        <f>INDEX(Items!$C$2:$C$117,MATCH(B428,Items!$A$2:$A$117,0))</f>
        <v/>
      </c>
      <c r="M428" s="49">
        <f>INDEX(Items!$E$2:$E$117,MATCH(B428,Items!$A$2:$A$117,0))</f>
        <v/>
      </c>
      <c r="N428" s="17">
        <f>TEXT(D428,"yyyy-mm")</f>
        <v/>
      </c>
      <c r="O428" s="50">
        <f>G428*J428</f>
        <v/>
      </c>
      <c r="P428" s="50">
        <f>(J428-M428)*G428</f>
        <v/>
      </c>
      <c r="Q428" s="51">
        <f>IF(K428="Received",1,0)</f>
        <v/>
      </c>
      <c r="R428" s="51">
        <f>IF(Q428=1,F428-D428,0)</f>
        <v/>
      </c>
      <c r="S428" s="51">
        <f>IF(Q428=1,IF(F428&lt;=E428,1,0),0)</f>
        <v/>
      </c>
      <c r="T428" s="51">
        <f>IF(Q428=1,IF(H428&gt;=G428,1,0),0)</f>
        <v/>
      </c>
      <c r="U428" s="51">
        <f>S428*T428</f>
        <v/>
      </c>
      <c r="V428" s="51">
        <f>IF(Q428=1,MAX(0,F428-E428),0)</f>
        <v/>
      </c>
    </row>
    <row r="429">
      <c r="A429" s="43" t="inlineStr">
        <is>
          <t>PO101077</t>
        </is>
      </c>
      <c r="B429" s="43" t="inlineStr">
        <is>
          <t>CMD-0049</t>
        </is>
      </c>
      <c r="C429" s="43" t="inlineStr">
        <is>
          <t>S10</t>
        </is>
      </c>
      <c r="D429" s="47" t="n">
        <v>45713</v>
      </c>
      <c r="E429" s="47" t="n">
        <v>45741</v>
      </c>
      <c r="F429" s="47" t="n">
        <v>45738</v>
      </c>
      <c r="G429" s="46" t="n">
        <v>46753</v>
      </c>
      <c r="H429" s="46" t="n">
        <v>46753</v>
      </c>
      <c r="I429" s="46" t="n">
        <v>53</v>
      </c>
      <c r="J429" s="44" t="n">
        <v>0.1056</v>
      </c>
      <c r="K429" s="43" t="inlineStr">
        <is>
          <t>Received</t>
        </is>
      </c>
      <c r="L429" s="17">
        <f>INDEX(Items!$C$2:$C$117,MATCH(B429,Items!$A$2:$A$117,0))</f>
        <v/>
      </c>
      <c r="M429" s="49">
        <f>INDEX(Items!$E$2:$E$117,MATCH(B429,Items!$A$2:$A$117,0))</f>
        <v/>
      </c>
      <c r="N429" s="17">
        <f>TEXT(D429,"yyyy-mm")</f>
        <v/>
      </c>
      <c r="O429" s="50">
        <f>G429*J429</f>
        <v/>
      </c>
      <c r="P429" s="50">
        <f>(J429-M429)*G429</f>
        <v/>
      </c>
      <c r="Q429" s="51">
        <f>IF(K429="Received",1,0)</f>
        <v/>
      </c>
      <c r="R429" s="51">
        <f>IF(Q429=1,F429-D429,0)</f>
        <v/>
      </c>
      <c r="S429" s="51">
        <f>IF(Q429=1,IF(F429&lt;=E429,1,0),0)</f>
        <v/>
      </c>
      <c r="T429" s="51">
        <f>IF(Q429=1,IF(H429&gt;=G429,1,0),0)</f>
        <v/>
      </c>
      <c r="U429" s="51">
        <f>S429*T429</f>
        <v/>
      </c>
      <c r="V429" s="51">
        <f>IF(Q429=1,MAX(0,F429-E429),0)</f>
        <v/>
      </c>
    </row>
    <row r="430">
      <c r="A430" s="43" t="inlineStr">
        <is>
          <t>PO101895</t>
        </is>
      </c>
      <c r="B430" s="43" t="inlineStr">
        <is>
          <t>CMD-0103</t>
        </is>
      </c>
      <c r="C430" s="43" t="inlineStr">
        <is>
          <t>S09</t>
        </is>
      </c>
      <c r="D430" s="47" t="n">
        <v>45713</v>
      </c>
      <c r="E430" s="47" t="n">
        <v>45734</v>
      </c>
      <c r="F430" s="47" t="n">
        <v>45731</v>
      </c>
      <c r="G430" s="46" t="n">
        <v>1341</v>
      </c>
      <c r="H430" s="46" t="n">
        <v>1341</v>
      </c>
      <c r="I430" s="46" t="n">
        <v>2</v>
      </c>
      <c r="J430" s="44" t="n">
        <v>4.18</v>
      </c>
      <c r="K430" s="43" t="inlineStr">
        <is>
          <t>Received</t>
        </is>
      </c>
      <c r="L430" s="17">
        <f>INDEX(Items!$C$2:$C$117,MATCH(B430,Items!$A$2:$A$117,0))</f>
        <v/>
      </c>
      <c r="M430" s="49">
        <f>INDEX(Items!$E$2:$E$117,MATCH(B430,Items!$A$2:$A$117,0))</f>
        <v/>
      </c>
      <c r="N430" s="17">
        <f>TEXT(D430,"yyyy-mm")</f>
        <v/>
      </c>
      <c r="O430" s="50">
        <f>G430*J430</f>
        <v/>
      </c>
      <c r="P430" s="50">
        <f>(J430-M430)*G430</f>
        <v/>
      </c>
      <c r="Q430" s="51">
        <f>IF(K430="Received",1,0)</f>
        <v/>
      </c>
      <c r="R430" s="51">
        <f>IF(Q430=1,F430-D430,0)</f>
        <v/>
      </c>
      <c r="S430" s="51">
        <f>IF(Q430=1,IF(F430&lt;=E430,1,0),0)</f>
        <v/>
      </c>
      <c r="T430" s="51">
        <f>IF(Q430=1,IF(H430&gt;=G430,1,0),0)</f>
        <v/>
      </c>
      <c r="U430" s="51">
        <f>S430*T430</f>
        <v/>
      </c>
      <c r="V430" s="51">
        <f>IF(Q430=1,MAX(0,F430-E430),0)</f>
        <v/>
      </c>
    </row>
    <row r="431">
      <c r="A431" s="43" t="inlineStr">
        <is>
          <t>PO101427</t>
        </is>
      </c>
      <c r="B431" s="43" t="inlineStr">
        <is>
          <t>CMD-0076</t>
        </is>
      </c>
      <c r="C431" s="43" t="inlineStr">
        <is>
          <t>S04</t>
        </is>
      </c>
      <c r="D431" s="47" t="n">
        <v>45713</v>
      </c>
      <c r="E431" s="47" t="n">
        <v>45748</v>
      </c>
      <c r="F431" s="47" t="n">
        <v>45746</v>
      </c>
      <c r="G431" s="46" t="n">
        <v>471331</v>
      </c>
      <c r="H431" s="46" t="n">
        <v>471331</v>
      </c>
      <c r="I431" s="46" t="n">
        <v>4774</v>
      </c>
      <c r="J431" s="44" t="n">
        <v>0.0145</v>
      </c>
      <c r="K431" s="43" t="inlineStr">
        <is>
          <t>Received</t>
        </is>
      </c>
      <c r="L431" s="17">
        <f>INDEX(Items!$C$2:$C$117,MATCH(B431,Items!$A$2:$A$117,0))</f>
        <v/>
      </c>
      <c r="M431" s="49">
        <f>INDEX(Items!$E$2:$E$117,MATCH(B431,Items!$A$2:$A$117,0))</f>
        <v/>
      </c>
      <c r="N431" s="17">
        <f>TEXT(D431,"yyyy-mm")</f>
        <v/>
      </c>
      <c r="O431" s="50">
        <f>G431*J431</f>
        <v/>
      </c>
      <c r="P431" s="50">
        <f>(J431-M431)*G431</f>
        <v/>
      </c>
      <c r="Q431" s="51">
        <f>IF(K431="Received",1,0)</f>
        <v/>
      </c>
      <c r="R431" s="51">
        <f>IF(Q431=1,F431-D431,0)</f>
        <v/>
      </c>
      <c r="S431" s="51">
        <f>IF(Q431=1,IF(F431&lt;=E431,1,0),0)</f>
        <v/>
      </c>
      <c r="T431" s="51">
        <f>IF(Q431=1,IF(H431&gt;=G431,1,0),0)</f>
        <v/>
      </c>
      <c r="U431" s="51">
        <f>S431*T431</f>
        <v/>
      </c>
      <c r="V431" s="51">
        <f>IF(Q431=1,MAX(0,F431-E431),0)</f>
        <v/>
      </c>
    </row>
    <row r="432">
      <c r="A432" s="43" t="inlineStr">
        <is>
          <t>PO101421</t>
        </is>
      </c>
      <c r="B432" s="43" t="inlineStr">
        <is>
          <t>CMD-0075</t>
        </is>
      </c>
      <c r="C432" s="43" t="inlineStr">
        <is>
          <t>S10</t>
        </is>
      </c>
      <c r="D432" s="47" t="n">
        <v>45714</v>
      </c>
      <c r="E432" s="47" t="n">
        <v>45742</v>
      </c>
      <c r="F432" s="47" t="n">
        <v>45741</v>
      </c>
      <c r="G432" s="46" t="n">
        <v>407174</v>
      </c>
      <c r="H432" s="46" t="n">
        <v>407174</v>
      </c>
      <c r="I432" s="46" t="n">
        <v>416</v>
      </c>
      <c r="J432" s="44" t="n">
        <v>0.0152</v>
      </c>
      <c r="K432" s="43" t="inlineStr">
        <is>
          <t>Received</t>
        </is>
      </c>
      <c r="L432" s="17">
        <f>INDEX(Items!$C$2:$C$117,MATCH(B432,Items!$A$2:$A$117,0))</f>
        <v/>
      </c>
      <c r="M432" s="49">
        <f>INDEX(Items!$E$2:$E$117,MATCH(B432,Items!$A$2:$A$117,0))</f>
        <v/>
      </c>
      <c r="N432" s="17">
        <f>TEXT(D432,"yyyy-mm")</f>
        <v/>
      </c>
      <c r="O432" s="50">
        <f>G432*J432</f>
        <v/>
      </c>
      <c r="P432" s="50">
        <f>(J432-M432)*G432</f>
        <v/>
      </c>
      <c r="Q432" s="51">
        <f>IF(K432="Received",1,0)</f>
        <v/>
      </c>
      <c r="R432" s="51">
        <f>IF(Q432=1,F432-D432,0)</f>
        <v/>
      </c>
      <c r="S432" s="51">
        <f>IF(Q432=1,IF(F432&lt;=E432,1,0),0)</f>
        <v/>
      </c>
      <c r="T432" s="51">
        <f>IF(Q432=1,IF(H432&gt;=G432,1,0),0)</f>
        <v/>
      </c>
      <c r="U432" s="51">
        <f>S432*T432</f>
        <v/>
      </c>
      <c r="V432" s="51">
        <f>IF(Q432=1,MAX(0,F432-E432),0)</f>
        <v/>
      </c>
    </row>
    <row r="433">
      <c r="A433" s="43" t="inlineStr">
        <is>
          <t>PO101909</t>
        </is>
      </c>
      <c r="B433" s="43" t="inlineStr">
        <is>
          <t>CMD-0104</t>
        </is>
      </c>
      <c r="C433" s="43" t="inlineStr">
        <is>
          <t>S09</t>
        </is>
      </c>
      <c r="D433" s="47" t="n">
        <v>45714</v>
      </c>
      <c r="E433" s="47" t="n">
        <v>45735</v>
      </c>
      <c r="F433" s="47" t="n">
        <v>45734</v>
      </c>
      <c r="G433" s="46" t="n">
        <v>3308</v>
      </c>
      <c r="H433" s="46" t="n">
        <v>3308</v>
      </c>
      <c r="I433" s="46" t="n">
        <v>13</v>
      </c>
      <c r="J433" s="44" t="n">
        <v>1.44</v>
      </c>
      <c r="K433" s="43" t="inlineStr">
        <is>
          <t>Received</t>
        </is>
      </c>
      <c r="L433" s="17">
        <f>INDEX(Items!$C$2:$C$117,MATCH(B433,Items!$A$2:$A$117,0))</f>
        <v/>
      </c>
      <c r="M433" s="49">
        <f>INDEX(Items!$E$2:$E$117,MATCH(B433,Items!$A$2:$A$117,0))</f>
        <v/>
      </c>
      <c r="N433" s="17">
        <f>TEXT(D433,"yyyy-mm")</f>
        <v/>
      </c>
      <c r="O433" s="50">
        <f>G433*J433</f>
        <v/>
      </c>
      <c r="P433" s="50">
        <f>(J433-M433)*G433</f>
        <v/>
      </c>
      <c r="Q433" s="51">
        <f>IF(K433="Received",1,0)</f>
        <v/>
      </c>
      <c r="R433" s="51">
        <f>IF(Q433=1,F433-D433,0)</f>
        <v/>
      </c>
      <c r="S433" s="51">
        <f>IF(Q433=1,IF(F433&lt;=E433,1,0),0)</f>
        <v/>
      </c>
      <c r="T433" s="51">
        <f>IF(Q433=1,IF(H433&gt;=G433,1,0),0)</f>
        <v/>
      </c>
      <c r="U433" s="51">
        <f>S433*T433</f>
        <v/>
      </c>
      <c r="V433" s="51">
        <f>IF(Q433=1,MAX(0,F433-E433),0)</f>
        <v/>
      </c>
    </row>
    <row r="434">
      <c r="A434" s="43" t="inlineStr">
        <is>
          <t>PO101995</t>
        </is>
      </c>
      <c r="B434" s="43" t="inlineStr">
        <is>
          <t>CMD-0112</t>
        </is>
      </c>
      <c r="C434" s="43" t="inlineStr">
        <is>
          <t>S12</t>
        </is>
      </c>
      <c r="D434" s="47" t="n">
        <v>45715</v>
      </c>
      <c r="E434" s="47" t="n">
        <v>45722</v>
      </c>
      <c r="F434" s="47" t="n">
        <v>45720</v>
      </c>
      <c r="G434" s="46" t="n">
        <v>2548</v>
      </c>
      <c r="H434" s="46" t="n">
        <v>2548</v>
      </c>
      <c r="I434" s="46" t="n">
        <v>0</v>
      </c>
      <c r="J434" s="44" t="n">
        <v>2.39</v>
      </c>
      <c r="K434" s="43" t="inlineStr">
        <is>
          <t>Received</t>
        </is>
      </c>
      <c r="L434" s="17">
        <f>INDEX(Items!$C$2:$C$117,MATCH(B434,Items!$A$2:$A$117,0))</f>
        <v/>
      </c>
      <c r="M434" s="49">
        <f>INDEX(Items!$E$2:$E$117,MATCH(B434,Items!$A$2:$A$117,0))</f>
        <v/>
      </c>
      <c r="N434" s="17">
        <f>TEXT(D434,"yyyy-mm")</f>
        <v/>
      </c>
      <c r="O434" s="50">
        <f>G434*J434</f>
        <v/>
      </c>
      <c r="P434" s="50">
        <f>(J434-M434)*G434</f>
        <v/>
      </c>
      <c r="Q434" s="51">
        <f>IF(K434="Received",1,0)</f>
        <v/>
      </c>
      <c r="R434" s="51">
        <f>IF(Q434=1,F434-D434,0)</f>
        <v/>
      </c>
      <c r="S434" s="51">
        <f>IF(Q434=1,IF(F434&lt;=E434,1,0),0)</f>
        <v/>
      </c>
      <c r="T434" s="51">
        <f>IF(Q434=1,IF(H434&gt;=G434,1,0),0)</f>
        <v/>
      </c>
      <c r="U434" s="51">
        <f>S434*T434</f>
        <v/>
      </c>
      <c r="V434" s="51">
        <f>IF(Q434=1,MAX(0,F434-E434),0)</f>
        <v/>
      </c>
    </row>
    <row r="435">
      <c r="A435" s="43" t="inlineStr">
        <is>
          <t>PO101815</t>
        </is>
      </c>
      <c r="B435" s="43" t="inlineStr">
        <is>
          <t>CMD-0099</t>
        </is>
      </c>
      <c r="C435" s="43" t="inlineStr">
        <is>
          <t>S09</t>
        </is>
      </c>
      <c r="D435" s="47" t="n">
        <v>45716</v>
      </c>
      <c r="E435" s="47" t="n">
        <v>45737</v>
      </c>
      <c r="F435" s="47" t="n">
        <v>45735</v>
      </c>
      <c r="G435" s="46" t="n">
        <v>2553</v>
      </c>
      <c r="H435" s="46" t="n">
        <v>2553</v>
      </c>
      <c r="I435" s="46" t="n">
        <v>10</v>
      </c>
      <c r="J435" s="44" t="n">
        <v>2.32</v>
      </c>
      <c r="K435" s="43" t="inlineStr">
        <is>
          <t>Received</t>
        </is>
      </c>
      <c r="L435" s="17">
        <f>INDEX(Items!$C$2:$C$117,MATCH(B435,Items!$A$2:$A$117,0))</f>
        <v/>
      </c>
      <c r="M435" s="49">
        <f>INDEX(Items!$E$2:$E$117,MATCH(B435,Items!$A$2:$A$117,0))</f>
        <v/>
      </c>
      <c r="N435" s="17">
        <f>TEXT(D435,"yyyy-mm")</f>
        <v/>
      </c>
      <c r="O435" s="50">
        <f>G435*J435</f>
        <v/>
      </c>
      <c r="P435" s="50">
        <f>(J435-M435)*G435</f>
        <v/>
      </c>
      <c r="Q435" s="51">
        <f>IF(K435="Received",1,0)</f>
        <v/>
      </c>
      <c r="R435" s="51">
        <f>IF(Q435=1,F435-D435,0)</f>
        <v/>
      </c>
      <c r="S435" s="51">
        <f>IF(Q435=1,IF(F435&lt;=E435,1,0),0)</f>
        <v/>
      </c>
      <c r="T435" s="51">
        <f>IF(Q435=1,IF(H435&gt;=G435,1,0),0)</f>
        <v/>
      </c>
      <c r="U435" s="51">
        <f>S435*T435</f>
        <v/>
      </c>
      <c r="V435" s="51">
        <f>IF(Q435=1,MAX(0,F435-E435),0)</f>
        <v/>
      </c>
    </row>
    <row r="436">
      <c r="A436" s="43" t="inlineStr">
        <is>
          <t>PO101985</t>
        </is>
      </c>
      <c r="B436" s="43" t="inlineStr">
        <is>
          <t>CMD-0110</t>
        </is>
      </c>
      <c r="C436" s="43" t="inlineStr">
        <is>
          <t>S12</t>
        </is>
      </c>
      <c r="D436" s="47" t="n">
        <v>45716</v>
      </c>
      <c r="E436" s="47" t="n">
        <v>45723</v>
      </c>
      <c r="F436" s="47" t="n">
        <v>45722</v>
      </c>
      <c r="G436" s="46" t="n">
        <v>29156</v>
      </c>
      <c r="H436" s="46" t="n">
        <v>29156</v>
      </c>
      <c r="I436" s="46" t="n">
        <v>27</v>
      </c>
      <c r="J436" s="44" t="n">
        <v>0.192</v>
      </c>
      <c r="K436" s="43" t="inlineStr">
        <is>
          <t>Received</t>
        </is>
      </c>
      <c r="L436" s="17">
        <f>INDEX(Items!$C$2:$C$117,MATCH(B436,Items!$A$2:$A$117,0))</f>
        <v/>
      </c>
      <c r="M436" s="49">
        <f>INDEX(Items!$E$2:$E$117,MATCH(B436,Items!$A$2:$A$117,0))</f>
        <v/>
      </c>
      <c r="N436" s="17">
        <f>TEXT(D436,"yyyy-mm")</f>
        <v/>
      </c>
      <c r="O436" s="50">
        <f>G436*J436</f>
        <v/>
      </c>
      <c r="P436" s="50">
        <f>(J436-M436)*G436</f>
        <v/>
      </c>
      <c r="Q436" s="51">
        <f>IF(K436="Received",1,0)</f>
        <v/>
      </c>
      <c r="R436" s="51">
        <f>IF(Q436=1,F436-D436,0)</f>
        <v/>
      </c>
      <c r="S436" s="51">
        <f>IF(Q436=1,IF(F436&lt;=E436,1,0),0)</f>
        <v/>
      </c>
      <c r="T436" s="51">
        <f>IF(Q436=1,IF(H436&gt;=G436,1,0),0)</f>
        <v/>
      </c>
      <c r="U436" s="51">
        <f>S436*T436</f>
        <v/>
      </c>
      <c r="V436" s="51">
        <f>IF(Q436=1,MAX(0,F436-E436),0)</f>
        <v/>
      </c>
    </row>
    <row r="437">
      <c r="A437" s="43" t="inlineStr">
        <is>
          <t>PO100709</t>
        </is>
      </c>
      <c r="B437" s="43" t="inlineStr">
        <is>
          <t>CMD-0032</t>
        </is>
      </c>
      <c r="C437" s="43" t="inlineStr">
        <is>
          <t>S01</t>
        </is>
      </c>
      <c r="D437" s="47" t="n">
        <v>45717</v>
      </c>
      <c r="E437" s="47" t="n">
        <v>45745</v>
      </c>
      <c r="F437" s="47" t="n">
        <v>45742</v>
      </c>
      <c r="G437" s="46" t="n">
        <v>965</v>
      </c>
      <c r="H437" s="46" t="n">
        <v>965</v>
      </c>
      <c r="I437" s="46" t="n">
        <v>6</v>
      </c>
      <c r="J437" s="44" t="n">
        <v>5.15</v>
      </c>
      <c r="K437" s="43" t="inlineStr">
        <is>
          <t>Received</t>
        </is>
      </c>
      <c r="L437" s="17">
        <f>INDEX(Items!$C$2:$C$117,MATCH(B437,Items!$A$2:$A$117,0))</f>
        <v/>
      </c>
      <c r="M437" s="49">
        <f>INDEX(Items!$E$2:$E$117,MATCH(B437,Items!$A$2:$A$117,0))</f>
        <v/>
      </c>
      <c r="N437" s="17">
        <f>TEXT(D437,"yyyy-mm")</f>
        <v/>
      </c>
      <c r="O437" s="50">
        <f>G437*J437</f>
        <v/>
      </c>
      <c r="P437" s="50">
        <f>(J437-M437)*G437</f>
        <v/>
      </c>
      <c r="Q437" s="51">
        <f>IF(K437="Received",1,0)</f>
        <v/>
      </c>
      <c r="R437" s="51">
        <f>IF(Q437=1,F437-D437,0)</f>
        <v/>
      </c>
      <c r="S437" s="51">
        <f>IF(Q437=1,IF(F437&lt;=E437,1,0),0)</f>
        <v/>
      </c>
      <c r="T437" s="51">
        <f>IF(Q437=1,IF(H437&gt;=G437,1,0),0)</f>
        <v/>
      </c>
      <c r="U437" s="51">
        <f>S437*T437</f>
        <v/>
      </c>
      <c r="V437" s="51">
        <f>IF(Q437=1,MAX(0,F437-E437),0)</f>
        <v/>
      </c>
    </row>
    <row r="438">
      <c r="A438" s="43" t="inlineStr">
        <is>
          <t>PO101346</t>
        </is>
      </c>
      <c r="B438" s="43" t="inlineStr">
        <is>
          <t>CMD-0068</t>
        </is>
      </c>
      <c r="C438" s="43" t="inlineStr">
        <is>
          <t>S01</t>
        </is>
      </c>
      <c r="D438" s="47" t="n">
        <v>45719</v>
      </c>
      <c r="E438" s="47" t="n">
        <v>45740</v>
      </c>
      <c r="F438" s="47" t="n">
        <v>45738</v>
      </c>
      <c r="G438" s="46" t="n">
        <v>42153</v>
      </c>
      <c r="H438" s="46" t="n">
        <v>42153</v>
      </c>
      <c r="I438" s="46" t="n">
        <v>86</v>
      </c>
      <c r="J438" s="44" t="n">
        <v>0.1562</v>
      </c>
      <c r="K438" s="43" t="inlineStr">
        <is>
          <t>Received</t>
        </is>
      </c>
      <c r="L438" s="17">
        <f>INDEX(Items!$C$2:$C$117,MATCH(B438,Items!$A$2:$A$117,0))</f>
        <v/>
      </c>
      <c r="M438" s="49">
        <f>INDEX(Items!$E$2:$E$117,MATCH(B438,Items!$A$2:$A$117,0))</f>
        <v/>
      </c>
      <c r="N438" s="17">
        <f>TEXT(D438,"yyyy-mm")</f>
        <v/>
      </c>
      <c r="O438" s="50">
        <f>G438*J438</f>
        <v/>
      </c>
      <c r="P438" s="50">
        <f>(J438-M438)*G438</f>
        <v/>
      </c>
      <c r="Q438" s="51">
        <f>IF(K438="Received",1,0)</f>
        <v/>
      </c>
      <c r="R438" s="51">
        <f>IF(Q438=1,F438-D438,0)</f>
        <v/>
      </c>
      <c r="S438" s="51">
        <f>IF(Q438=1,IF(F438&lt;=E438,1,0),0)</f>
        <v/>
      </c>
      <c r="T438" s="51">
        <f>IF(Q438=1,IF(H438&gt;=G438,1,0),0)</f>
        <v/>
      </c>
      <c r="U438" s="51">
        <f>S438*T438</f>
        <v/>
      </c>
      <c r="V438" s="51">
        <f>IF(Q438=1,MAX(0,F438-E438),0)</f>
        <v/>
      </c>
    </row>
    <row r="439">
      <c r="A439" s="43" t="inlineStr">
        <is>
          <t>PO100915</t>
        </is>
      </c>
      <c r="B439" s="43" t="inlineStr">
        <is>
          <t>CMD-0042</t>
        </is>
      </c>
      <c r="C439" s="43" t="inlineStr">
        <is>
          <t>S05</t>
        </is>
      </c>
      <c r="D439" s="47" t="n">
        <v>45721</v>
      </c>
      <c r="E439" s="47" t="n">
        <v>45826</v>
      </c>
      <c r="F439" s="47" t="n">
        <v>45825</v>
      </c>
      <c r="G439" s="46" t="n">
        <v>784</v>
      </c>
      <c r="H439" s="46" t="n">
        <v>784</v>
      </c>
      <c r="I439" s="46" t="n">
        <v>10</v>
      </c>
      <c r="J439" s="44" t="n">
        <v>8.91</v>
      </c>
      <c r="K439" s="43" t="inlineStr">
        <is>
          <t>Received</t>
        </is>
      </c>
      <c r="L439" s="17">
        <f>INDEX(Items!$C$2:$C$117,MATCH(B439,Items!$A$2:$A$117,0))</f>
        <v/>
      </c>
      <c r="M439" s="49">
        <f>INDEX(Items!$E$2:$E$117,MATCH(B439,Items!$A$2:$A$117,0))</f>
        <v/>
      </c>
      <c r="N439" s="17">
        <f>TEXT(D439,"yyyy-mm")</f>
        <v/>
      </c>
      <c r="O439" s="50">
        <f>G439*J439</f>
        <v/>
      </c>
      <c r="P439" s="50">
        <f>(J439-M439)*G439</f>
        <v/>
      </c>
      <c r="Q439" s="51">
        <f>IF(K439="Received",1,0)</f>
        <v/>
      </c>
      <c r="R439" s="51">
        <f>IF(Q439=1,F439-D439,0)</f>
        <v/>
      </c>
      <c r="S439" s="51">
        <f>IF(Q439=1,IF(F439&lt;=E439,1,0),0)</f>
        <v/>
      </c>
      <c r="T439" s="51">
        <f>IF(Q439=1,IF(H439&gt;=G439,1,0),0)</f>
        <v/>
      </c>
      <c r="U439" s="51">
        <f>S439*T439</f>
        <v/>
      </c>
      <c r="V439" s="51">
        <f>IF(Q439=1,MAX(0,F439-E439),0)</f>
        <v/>
      </c>
    </row>
    <row r="440">
      <c r="A440" s="43" t="inlineStr">
        <is>
          <t>PO100871</t>
        </is>
      </c>
      <c r="B440" s="43" t="inlineStr">
        <is>
          <t>CMD-0039</t>
        </is>
      </c>
      <c r="C440" s="43" t="inlineStr">
        <is>
          <t>S07</t>
        </is>
      </c>
      <c r="D440" s="47" t="n">
        <v>45721</v>
      </c>
      <c r="E440" s="47" t="n">
        <v>45763</v>
      </c>
      <c r="F440" s="47" t="n">
        <v>45762</v>
      </c>
      <c r="G440" s="46" t="n">
        <v>299</v>
      </c>
      <c r="H440" s="46" t="n">
        <v>299</v>
      </c>
      <c r="I440" s="46" t="n">
        <v>3</v>
      </c>
      <c r="J440" s="44" t="n">
        <v>51.99</v>
      </c>
      <c r="K440" s="43" t="inlineStr">
        <is>
          <t>Received</t>
        </is>
      </c>
      <c r="L440" s="17">
        <f>INDEX(Items!$C$2:$C$117,MATCH(B440,Items!$A$2:$A$117,0))</f>
        <v/>
      </c>
      <c r="M440" s="49">
        <f>INDEX(Items!$E$2:$E$117,MATCH(B440,Items!$A$2:$A$117,0))</f>
        <v/>
      </c>
      <c r="N440" s="17">
        <f>TEXT(D440,"yyyy-mm")</f>
        <v/>
      </c>
      <c r="O440" s="50">
        <f>G440*J440</f>
        <v/>
      </c>
      <c r="P440" s="50">
        <f>(J440-M440)*G440</f>
        <v/>
      </c>
      <c r="Q440" s="51">
        <f>IF(K440="Received",1,0)</f>
        <v/>
      </c>
      <c r="R440" s="51">
        <f>IF(Q440=1,F440-D440,0)</f>
        <v/>
      </c>
      <c r="S440" s="51">
        <f>IF(Q440=1,IF(F440&lt;=E440,1,0),0)</f>
        <v/>
      </c>
      <c r="T440" s="51">
        <f>IF(Q440=1,IF(H440&gt;=G440,1,0),0)</f>
        <v/>
      </c>
      <c r="U440" s="51">
        <f>S440*T440</f>
        <v/>
      </c>
      <c r="V440" s="51">
        <f>IF(Q440=1,MAX(0,F440-E440),0)</f>
        <v/>
      </c>
    </row>
    <row r="441">
      <c r="A441" s="43" t="inlineStr">
        <is>
          <t>PO101125</t>
        </is>
      </c>
      <c r="B441" s="43" t="inlineStr">
        <is>
          <t>CMD-0052</t>
        </is>
      </c>
      <c r="C441" s="43" t="inlineStr">
        <is>
          <t>S01</t>
        </is>
      </c>
      <c r="D441" s="47" t="n">
        <v>45721</v>
      </c>
      <c r="E441" s="47" t="n">
        <v>45742</v>
      </c>
      <c r="F441" s="47" t="n">
        <v>45740</v>
      </c>
      <c r="G441" s="46" t="n">
        <v>134676</v>
      </c>
      <c r="H441" s="46" t="n">
        <v>134676</v>
      </c>
      <c r="I441" s="46" t="n">
        <v>260</v>
      </c>
      <c r="J441" s="44" t="n">
        <v>0.2016</v>
      </c>
      <c r="K441" s="43" t="inlineStr">
        <is>
          <t>Received</t>
        </is>
      </c>
      <c r="L441" s="17">
        <f>INDEX(Items!$C$2:$C$117,MATCH(B441,Items!$A$2:$A$117,0))</f>
        <v/>
      </c>
      <c r="M441" s="49">
        <f>INDEX(Items!$E$2:$E$117,MATCH(B441,Items!$A$2:$A$117,0))</f>
        <v/>
      </c>
      <c r="N441" s="17">
        <f>TEXT(D441,"yyyy-mm")</f>
        <v/>
      </c>
      <c r="O441" s="50">
        <f>G441*J441</f>
        <v/>
      </c>
      <c r="P441" s="50">
        <f>(J441-M441)*G441</f>
        <v/>
      </c>
      <c r="Q441" s="51">
        <f>IF(K441="Received",1,0)</f>
        <v/>
      </c>
      <c r="R441" s="51">
        <f>IF(Q441=1,F441-D441,0)</f>
        <v/>
      </c>
      <c r="S441" s="51">
        <f>IF(Q441=1,IF(F441&lt;=E441,1,0),0)</f>
        <v/>
      </c>
      <c r="T441" s="51">
        <f>IF(Q441=1,IF(H441&gt;=G441,1,0),0)</f>
        <v/>
      </c>
      <c r="U441" s="51">
        <f>S441*T441</f>
        <v/>
      </c>
      <c r="V441" s="51">
        <f>IF(Q441=1,MAX(0,F441-E441),0)</f>
        <v/>
      </c>
    </row>
    <row r="442">
      <c r="A442" s="43" t="inlineStr">
        <is>
          <t>PO100125</t>
        </is>
      </c>
      <c r="B442" s="43" t="inlineStr">
        <is>
          <t>CMD-0006</t>
        </is>
      </c>
      <c r="C442" s="43" t="inlineStr">
        <is>
          <t>S03</t>
        </is>
      </c>
      <c r="D442" s="47" t="n">
        <v>45721</v>
      </c>
      <c r="E442" s="47" t="n">
        <v>45854</v>
      </c>
      <c r="F442" s="47" t="n">
        <v>45853</v>
      </c>
      <c r="G442" s="46" t="n">
        <v>784</v>
      </c>
      <c r="H442" s="46" t="n">
        <v>784</v>
      </c>
      <c r="I442" s="46" t="n">
        <v>3</v>
      </c>
      <c r="J442" s="44" t="n">
        <v>30.55</v>
      </c>
      <c r="K442" s="43" t="inlineStr">
        <is>
          <t>Received</t>
        </is>
      </c>
      <c r="L442" s="17">
        <f>INDEX(Items!$C$2:$C$117,MATCH(B442,Items!$A$2:$A$117,0))</f>
        <v/>
      </c>
      <c r="M442" s="49">
        <f>INDEX(Items!$E$2:$E$117,MATCH(B442,Items!$A$2:$A$117,0))</f>
        <v/>
      </c>
      <c r="N442" s="17">
        <f>TEXT(D442,"yyyy-mm")</f>
        <v/>
      </c>
      <c r="O442" s="50">
        <f>G442*J442</f>
        <v/>
      </c>
      <c r="P442" s="50">
        <f>(J442-M442)*G442</f>
        <v/>
      </c>
      <c r="Q442" s="51">
        <f>IF(K442="Received",1,0)</f>
        <v/>
      </c>
      <c r="R442" s="51">
        <f>IF(Q442=1,F442-D442,0)</f>
        <v/>
      </c>
      <c r="S442" s="51">
        <f>IF(Q442=1,IF(F442&lt;=E442,1,0),0)</f>
        <v/>
      </c>
      <c r="T442" s="51">
        <f>IF(Q442=1,IF(H442&gt;=G442,1,0),0)</f>
        <v/>
      </c>
      <c r="U442" s="51">
        <f>S442*T442</f>
        <v/>
      </c>
      <c r="V442" s="51">
        <f>IF(Q442=1,MAX(0,F442-E442),0)</f>
        <v/>
      </c>
    </row>
    <row r="443">
      <c r="A443" s="43" t="inlineStr">
        <is>
          <t>PO101647</t>
        </is>
      </c>
      <c r="B443" s="43" t="inlineStr">
        <is>
          <t>CMD-0091</t>
        </is>
      </c>
      <c r="C443" s="43" t="inlineStr">
        <is>
          <t>S08</t>
        </is>
      </c>
      <c r="D443" s="47" t="n">
        <v>45721</v>
      </c>
      <c r="E443" s="47" t="n">
        <v>45798</v>
      </c>
      <c r="F443" s="47" t="n">
        <v>45798</v>
      </c>
      <c r="G443" s="46" t="n">
        <v>934</v>
      </c>
      <c r="H443" s="46" t="n">
        <v>934</v>
      </c>
      <c r="I443" s="46" t="n">
        <v>13</v>
      </c>
      <c r="J443" s="44" t="n">
        <v>23.8</v>
      </c>
      <c r="K443" s="43" t="inlineStr">
        <is>
          <t>Received</t>
        </is>
      </c>
      <c r="L443" s="17">
        <f>INDEX(Items!$C$2:$C$117,MATCH(B443,Items!$A$2:$A$117,0))</f>
        <v/>
      </c>
      <c r="M443" s="49">
        <f>INDEX(Items!$E$2:$E$117,MATCH(B443,Items!$A$2:$A$117,0))</f>
        <v/>
      </c>
      <c r="N443" s="17">
        <f>TEXT(D443,"yyyy-mm")</f>
        <v/>
      </c>
      <c r="O443" s="50">
        <f>G443*J443</f>
        <v/>
      </c>
      <c r="P443" s="50">
        <f>(J443-M443)*G443</f>
        <v/>
      </c>
      <c r="Q443" s="51">
        <f>IF(K443="Received",1,0)</f>
        <v/>
      </c>
      <c r="R443" s="51">
        <f>IF(Q443=1,F443-D443,0)</f>
        <v/>
      </c>
      <c r="S443" s="51">
        <f>IF(Q443=1,IF(F443&lt;=E443,1,0),0)</f>
        <v/>
      </c>
      <c r="T443" s="51">
        <f>IF(Q443=1,IF(H443&gt;=G443,1,0),0)</f>
        <v/>
      </c>
      <c r="U443" s="51">
        <f>S443*T443</f>
        <v/>
      </c>
      <c r="V443" s="51">
        <f>IF(Q443=1,MAX(0,F443-E443),0)</f>
        <v/>
      </c>
    </row>
    <row r="444">
      <c r="A444" s="43" t="inlineStr">
        <is>
          <t>PO100823</t>
        </is>
      </c>
      <c r="B444" s="43" t="inlineStr">
        <is>
          <t>CMD-0037</t>
        </is>
      </c>
      <c r="C444" s="43" t="inlineStr">
        <is>
          <t>S07</t>
        </is>
      </c>
      <c r="D444" s="47" t="n">
        <v>45722</v>
      </c>
      <c r="E444" s="47" t="n">
        <v>45764</v>
      </c>
      <c r="F444" s="47" t="n">
        <v>45761</v>
      </c>
      <c r="G444" s="46" t="n">
        <v>401</v>
      </c>
      <c r="H444" s="46" t="n">
        <v>401</v>
      </c>
      <c r="I444" s="46" t="n">
        <v>4</v>
      </c>
      <c r="J444" s="44" t="n">
        <v>53.62</v>
      </c>
      <c r="K444" s="43" t="inlineStr">
        <is>
          <t>Received</t>
        </is>
      </c>
      <c r="L444" s="17">
        <f>INDEX(Items!$C$2:$C$117,MATCH(B444,Items!$A$2:$A$117,0))</f>
        <v/>
      </c>
      <c r="M444" s="49">
        <f>INDEX(Items!$E$2:$E$117,MATCH(B444,Items!$A$2:$A$117,0))</f>
        <v/>
      </c>
      <c r="N444" s="17">
        <f>TEXT(D444,"yyyy-mm")</f>
        <v/>
      </c>
      <c r="O444" s="50">
        <f>G444*J444</f>
        <v/>
      </c>
      <c r="P444" s="50">
        <f>(J444-M444)*G444</f>
        <v/>
      </c>
      <c r="Q444" s="51">
        <f>IF(K444="Received",1,0)</f>
        <v/>
      </c>
      <c r="R444" s="51">
        <f>IF(Q444=1,F444-D444,0)</f>
        <v/>
      </c>
      <c r="S444" s="51">
        <f>IF(Q444=1,IF(F444&lt;=E444,1,0),0)</f>
        <v/>
      </c>
      <c r="T444" s="51">
        <f>IF(Q444=1,IF(H444&gt;=G444,1,0),0)</f>
        <v/>
      </c>
      <c r="U444" s="51">
        <f>S444*T444</f>
        <v/>
      </c>
      <c r="V444" s="51">
        <f>IF(Q444=1,MAX(0,F444-E444),0)</f>
        <v/>
      </c>
    </row>
    <row r="445">
      <c r="A445" s="43" t="inlineStr">
        <is>
          <t>PO101849</t>
        </is>
      </c>
      <c r="B445" s="43" t="inlineStr">
        <is>
          <t>CMD-0101</t>
        </is>
      </c>
      <c r="C445" s="43" t="inlineStr">
        <is>
          <t>S09</t>
        </is>
      </c>
      <c r="D445" s="47" t="n">
        <v>45722</v>
      </c>
      <c r="E445" s="47" t="n">
        <v>45743</v>
      </c>
      <c r="F445" s="47" t="n">
        <v>45742</v>
      </c>
      <c r="G445" s="46" t="n">
        <v>3967</v>
      </c>
      <c r="H445" s="46" t="n">
        <v>3967</v>
      </c>
      <c r="I445" s="46" t="n">
        <v>14</v>
      </c>
      <c r="J445" s="44" t="n">
        <v>3.7</v>
      </c>
      <c r="K445" s="43" t="inlineStr">
        <is>
          <t>Received</t>
        </is>
      </c>
      <c r="L445" s="17">
        <f>INDEX(Items!$C$2:$C$117,MATCH(B445,Items!$A$2:$A$117,0))</f>
        <v/>
      </c>
      <c r="M445" s="49">
        <f>INDEX(Items!$E$2:$E$117,MATCH(B445,Items!$A$2:$A$117,0))</f>
        <v/>
      </c>
      <c r="N445" s="17">
        <f>TEXT(D445,"yyyy-mm")</f>
        <v/>
      </c>
      <c r="O445" s="50">
        <f>G445*J445</f>
        <v/>
      </c>
      <c r="P445" s="50">
        <f>(J445-M445)*G445</f>
        <v/>
      </c>
      <c r="Q445" s="51">
        <f>IF(K445="Received",1,0)</f>
        <v/>
      </c>
      <c r="R445" s="51">
        <f>IF(Q445=1,F445-D445,0)</f>
        <v/>
      </c>
      <c r="S445" s="51">
        <f>IF(Q445=1,IF(F445&lt;=E445,1,0),0)</f>
        <v/>
      </c>
      <c r="T445" s="51">
        <f>IF(Q445=1,IF(H445&gt;=G445,1,0),0)</f>
        <v/>
      </c>
      <c r="U445" s="51">
        <f>S445*T445</f>
        <v/>
      </c>
      <c r="V445" s="51">
        <f>IF(Q445=1,MAX(0,F445-E445),0)</f>
        <v/>
      </c>
    </row>
    <row r="446">
      <c r="A446" s="43" t="inlineStr">
        <is>
          <t>PO100645</t>
        </is>
      </c>
      <c r="B446" s="43" t="inlineStr">
        <is>
          <t>CMD-0029</t>
        </is>
      </c>
      <c r="C446" s="43" t="inlineStr">
        <is>
          <t>S11</t>
        </is>
      </c>
      <c r="D446" s="47" t="n">
        <v>45722</v>
      </c>
      <c r="E446" s="47" t="n">
        <v>45799</v>
      </c>
      <c r="F446" s="47" t="n">
        <v>45798</v>
      </c>
      <c r="G446" s="46" t="n">
        <v>3969</v>
      </c>
      <c r="H446" s="46" t="n">
        <v>3969</v>
      </c>
      <c r="I446" s="46" t="n">
        <v>11</v>
      </c>
      <c r="J446" s="44" t="n">
        <v>6.87</v>
      </c>
      <c r="K446" s="43" t="inlineStr">
        <is>
          <t>Received</t>
        </is>
      </c>
      <c r="L446" s="17">
        <f>INDEX(Items!$C$2:$C$117,MATCH(B446,Items!$A$2:$A$117,0))</f>
        <v/>
      </c>
      <c r="M446" s="49">
        <f>INDEX(Items!$E$2:$E$117,MATCH(B446,Items!$A$2:$A$117,0))</f>
        <v/>
      </c>
      <c r="N446" s="17">
        <f>TEXT(D446,"yyyy-mm")</f>
        <v/>
      </c>
      <c r="O446" s="50">
        <f>G446*J446</f>
        <v/>
      </c>
      <c r="P446" s="50">
        <f>(J446-M446)*G446</f>
        <v/>
      </c>
      <c r="Q446" s="51">
        <f>IF(K446="Received",1,0)</f>
        <v/>
      </c>
      <c r="R446" s="51">
        <f>IF(Q446=1,F446-D446,0)</f>
        <v/>
      </c>
      <c r="S446" s="51">
        <f>IF(Q446=1,IF(F446&lt;=E446,1,0),0)</f>
        <v/>
      </c>
      <c r="T446" s="51">
        <f>IF(Q446=1,IF(H446&gt;=G446,1,0),0)</f>
        <v/>
      </c>
      <c r="U446" s="51">
        <f>S446*T446</f>
        <v/>
      </c>
      <c r="V446" s="51">
        <f>IF(Q446=1,MAX(0,F446-E446),0)</f>
        <v/>
      </c>
    </row>
    <row r="447">
      <c r="A447" s="43" t="inlineStr">
        <is>
          <t>PO101313</t>
        </is>
      </c>
      <c r="B447" s="43" t="inlineStr">
        <is>
          <t>CMD-0065</t>
        </is>
      </c>
      <c r="C447" s="43" t="inlineStr">
        <is>
          <t>S10</t>
        </is>
      </c>
      <c r="D447" s="47" t="n">
        <v>45722</v>
      </c>
      <c r="E447" s="47" t="n">
        <v>45750</v>
      </c>
      <c r="F447" s="47" t="n">
        <v>45748</v>
      </c>
      <c r="G447" s="46" t="n">
        <v>115750</v>
      </c>
      <c r="H447" s="46" t="n">
        <v>115750</v>
      </c>
      <c r="I447" s="46" t="n">
        <v>110</v>
      </c>
      <c r="J447" s="44" t="n">
        <v>0.1155</v>
      </c>
      <c r="K447" s="43" t="inlineStr">
        <is>
          <t>Received</t>
        </is>
      </c>
      <c r="L447" s="17">
        <f>INDEX(Items!$C$2:$C$117,MATCH(B447,Items!$A$2:$A$117,0))</f>
        <v/>
      </c>
      <c r="M447" s="49">
        <f>INDEX(Items!$E$2:$E$117,MATCH(B447,Items!$A$2:$A$117,0))</f>
        <v/>
      </c>
      <c r="N447" s="17">
        <f>TEXT(D447,"yyyy-mm")</f>
        <v/>
      </c>
      <c r="O447" s="50">
        <f>G447*J447</f>
        <v/>
      </c>
      <c r="P447" s="50">
        <f>(J447-M447)*G447</f>
        <v/>
      </c>
      <c r="Q447" s="51">
        <f>IF(K447="Received",1,0)</f>
        <v/>
      </c>
      <c r="R447" s="51">
        <f>IF(Q447=1,F447-D447,0)</f>
        <v/>
      </c>
      <c r="S447" s="51">
        <f>IF(Q447=1,IF(F447&lt;=E447,1,0),0)</f>
        <v/>
      </c>
      <c r="T447" s="51">
        <f>IF(Q447=1,IF(H447&gt;=G447,1,0),0)</f>
        <v/>
      </c>
      <c r="U447" s="51">
        <f>S447*T447</f>
        <v/>
      </c>
      <c r="V447" s="51">
        <f>IF(Q447=1,MAX(0,F447-E447),0)</f>
        <v/>
      </c>
    </row>
    <row r="448">
      <c r="A448" s="43" t="inlineStr">
        <is>
          <t>PO100435</t>
        </is>
      </c>
      <c r="B448" s="43" t="inlineStr">
        <is>
          <t>CMD-0020</t>
        </is>
      </c>
      <c r="C448" s="43" t="inlineStr">
        <is>
          <t>S04</t>
        </is>
      </c>
      <c r="D448" s="47" t="n">
        <v>45722</v>
      </c>
      <c r="E448" s="47" t="n">
        <v>45792</v>
      </c>
      <c r="F448" s="47" t="n">
        <v>45792</v>
      </c>
      <c r="G448" s="46" t="n">
        <v>3483</v>
      </c>
      <c r="H448" s="46" t="n">
        <v>3483</v>
      </c>
      <c r="I448" s="46" t="n">
        <v>26</v>
      </c>
      <c r="J448" s="44" t="n">
        <v>5.03</v>
      </c>
      <c r="K448" s="43" t="inlineStr">
        <is>
          <t>Received</t>
        </is>
      </c>
      <c r="L448" s="17">
        <f>INDEX(Items!$C$2:$C$117,MATCH(B448,Items!$A$2:$A$117,0))</f>
        <v/>
      </c>
      <c r="M448" s="49">
        <f>INDEX(Items!$E$2:$E$117,MATCH(B448,Items!$A$2:$A$117,0))</f>
        <v/>
      </c>
      <c r="N448" s="17">
        <f>TEXT(D448,"yyyy-mm")</f>
        <v/>
      </c>
      <c r="O448" s="50">
        <f>G448*J448</f>
        <v/>
      </c>
      <c r="P448" s="50">
        <f>(J448-M448)*G448</f>
        <v/>
      </c>
      <c r="Q448" s="51">
        <f>IF(K448="Received",1,0)</f>
        <v/>
      </c>
      <c r="R448" s="51">
        <f>IF(Q448=1,F448-D448,0)</f>
        <v/>
      </c>
      <c r="S448" s="51">
        <f>IF(Q448=1,IF(F448&lt;=E448,1,0),0)</f>
        <v/>
      </c>
      <c r="T448" s="51">
        <f>IF(Q448=1,IF(H448&gt;=G448,1,0),0)</f>
        <v/>
      </c>
      <c r="U448" s="51">
        <f>S448*T448</f>
        <v/>
      </c>
      <c r="V448" s="51">
        <f>IF(Q448=1,MAX(0,F448-E448),0)</f>
        <v/>
      </c>
    </row>
    <row r="449">
      <c r="A449" s="43" t="inlineStr">
        <is>
          <t>PO100621</t>
        </is>
      </c>
      <c r="B449" s="43" t="inlineStr">
        <is>
          <t>CMD-0028</t>
        </is>
      </c>
      <c r="C449" s="43" t="inlineStr">
        <is>
          <t>S11</t>
        </is>
      </c>
      <c r="D449" s="47" t="n">
        <v>45722</v>
      </c>
      <c r="E449" s="47" t="n">
        <v>45799</v>
      </c>
      <c r="F449" s="47" t="n">
        <v>45797</v>
      </c>
      <c r="G449" s="46" t="n">
        <v>3774</v>
      </c>
      <c r="H449" s="46" t="n">
        <v>3774</v>
      </c>
      <c r="I449" s="46" t="n">
        <v>10</v>
      </c>
      <c r="J449" s="44" t="n">
        <v>15.84</v>
      </c>
      <c r="K449" s="43" t="inlineStr">
        <is>
          <t>Received</t>
        </is>
      </c>
      <c r="L449" s="17">
        <f>INDEX(Items!$C$2:$C$117,MATCH(B449,Items!$A$2:$A$117,0))</f>
        <v/>
      </c>
      <c r="M449" s="49">
        <f>INDEX(Items!$E$2:$E$117,MATCH(B449,Items!$A$2:$A$117,0))</f>
        <v/>
      </c>
      <c r="N449" s="17">
        <f>TEXT(D449,"yyyy-mm")</f>
        <v/>
      </c>
      <c r="O449" s="50">
        <f>G449*J449</f>
        <v/>
      </c>
      <c r="P449" s="50">
        <f>(J449-M449)*G449</f>
        <v/>
      </c>
      <c r="Q449" s="51">
        <f>IF(K449="Received",1,0)</f>
        <v/>
      </c>
      <c r="R449" s="51">
        <f>IF(Q449=1,F449-D449,0)</f>
        <v/>
      </c>
      <c r="S449" s="51">
        <f>IF(Q449=1,IF(F449&lt;=E449,1,0),0)</f>
        <v/>
      </c>
      <c r="T449" s="51">
        <f>IF(Q449=1,IF(H449&gt;=G449,1,0),0)</f>
        <v/>
      </c>
      <c r="U449" s="51">
        <f>S449*T449</f>
        <v/>
      </c>
      <c r="V449" s="51">
        <f>IF(Q449=1,MAX(0,F449-E449),0)</f>
        <v/>
      </c>
    </row>
    <row r="450">
      <c r="A450" s="43" t="inlineStr">
        <is>
          <t>PO101537</t>
        </is>
      </c>
      <c r="B450" s="43" t="inlineStr">
        <is>
          <t>CMD-0082</t>
        </is>
      </c>
      <c r="C450" s="43" t="inlineStr">
        <is>
          <t>S01</t>
        </is>
      </c>
      <c r="D450" s="47" t="n">
        <v>45722</v>
      </c>
      <c r="E450" s="47" t="n">
        <v>45736</v>
      </c>
      <c r="F450" s="47" t="n">
        <v>45735</v>
      </c>
      <c r="G450" s="46" t="n">
        <v>7320</v>
      </c>
      <c r="H450" s="46" t="n">
        <v>7320</v>
      </c>
      <c r="I450" s="46" t="n">
        <v>23</v>
      </c>
      <c r="J450" s="44" t="n">
        <v>2.32</v>
      </c>
      <c r="K450" s="43" t="inlineStr">
        <is>
          <t>Received</t>
        </is>
      </c>
      <c r="L450" s="17">
        <f>INDEX(Items!$C$2:$C$117,MATCH(B450,Items!$A$2:$A$117,0))</f>
        <v/>
      </c>
      <c r="M450" s="49">
        <f>INDEX(Items!$E$2:$E$117,MATCH(B450,Items!$A$2:$A$117,0))</f>
        <v/>
      </c>
      <c r="N450" s="17">
        <f>TEXT(D450,"yyyy-mm")</f>
        <v/>
      </c>
      <c r="O450" s="50">
        <f>G450*J450</f>
        <v/>
      </c>
      <c r="P450" s="50">
        <f>(J450-M450)*G450</f>
        <v/>
      </c>
      <c r="Q450" s="51">
        <f>IF(K450="Received",1,0)</f>
        <v/>
      </c>
      <c r="R450" s="51">
        <f>IF(Q450=1,F450-D450,0)</f>
        <v/>
      </c>
      <c r="S450" s="51">
        <f>IF(Q450=1,IF(F450&lt;=E450,1,0),0)</f>
        <v/>
      </c>
      <c r="T450" s="51">
        <f>IF(Q450=1,IF(H450&gt;=G450,1,0),0)</f>
        <v/>
      </c>
      <c r="U450" s="51">
        <f>S450*T450</f>
        <v/>
      </c>
      <c r="V450" s="51">
        <f>IF(Q450=1,MAX(0,F450-E450),0)</f>
        <v/>
      </c>
    </row>
    <row r="451">
      <c r="A451" s="43" t="inlineStr">
        <is>
          <t>PO101695</t>
        </is>
      </c>
      <c r="B451" s="43" t="inlineStr">
        <is>
          <t>CMD-0093</t>
        </is>
      </c>
      <c r="C451" s="43" t="inlineStr">
        <is>
          <t>S08</t>
        </is>
      </c>
      <c r="D451" s="47" t="n">
        <v>45722</v>
      </c>
      <c r="E451" s="47" t="n">
        <v>45799</v>
      </c>
      <c r="F451" s="47" t="n">
        <v>45796</v>
      </c>
      <c r="G451" s="46" t="n">
        <v>675</v>
      </c>
      <c r="H451" s="46" t="n">
        <v>675</v>
      </c>
      <c r="I451" s="46" t="n">
        <v>5</v>
      </c>
      <c r="J451" s="44" t="n">
        <v>59.41</v>
      </c>
      <c r="K451" s="43" t="inlineStr">
        <is>
          <t>Received</t>
        </is>
      </c>
      <c r="L451" s="17">
        <f>INDEX(Items!$C$2:$C$117,MATCH(B451,Items!$A$2:$A$117,0))</f>
        <v/>
      </c>
      <c r="M451" s="49">
        <f>INDEX(Items!$E$2:$E$117,MATCH(B451,Items!$A$2:$A$117,0))</f>
        <v/>
      </c>
      <c r="N451" s="17">
        <f>TEXT(D451,"yyyy-mm")</f>
        <v/>
      </c>
      <c r="O451" s="50">
        <f>G451*J451</f>
        <v/>
      </c>
      <c r="P451" s="50">
        <f>(J451-M451)*G451</f>
        <v/>
      </c>
      <c r="Q451" s="51">
        <f>IF(K451="Received",1,0)</f>
        <v/>
      </c>
      <c r="R451" s="51">
        <f>IF(Q451=1,F451-D451,0)</f>
        <v/>
      </c>
      <c r="S451" s="51">
        <f>IF(Q451=1,IF(F451&lt;=E451,1,0),0)</f>
        <v/>
      </c>
      <c r="T451" s="51">
        <f>IF(Q451=1,IF(H451&gt;=G451,1,0),0)</f>
        <v/>
      </c>
      <c r="U451" s="51">
        <f>S451*T451</f>
        <v/>
      </c>
      <c r="V451" s="51">
        <f>IF(Q451=1,MAX(0,F451-E451),0)</f>
        <v/>
      </c>
    </row>
    <row r="452">
      <c r="A452" s="43" t="inlineStr">
        <is>
          <t>PO100245</t>
        </is>
      </c>
      <c r="B452" s="43" t="inlineStr">
        <is>
          <t>CMD-0011</t>
        </is>
      </c>
      <c r="C452" s="43" t="inlineStr">
        <is>
          <t>S07</t>
        </is>
      </c>
      <c r="D452" s="47" t="n">
        <v>45722</v>
      </c>
      <c r="E452" s="47" t="n">
        <v>45813</v>
      </c>
      <c r="F452" s="47" t="n">
        <v>45813</v>
      </c>
      <c r="G452" s="46" t="n">
        <v>3476</v>
      </c>
      <c r="H452" s="46" t="n">
        <v>3476</v>
      </c>
      <c r="I452" s="46" t="n">
        <v>25</v>
      </c>
      <c r="J452" s="44" t="n">
        <v>8.08</v>
      </c>
      <c r="K452" s="43" t="inlineStr">
        <is>
          <t>Received</t>
        </is>
      </c>
      <c r="L452" s="17">
        <f>INDEX(Items!$C$2:$C$117,MATCH(B452,Items!$A$2:$A$117,0))</f>
        <v/>
      </c>
      <c r="M452" s="49">
        <f>INDEX(Items!$E$2:$E$117,MATCH(B452,Items!$A$2:$A$117,0))</f>
        <v/>
      </c>
      <c r="N452" s="17">
        <f>TEXT(D452,"yyyy-mm")</f>
        <v/>
      </c>
      <c r="O452" s="50">
        <f>G452*J452</f>
        <v/>
      </c>
      <c r="P452" s="50">
        <f>(J452-M452)*G452</f>
        <v/>
      </c>
      <c r="Q452" s="51">
        <f>IF(K452="Received",1,0)</f>
        <v/>
      </c>
      <c r="R452" s="51">
        <f>IF(Q452=1,F452-D452,0)</f>
        <v/>
      </c>
      <c r="S452" s="51">
        <f>IF(Q452=1,IF(F452&lt;=E452,1,0),0)</f>
        <v/>
      </c>
      <c r="T452" s="51">
        <f>IF(Q452=1,IF(H452&gt;=G452,1,0),0)</f>
        <v/>
      </c>
      <c r="U452" s="51">
        <f>S452*T452</f>
        <v/>
      </c>
      <c r="V452" s="51">
        <f>IF(Q452=1,MAX(0,F452-E452),0)</f>
        <v/>
      </c>
    </row>
    <row r="453">
      <c r="A453" s="43" t="inlineStr">
        <is>
          <t>PO100573</t>
        </is>
      </c>
      <c r="B453" s="43" t="inlineStr">
        <is>
          <t>CMD-0026</t>
        </is>
      </c>
      <c r="C453" s="43" t="inlineStr">
        <is>
          <t>S04</t>
        </is>
      </c>
      <c r="D453" s="47" t="n">
        <v>45722</v>
      </c>
      <c r="E453" s="47" t="n">
        <v>45792</v>
      </c>
      <c r="F453" s="47" t="n">
        <v>45790</v>
      </c>
      <c r="G453" s="46" t="n">
        <v>8124</v>
      </c>
      <c r="H453" s="46" t="n">
        <v>8124</v>
      </c>
      <c r="I453" s="46" t="n">
        <v>73</v>
      </c>
      <c r="J453" s="44" t="n">
        <v>5.96</v>
      </c>
      <c r="K453" s="43" t="inlineStr">
        <is>
          <t>Received</t>
        </is>
      </c>
      <c r="L453" s="17">
        <f>INDEX(Items!$C$2:$C$117,MATCH(B453,Items!$A$2:$A$117,0))</f>
        <v/>
      </c>
      <c r="M453" s="49">
        <f>INDEX(Items!$E$2:$E$117,MATCH(B453,Items!$A$2:$A$117,0))</f>
        <v/>
      </c>
      <c r="N453" s="17">
        <f>TEXT(D453,"yyyy-mm")</f>
        <v/>
      </c>
      <c r="O453" s="50">
        <f>G453*J453</f>
        <v/>
      </c>
      <c r="P453" s="50">
        <f>(J453-M453)*G453</f>
        <v/>
      </c>
      <c r="Q453" s="51">
        <f>IF(K453="Received",1,0)</f>
        <v/>
      </c>
      <c r="R453" s="51">
        <f>IF(Q453=1,F453-D453,0)</f>
        <v/>
      </c>
      <c r="S453" s="51">
        <f>IF(Q453=1,IF(F453&lt;=E453,1,0),0)</f>
        <v/>
      </c>
      <c r="T453" s="51">
        <f>IF(Q453=1,IF(H453&gt;=G453,1,0),0)</f>
        <v/>
      </c>
      <c r="U453" s="51">
        <f>S453*T453</f>
        <v/>
      </c>
      <c r="V453" s="51">
        <f>IF(Q453=1,MAX(0,F453-E453),0)</f>
        <v/>
      </c>
    </row>
    <row r="454">
      <c r="A454" s="43" t="inlineStr">
        <is>
          <t>PO101671</t>
        </is>
      </c>
      <c r="B454" s="43" t="inlineStr">
        <is>
          <t>CMD-0092</t>
        </is>
      </c>
      <c r="C454" s="43" t="inlineStr">
        <is>
          <t>S08</t>
        </is>
      </c>
      <c r="D454" s="47" t="n">
        <v>45722</v>
      </c>
      <c r="E454" s="47" t="n">
        <v>45799</v>
      </c>
      <c r="F454" s="47" t="n">
        <v>45799</v>
      </c>
      <c r="G454" s="46" t="n">
        <v>343</v>
      </c>
      <c r="H454" s="46" t="n">
        <v>229</v>
      </c>
      <c r="I454" s="46" t="n">
        <v>0</v>
      </c>
      <c r="J454" s="44" t="n">
        <v>29.47</v>
      </c>
      <c r="K454" s="43" t="inlineStr">
        <is>
          <t>Received</t>
        </is>
      </c>
      <c r="L454" s="17">
        <f>INDEX(Items!$C$2:$C$117,MATCH(B454,Items!$A$2:$A$117,0))</f>
        <v/>
      </c>
      <c r="M454" s="49">
        <f>INDEX(Items!$E$2:$E$117,MATCH(B454,Items!$A$2:$A$117,0))</f>
        <v/>
      </c>
      <c r="N454" s="17">
        <f>TEXT(D454,"yyyy-mm")</f>
        <v/>
      </c>
      <c r="O454" s="50">
        <f>G454*J454</f>
        <v/>
      </c>
      <c r="P454" s="50">
        <f>(J454-M454)*G454</f>
        <v/>
      </c>
      <c r="Q454" s="51">
        <f>IF(K454="Received",1,0)</f>
        <v/>
      </c>
      <c r="R454" s="51">
        <f>IF(Q454=1,F454-D454,0)</f>
        <v/>
      </c>
      <c r="S454" s="51">
        <f>IF(Q454=1,IF(F454&lt;=E454,1,0),0)</f>
        <v/>
      </c>
      <c r="T454" s="51">
        <f>IF(Q454=1,IF(H454&gt;=G454,1,0),0)</f>
        <v/>
      </c>
      <c r="U454" s="51">
        <f>S454*T454</f>
        <v/>
      </c>
      <c r="V454" s="51">
        <f>IF(Q454=1,MAX(0,F454-E454),0)</f>
        <v/>
      </c>
    </row>
    <row r="455">
      <c r="A455" s="43" t="inlineStr">
        <is>
          <t>PO100525</t>
        </is>
      </c>
      <c r="B455" s="43" t="inlineStr">
        <is>
          <t>CMD-0024</t>
        </is>
      </c>
      <c r="C455" s="43" t="inlineStr">
        <is>
          <t>S04</t>
        </is>
      </c>
      <c r="D455" s="47" t="n">
        <v>45722</v>
      </c>
      <c r="E455" s="47" t="n">
        <v>45792</v>
      </c>
      <c r="F455" s="47" t="n">
        <v>45790</v>
      </c>
      <c r="G455" s="46" t="n">
        <v>4425</v>
      </c>
      <c r="H455" s="46" t="n">
        <v>4425</v>
      </c>
      <c r="I455" s="46" t="n">
        <v>43</v>
      </c>
      <c r="J455" s="44" t="n">
        <v>3.31</v>
      </c>
      <c r="K455" s="43" t="inlineStr">
        <is>
          <t>Received</t>
        </is>
      </c>
      <c r="L455" s="17">
        <f>INDEX(Items!$C$2:$C$117,MATCH(B455,Items!$A$2:$A$117,0))</f>
        <v/>
      </c>
      <c r="M455" s="49">
        <f>INDEX(Items!$E$2:$E$117,MATCH(B455,Items!$A$2:$A$117,0))</f>
        <v/>
      </c>
      <c r="N455" s="17">
        <f>TEXT(D455,"yyyy-mm")</f>
        <v/>
      </c>
      <c r="O455" s="50">
        <f>G455*J455</f>
        <v/>
      </c>
      <c r="P455" s="50">
        <f>(J455-M455)*G455</f>
        <v/>
      </c>
      <c r="Q455" s="51">
        <f>IF(K455="Received",1,0)</f>
        <v/>
      </c>
      <c r="R455" s="51">
        <f>IF(Q455=1,F455-D455,0)</f>
        <v/>
      </c>
      <c r="S455" s="51">
        <f>IF(Q455=1,IF(F455&lt;=E455,1,0),0)</f>
        <v/>
      </c>
      <c r="T455" s="51">
        <f>IF(Q455=1,IF(H455&gt;=G455,1,0),0)</f>
        <v/>
      </c>
      <c r="U455" s="51">
        <f>S455*T455</f>
        <v/>
      </c>
      <c r="V455" s="51">
        <f>IF(Q455=1,MAX(0,F455-E455),0)</f>
        <v/>
      </c>
    </row>
    <row r="456">
      <c r="A456" s="43" t="inlineStr">
        <is>
          <t>PO100369</t>
        </is>
      </c>
      <c r="B456" s="43" t="inlineStr">
        <is>
          <t>CMD-0017</t>
        </is>
      </c>
      <c r="C456" s="43" t="inlineStr">
        <is>
          <t>S11</t>
        </is>
      </c>
      <c r="D456" s="47" t="n">
        <v>45723</v>
      </c>
      <c r="E456" s="47" t="n">
        <v>45800</v>
      </c>
      <c r="F456" s="47" t="n">
        <v>45797</v>
      </c>
      <c r="G456" s="46" t="n">
        <v>8826</v>
      </c>
      <c r="H456" s="46" t="n">
        <v>8826</v>
      </c>
      <c r="I456" s="46" t="n">
        <v>22</v>
      </c>
      <c r="J456" s="44" t="n">
        <v>12.69</v>
      </c>
      <c r="K456" s="43" t="inlineStr">
        <is>
          <t>Received</t>
        </is>
      </c>
      <c r="L456" s="17">
        <f>INDEX(Items!$C$2:$C$117,MATCH(B456,Items!$A$2:$A$117,0))</f>
        <v/>
      </c>
      <c r="M456" s="49">
        <f>INDEX(Items!$E$2:$E$117,MATCH(B456,Items!$A$2:$A$117,0))</f>
        <v/>
      </c>
      <c r="N456" s="17">
        <f>TEXT(D456,"yyyy-mm")</f>
        <v/>
      </c>
      <c r="O456" s="50">
        <f>G456*J456</f>
        <v/>
      </c>
      <c r="P456" s="50">
        <f>(J456-M456)*G456</f>
        <v/>
      </c>
      <c r="Q456" s="51">
        <f>IF(K456="Received",1,0)</f>
        <v/>
      </c>
      <c r="R456" s="51">
        <f>IF(Q456=1,F456-D456,0)</f>
        <v/>
      </c>
      <c r="S456" s="51">
        <f>IF(Q456=1,IF(F456&lt;=E456,1,0),0)</f>
        <v/>
      </c>
      <c r="T456" s="51">
        <f>IF(Q456=1,IF(H456&gt;=G456,1,0),0)</f>
        <v/>
      </c>
      <c r="U456" s="51">
        <f>S456*T456</f>
        <v/>
      </c>
      <c r="V456" s="51">
        <f>IF(Q456=1,MAX(0,F456-E456),0)</f>
        <v/>
      </c>
    </row>
    <row r="457">
      <c r="A457" s="43" t="inlineStr">
        <is>
          <t>PO101087</t>
        </is>
      </c>
      <c r="B457" s="43" t="inlineStr">
        <is>
          <t>CMD-0050</t>
        </is>
      </c>
      <c r="C457" s="43" t="inlineStr">
        <is>
          <t>S10</t>
        </is>
      </c>
      <c r="D457" s="47" t="n">
        <v>45723</v>
      </c>
      <c r="E457" s="47" t="n">
        <v>45751</v>
      </c>
      <c r="F457" s="47" t="n">
        <v>45750</v>
      </c>
      <c r="G457" s="46" t="n">
        <v>62894</v>
      </c>
      <c r="H457" s="46" t="n">
        <v>62894</v>
      </c>
      <c r="I457" s="46" t="n">
        <v>67</v>
      </c>
      <c r="J457" s="44" t="n">
        <v>0.075</v>
      </c>
      <c r="K457" s="43" t="inlineStr">
        <is>
          <t>Received</t>
        </is>
      </c>
      <c r="L457" s="17">
        <f>INDEX(Items!$C$2:$C$117,MATCH(B457,Items!$A$2:$A$117,0))</f>
        <v/>
      </c>
      <c r="M457" s="49">
        <f>INDEX(Items!$E$2:$E$117,MATCH(B457,Items!$A$2:$A$117,0))</f>
        <v/>
      </c>
      <c r="N457" s="17">
        <f>TEXT(D457,"yyyy-mm")</f>
        <v/>
      </c>
      <c r="O457" s="50">
        <f>G457*J457</f>
        <v/>
      </c>
      <c r="P457" s="50">
        <f>(J457-M457)*G457</f>
        <v/>
      </c>
      <c r="Q457" s="51">
        <f>IF(K457="Received",1,0)</f>
        <v/>
      </c>
      <c r="R457" s="51">
        <f>IF(Q457=1,F457-D457,0)</f>
        <v/>
      </c>
      <c r="S457" s="51">
        <f>IF(Q457=1,IF(F457&lt;=E457,1,0),0)</f>
        <v/>
      </c>
      <c r="T457" s="51">
        <f>IF(Q457=1,IF(H457&gt;=G457,1,0),0)</f>
        <v/>
      </c>
      <c r="U457" s="51">
        <f>S457*T457</f>
        <v/>
      </c>
      <c r="V457" s="51">
        <f>IF(Q457=1,MAX(0,F457-E457),0)</f>
        <v/>
      </c>
    </row>
    <row r="458">
      <c r="A458" s="43" t="inlineStr">
        <is>
          <t>PO101163</t>
        </is>
      </c>
      <c r="B458" s="43" t="inlineStr">
        <is>
          <t>CMD-0054</t>
        </is>
      </c>
      <c r="C458" s="43" t="inlineStr">
        <is>
          <t>S10</t>
        </is>
      </c>
      <c r="D458" s="47" t="n">
        <v>45723</v>
      </c>
      <c r="E458" s="47" t="n">
        <v>45751</v>
      </c>
      <c r="F458" s="47" t="n">
        <v>45749</v>
      </c>
      <c r="G458" s="46" t="n">
        <v>47623</v>
      </c>
      <c r="H458" s="46" t="n">
        <v>47623</v>
      </c>
      <c r="I458" s="46" t="n">
        <v>53</v>
      </c>
      <c r="J458" s="44" t="n">
        <v>0.1687</v>
      </c>
      <c r="K458" s="43" t="inlineStr">
        <is>
          <t>Received</t>
        </is>
      </c>
      <c r="L458" s="17">
        <f>INDEX(Items!$C$2:$C$117,MATCH(B458,Items!$A$2:$A$117,0))</f>
        <v/>
      </c>
      <c r="M458" s="49">
        <f>INDEX(Items!$E$2:$E$117,MATCH(B458,Items!$A$2:$A$117,0))</f>
        <v/>
      </c>
      <c r="N458" s="17">
        <f>TEXT(D458,"yyyy-mm")</f>
        <v/>
      </c>
      <c r="O458" s="50">
        <f>G458*J458</f>
        <v/>
      </c>
      <c r="P458" s="50">
        <f>(J458-M458)*G458</f>
        <v/>
      </c>
      <c r="Q458" s="51">
        <f>IF(K458="Received",1,0)</f>
        <v/>
      </c>
      <c r="R458" s="51">
        <f>IF(Q458=1,F458-D458,0)</f>
        <v/>
      </c>
      <c r="S458" s="51">
        <f>IF(Q458=1,IF(F458&lt;=E458,1,0),0)</f>
        <v/>
      </c>
      <c r="T458" s="51">
        <f>IF(Q458=1,IF(H458&gt;=G458,1,0),0)</f>
        <v/>
      </c>
      <c r="U458" s="51">
        <f>S458*T458</f>
        <v/>
      </c>
      <c r="V458" s="51">
        <f>IF(Q458=1,MAX(0,F458-E458),0)</f>
        <v/>
      </c>
    </row>
    <row r="459">
      <c r="A459" s="43" t="inlineStr">
        <is>
          <t>PO101873</t>
        </is>
      </c>
      <c r="B459" s="43" t="inlineStr">
        <is>
          <t>CMD-0102</t>
        </is>
      </c>
      <c r="C459" s="43" t="inlineStr">
        <is>
          <t>S09</t>
        </is>
      </c>
      <c r="D459" s="47" t="n">
        <v>45723</v>
      </c>
      <c r="E459" s="47" t="n">
        <v>45744</v>
      </c>
      <c r="F459" s="47" t="n">
        <v>45744</v>
      </c>
      <c r="G459" s="46" t="n">
        <v>2527</v>
      </c>
      <c r="H459" s="46" t="n">
        <v>2527</v>
      </c>
      <c r="I459" s="46" t="n">
        <v>7</v>
      </c>
      <c r="J459" s="44" t="n">
        <v>6.71</v>
      </c>
      <c r="K459" s="43" t="inlineStr">
        <is>
          <t>Received</t>
        </is>
      </c>
      <c r="L459" s="17">
        <f>INDEX(Items!$C$2:$C$117,MATCH(B459,Items!$A$2:$A$117,0))</f>
        <v/>
      </c>
      <c r="M459" s="49">
        <f>INDEX(Items!$E$2:$E$117,MATCH(B459,Items!$A$2:$A$117,0))</f>
        <v/>
      </c>
      <c r="N459" s="17">
        <f>TEXT(D459,"yyyy-mm")</f>
        <v/>
      </c>
      <c r="O459" s="50">
        <f>G459*J459</f>
        <v/>
      </c>
      <c r="P459" s="50">
        <f>(J459-M459)*G459</f>
        <v/>
      </c>
      <c r="Q459" s="51">
        <f>IF(K459="Received",1,0)</f>
        <v/>
      </c>
      <c r="R459" s="51">
        <f>IF(Q459=1,F459-D459,0)</f>
        <v/>
      </c>
      <c r="S459" s="51">
        <f>IF(Q459=1,IF(F459&lt;=E459,1,0),0)</f>
        <v/>
      </c>
      <c r="T459" s="51">
        <f>IF(Q459=1,IF(H459&gt;=G459,1,0),0)</f>
        <v/>
      </c>
      <c r="U459" s="51">
        <f>S459*T459</f>
        <v/>
      </c>
      <c r="V459" s="51">
        <f>IF(Q459=1,MAX(0,F459-E459),0)</f>
        <v/>
      </c>
    </row>
    <row r="460">
      <c r="A460" s="43" t="inlineStr">
        <is>
          <t>PO101233</t>
        </is>
      </c>
      <c r="B460" s="43" t="inlineStr">
        <is>
          <t>CMD-0058</t>
        </is>
      </c>
      <c r="C460" s="43" t="inlineStr">
        <is>
          <t>S04</t>
        </is>
      </c>
      <c r="D460" s="47" t="n">
        <v>45723</v>
      </c>
      <c r="E460" s="47" t="n">
        <v>45758</v>
      </c>
      <c r="F460" s="47" t="n">
        <v>45757</v>
      </c>
      <c r="G460" s="46" t="n">
        <v>60391</v>
      </c>
      <c r="H460" s="46" t="n">
        <v>60391</v>
      </c>
      <c r="I460" s="46" t="n">
        <v>625</v>
      </c>
      <c r="J460" s="44" t="n">
        <v>0.1178</v>
      </c>
      <c r="K460" s="43" t="inlineStr">
        <is>
          <t>Received</t>
        </is>
      </c>
      <c r="L460" s="17">
        <f>INDEX(Items!$C$2:$C$117,MATCH(B460,Items!$A$2:$A$117,0))</f>
        <v/>
      </c>
      <c r="M460" s="49">
        <f>INDEX(Items!$E$2:$E$117,MATCH(B460,Items!$A$2:$A$117,0))</f>
        <v/>
      </c>
      <c r="N460" s="17">
        <f>TEXT(D460,"yyyy-mm")</f>
        <v/>
      </c>
      <c r="O460" s="50">
        <f>G460*J460</f>
        <v/>
      </c>
      <c r="P460" s="50">
        <f>(J460-M460)*G460</f>
        <v/>
      </c>
      <c r="Q460" s="51">
        <f>IF(K460="Received",1,0)</f>
        <v/>
      </c>
      <c r="R460" s="51">
        <f>IF(Q460=1,F460-D460,0)</f>
        <v/>
      </c>
      <c r="S460" s="51">
        <f>IF(Q460=1,IF(F460&lt;=E460,1,0),0)</f>
        <v/>
      </c>
      <c r="T460" s="51">
        <f>IF(Q460=1,IF(H460&gt;=G460,1,0),0)</f>
        <v/>
      </c>
      <c r="U460" s="51">
        <f>S460*T460</f>
        <v/>
      </c>
      <c r="V460" s="51">
        <f>IF(Q460=1,MAX(0,F460-E460),0)</f>
        <v/>
      </c>
    </row>
    <row r="461">
      <c r="A461" s="43" t="inlineStr">
        <is>
          <t>PO101767</t>
        </is>
      </c>
      <c r="B461" s="43" t="inlineStr">
        <is>
          <t>CMD-0096</t>
        </is>
      </c>
      <c r="C461" s="43" t="inlineStr">
        <is>
          <t>S09</t>
        </is>
      </c>
      <c r="D461" s="47" t="n">
        <v>45723</v>
      </c>
      <c r="E461" s="47" t="n">
        <v>45744</v>
      </c>
      <c r="F461" s="47" t="n">
        <v>45741</v>
      </c>
      <c r="G461" s="46" t="n">
        <v>977</v>
      </c>
      <c r="H461" s="46" t="n">
        <v>977</v>
      </c>
      <c r="I461" s="46" t="n">
        <v>3</v>
      </c>
      <c r="J461" s="44" t="n">
        <v>6.42</v>
      </c>
      <c r="K461" s="43" t="inlineStr">
        <is>
          <t>Received</t>
        </is>
      </c>
      <c r="L461" s="17">
        <f>INDEX(Items!$C$2:$C$117,MATCH(B461,Items!$A$2:$A$117,0))</f>
        <v/>
      </c>
      <c r="M461" s="49">
        <f>INDEX(Items!$E$2:$E$117,MATCH(B461,Items!$A$2:$A$117,0))</f>
        <v/>
      </c>
      <c r="N461" s="17">
        <f>TEXT(D461,"yyyy-mm")</f>
        <v/>
      </c>
      <c r="O461" s="50">
        <f>G461*J461</f>
        <v/>
      </c>
      <c r="P461" s="50">
        <f>(J461-M461)*G461</f>
        <v/>
      </c>
      <c r="Q461" s="51">
        <f>IF(K461="Received",1,0)</f>
        <v/>
      </c>
      <c r="R461" s="51">
        <f>IF(Q461=1,F461-D461,0)</f>
        <v/>
      </c>
      <c r="S461" s="51">
        <f>IF(Q461=1,IF(F461&lt;=E461,1,0),0)</f>
        <v/>
      </c>
      <c r="T461" s="51">
        <f>IF(Q461=1,IF(H461&gt;=G461,1,0),0)</f>
        <v/>
      </c>
      <c r="U461" s="51">
        <f>S461*T461</f>
        <v/>
      </c>
      <c r="V461" s="51">
        <f>IF(Q461=1,MAX(0,F461-E461),0)</f>
        <v/>
      </c>
    </row>
    <row r="462">
      <c r="A462" s="43" t="inlineStr">
        <is>
          <t>PO100775</t>
        </is>
      </c>
      <c r="B462" s="43" t="inlineStr">
        <is>
          <t>CMD-0035</t>
        </is>
      </c>
      <c r="C462" s="43" t="inlineStr">
        <is>
          <t>S01</t>
        </is>
      </c>
      <c r="D462" s="47" t="n">
        <v>45723</v>
      </c>
      <c r="E462" s="47" t="n">
        <v>45751</v>
      </c>
      <c r="F462" s="47" t="n">
        <v>45748</v>
      </c>
      <c r="G462" s="46" t="n">
        <v>698</v>
      </c>
      <c r="H462" s="46" t="n">
        <v>698</v>
      </c>
      <c r="I462" s="46" t="n">
        <v>2</v>
      </c>
      <c r="J462" s="44" t="n">
        <v>9.369999999999999</v>
      </c>
      <c r="K462" s="43" t="inlineStr">
        <is>
          <t>Received</t>
        </is>
      </c>
      <c r="L462" s="17">
        <f>INDEX(Items!$C$2:$C$117,MATCH(B462,Items!$A$2:$A$117,0))</f>
        <v/>
      </c>
      <c r="M462" s="49">
        <f>INDEX(Items!$E$2:$E$117,MATCH(B462,Items!$A$2:$A$117,0))</f>
        <v/>
      </c>
      <c r="N462" s="17">
        <f>TEXT(D462,"yyyy-mm")</f>
        <v/>
      </c>
      <c r="O462" s="50">
        <f>G462*J462</f>
        <v/>
      </c>
      <c r="P462" s="50">
        <f>(J462-M462)*G462</f>
        <v/>
      </c>
      <c r="Q462" s="51">
        <f>IF(K462="Received",1,0)</f>
        <v/>
      </c>
      <c r="R462" s="51">
        <f>IF(Q462=1,F462-D462,0)</f>
        <v/>
      </c>
      <c r="S462" s="51">
        <f>IF(Q462=1,IF(F462&lt;=E462,1,0),0)</f>
        <v/>
      </c>
      <c r="T462" s="51">
        <f>IF(Q462=1,IF(H462&gt;=G462,1,0),0)</f>
        <v/>
      </c>
      <c r="U462" s="51">
        <f>S462*T462</f>
        <v/>
      </c>
      <c r="V462" s="51">
        <f>IF(Q462=1,MAX(0,F462-E462),0)</f>
        <v/>
      </c>
    </row>
    <row r="463">
      <c r="A463" s="43" t="inlineStr">
        <is>
          <t>PO101401</t>
        </is>
      </c>
      <c r="B463" s="43" t="inlineStr">
        <is>
          <t>CMD-0074</t>
        </is>
      </c>
      <c r="C463" s="43" t="inlineStr">
        <is>
          <t>S10</t>
        </is>
      </c>
      <c r="D463" s="47" t="n">
        <v>45723</v>
      </c>
      <c r="E463" s="47" t="n">
        <v>45751</v>
      </c>
      <c r="F463" s="47" t="n">
        <v>45751</v>
      </c>
      <c r="G463" s="46" t="n">
        <v>61375</v>
      </c>
      <c r="H463" s="46" t="n">
        <v>61375</v>
      </c>
      <c r="I463" s="46" t="n">
        <v>69</v>
      </c>
      <c r="J463" s="44" t="n">
        <v>0.3496</v>
      </c>
      <c r="K463" s="43" t="inlineStr">
        <is>
          <t>Received</t>
        </is>
      </c>
      <c r="L463" s="17">
        <f>INDEX(Items!$C$2:$C$117,MATCH(B463,Items!$A$2:$A$117,0))</f>
        <v/>
      </c>
      <c r="M463" s="49">
        <f>INDEX(Items!$E$2:$E$117,MATCH(B463,Items!$A$2:$A$117,0))</f>
        <v/>
      </c>
      <c r="N463" s="17">
        <f>TEXT(D463,"yyyy-mm")</f>
        <v/>
      </c>
      <c r="O463" s="50">
        <f>G463*J463</f>
        <v/>
      </c>
      <c r="P463" s="50">
        <f>(J463-M463)*G463</f>
        <v/>
      </c>
      <c r="Q463" s="51">
        <f>IF(K463="Received",1,0)</f>
        <v/>
      </c>
      <c r="R463" s="51">
        <f>IF(Q463=1,F463-D463,0)</f>
        <v/>
      </c>
      <c r="S463" s="51">
        <f>IF(Q463=1,IF(F463&lt;=E463,1,0),0)</f>
        <v/>
      </c>
      <c r="T463" s="51">
        <f>IF(Q463=1,IF(H463&gt;=G463,1,0),0)</f>
        <v/>
      </c>
      <c r="U463" s="51">
        <f>S463*T463</f>
        <v/>
      </c>
      <c r="V463" s="51">
        <f>IF(Q463=1,MAX(0,F463-E463),0)</f>
        <v/>
      </c>
    </row>
    <row r="464">
      <c r="A464" s="43" t="inlineStr">
        <is>
          <t>PO100727</t>
        </is>
      </c>
      <c r="B464" s="43" t="inlineStr">
        <is>
          <t>CMD-0033</t>
        </is>
      </c>
      <c r="C464" s="43" t="inlineStr">
        <is>
          <t>S07</t>
        </is>
      </c>
      <c r="D464" s="47" t="n">
        <v>45724</v>
      </c>
      <c r="E464" s="47" t="n">
        <v>45766</v>
      </c>
      <c r="F464" s="47" t="n">
        <v>45764</v>
      </c>
      <c r="G464" s="46" t="n">
        <v>3150</v>
      </c>
      <c r="H464" s="46" t="n">
        <v>3150</v>
      </c>
      <c r="I464" s="46" t="n">
        <v>30</v>
      </c>
      <c r="J464" s="44" t="n">
        <v>58.36</v>
      </c>
      <c r="K464" s="43" t="inlineStr">
        <is>
          <t>Received</t>
        </is>
      </c>
      <c r="L464" s="17">
        <f>INDEX(Items!$C$2:$C$117,MATCH(B464,Items!$A$2:$A$117,0))</f>
        <v/>
      </c>
      <c r="M464" s="49">
        <f>INDEX(Items!$E$2:$E$117,MATCH(B464,Items!$A$2:$A$117,0))</f>
        <v/>
      </c>
      <c r="N464" s="17">
        <f>TEXT(D464,"yyyy-mm")</f>
        <v/>
      </c>
      <c r="O464" s="50">
        <f>G464*J464</f>
        <v/>
      </c>
      <c r="P464" s="50">
        <f>(J464-M464)*G464</f>
        <v/>
      </c>
      <c r="Q464" s="51">
        <f>IF(K464="Received",1,0)</f>
        <v/>
      </c>
      <c r="R464" s="51">
        <f>IF(Q464=1,F464-D464,0)</f>
        <v/>
      </c>
      <c r="S464" s="51">
        <f>IF(Q464=1,IF(F464&lt;=E464,1,0),0)</f>
        <v/>
      </c>
      <c r="T464" s="51">
        <f>IF(Q464=1,IF(H464&gt;=G464,1,0),0)</f>
        <v/>
      </c>
      <c r="U464" s="51">
        <f>S464*T464</f>
        <v/>
      </c>
      <c r="V464" s="51">
        <f>IF(Q464=1,MAX(0,F464-E464),0)</f>
        <v/>
      </c>
    </row>
    <row r="465">
      <c r="A465" s="43" t="inlineStr">
        <is>
          <t>PO101743</t>
        </is>
      </c>
      <c r="B465" s="43" t="inlineStr">
        <is>
          <t>CMD-0095</t>
        </is>
      </c>
      <c r="C465" s="43" t="inlineStr">
        <is>
          <t>S08</t>
        </is>
      </c>
      <c r="D465" s="47" t="n">
        <v>45724</v>
      </c>
      <c r="E465" s="47" t="n">
        <v>45801</v>
      </c>
      <c r="F465" s="47" t="n">
        <v>45798</v>
      </c>
      <c r="G465" s="46" t="n">
        <v>276</v>
      </c>
      <c r="H465" s="46" t="n">
        <v>276</v>
      </c>
      <c r="I465" s="46" t="n">
        <v>5</v>
      </c>
      <c r="J465" s="44" t="n">
        <v>91.83</v>
      </c>
      <c r="K465" s="43" t="inlineStr">
        <is>
          <t>Received</t>
        </is>
      </c>
      <c r="L465" s="17">
        <f>INDEX(Items!$C$2:$C$117,MATCH(B465,Items!$A$2:$A$117,0))</f>
        <v/>
      </c>
      <c r="M465" s="49">
        <f>INDEX(Items!$E$2:$E$117,MATCH(B465,Items!$A$2:$A$117,0))</f>
        <v/>
      </c>
      <c r="N465" s="17">
        <f>TEXT(D465,"yyyy-mm")</f>
        <v/>
      </c>
      <c r="O465" s="50">
        <f>G465*J465</f>
        <v/>
      </c>
      <c r="P465" s="50">
        <f>(J465-M465)*G465</f>
        <v/>
      </c>
      <c r="Q465" s="51">
        <f>IF(K465="Received",1,0)</f>
        <v/>
      </c>
      <c r="R465" s="51">
        <f>IF(Q465=1,F465-D465,0)</f>
        <v/>
      </c>
      <c r="S465" s="51">
        <f>IF(Q465=1,IF(F465&lt;=E465,1,0),0)</f>
        <v/>
      </c>
      <c r="T465" s="51">
        <f>IF(Q465=1,IF(H465&gt;=G465,1,0),0)</f>
        <v/>
      </c>
      <c r="U465" s="51">
        <f>S465*T465</f>
        <v/>
      </c>
      <c r="V465" s="51">
        <f>IF(Q465=1,MAX(0,F465-E465),0)</f>
        <v/>
      </c>
    </row>
    <row r="466">
      <c r="A466" s="43" t="inlineStr">
        <is>
          <t>PO101461</t>
        </is>
      </c>
      <c r="B466" s="43" t="inlineStr">
        <is>
          <t>CMD-0078</t>
        </is>
      </c>
      <c r="C466" s="43" t="inlineStr">
        <is>
          <t>S06</t>
        </is>
      </c>
      <c r="D466" s="47" t="n">
        <v>45724</v>
      </c>
      <c r="E466" s="47" t="n">
        <v>45745</v>
      </c>
      <c r="F466" s="47" t="n">
        <v>45742</v>
      </c>
      <c r="G466" s="46" t="n">
        <v>4717</v>
      </c>
      <c r="H466" s="46" t="n">
        <v>4717</v>
      </c>
      <c r="I466" s="46" t="n">
        <v>30</v>
      </c>
      <c r="J466" s="44" t="n">
        <v>2.6</v>
      </c>
      <c r="K466" s="43" t="inlineStr">
        <is>
          <t>Received</t>
        </is>
      </c>
      <c r="L466" s="17">
        <f>INDEX(Items!$C$2:$C$117,MATCH(B466,Items!$A$2:$A$117,0))</f>
        <v/>
      </c>
      <c r="M466" s="49">
        <f>INDEX(Items!$E$2:$E$117,MATCH(B466,Items!$A$2:$A$117,0))</f>
        <v/>
      </c>
      <c r="N466" s="17">
        <f>TEXT(D466,"yyyy-mm")</f>
        <v/>
      </c>
      <c r="O466" s="50">
        <f>G466*J466</f>
        <v/>
      </c>
      <c r="P466" s="50">
        <f>(J466-M466)*G466</f>
        <v/>
      </c>
      <c r="Q466" s="51">
        <f>IF(K466="Received",1,0)</f>
        <v/>
      </c>
      <c r="R466" s="51">
        <f>IF(Q466=1,F466-D466,0)</f>
        <v/>
      </c>
      <c r="S466" s="51">
        <f>IF(Q466=1,IF(F466&lt;=E466,1,0),0)</f>
        <v/>
      </c>
      <c r="T466" s="51">
        <f>IF(Q466=1,IF(H466&gt;=G466,1,0),0)</f>
        <v/>
      </c>
      <c r="U466" s="51">
        <f>S466*T466</f>
        <v/>
      </c>
      <c r="V466" s="51">
        <f>IF(Q466=1,MAX(0,F466-E466),0)</f>
        <v/>
      </c>
    </row>
    <row r="467">
      <c r="A467" s="43" t="inlineStr">
        <is>
          <t>PO100987</t>
        </is>
      </c>
      <c r="B467" s="43" t="inlineStr">
        <is>
          <t>CMD-0045</t>
        </is>
      </c>
      <c r="C467" s="43" t="inlineStr">
        <is>
          <t>S05</t>
        </is>
      </c>
      <c r="D467" s="47" t="n">
        <v>45724</v>
      </c>
      <c r="E467" s="47" t="n">
        <v>45829</v>
      </c>
      <c r="F467" s="47" t="n">
        <v>45860</v>
      </c>
      <c r="G467" s="46" t="n">
        <v>3592</v>
      </c>
      <c r="H467" s="46" t="n">
        <v>3592</v>
      </c>
      <c r="I467" s="46" t="n">
        <v>69</v>
      </c>
      <c r="J467" s="44" t="n">
        <v>8.99</v>
      </c>
      <c r="K467" s="43" t="inlineStr">
        <is>
          <t>Received</t>
        </is>
      </c>
      <c r="L467" s="17">
        <f>INDEX(Items!$C$2:$C$117,MATCH(B467,Items!$A$2:$A$117,0))</f>
        <v/>
      </c>
      <c r="M467" s="49">
        <f>INDEX(Items!$E$2:$E$117,MATCH(B467,Items!$A$2:$A$117,0))</f>
        <v/>
      </c>
      <c r="N467" s="17">
        <f>TEXT(D467,"yyyy-mm")</f>
        <v/>
      </c>
      <c r="O467" s="50">
        <f>G467*J467</f>
        <v/>
      </c>
      <c r="P467" s="50">
        <f>(J467-M467)*G467</f>
        <v/>
      </c>
      <c r="Q467" s="51">
        <f>IF(K467="Received",1,0)</f>
        <v/>
      </c>
      <c r="R467" s="51">
        <f>IF(Q467=1,F467-D467,0)</f>
        <v/>
      </c>
      <c r="S467" s="51">
        <f>IF(Q467=1,IF(F467&lt;=E467,1,0),0)</f>
        <v/>
      </c>
      <c r="T467" s="51">
        <f>IF(Q467=1,IF(H467&gt;=G467,1,0),0)</f>
        <v/>
      </c>
      <c r="U467" s="51">
        <f>S467*T467</f>
        <v/>
      </c>
      <c r="V467" s="51">
        <f>IF(Q467=1,MAX(0,F467-E467),0)</f>
        <v/>
      </c>
    </row>
    <row r="468">
      <c r="A468" s="43" t="inlineStr">
        <is>
          <t>PO101011</t>
        </is>
      </c>
      <c r="B468" s="43" t="inlineStr">
        <is>
          <t>CMD-0046</t>
        </is>
      </c>
      <c r="C468" s="43" t="inlineStr">
        <is>
          <t>S05</t>
        </is>
      </c>
      <c r="D468" s="47" t="n">
        <v>45724</v>
      </c>
      <c r="E468" s="47" t="n">
        <v>45829</v>
      </c>
      <c r="F468" s="47" t="n">
        <v>45828</v>
      </c>
      <c r="G468" s="46" t="n">
        <v>7982</v>
      </c>
      <c r="H468" s="46" t="n">
        <v>7982</v>
      </c>
      <c r="I468" s="46" t="n">
        <v>156</v>
      </c>
      <c r="J468" s="44" t="n">
        <v>10.57</v>
      </c>
      <c r="K468" s="43" t="inlineStr">
        <is>
          <t>Received</t>
        </is>
      </c>
      <c r="L468" s="17">
        <f>INDEX(Items!$C$2:$C$117,MATCH(B468,Items!$A$2:$A$117,0))</f>
        <v/>
      </c>
      <c r="M468" s="49">
        <f>INDEX(Items!$E$2:$E$117,MATCH(B468,Items!$A$2:$A$117,0))</f>
        <v/>
      </c>
      <c r="N468" s="17">
        <f>TEXT(D468,"yyyy-mm")</f>
        <v/>
      </c>
      <c r="O468" s="50">
        <f>G468*J468</f>
        <v/>
      </c>
      <c r="P468" s="50">
        <f>(J468-M468)*G468</f>
        <v/>
      </c>
      <c r="Q468" s="51">
        <f>IF(K468="Received",1,0)</f>
        <v/>
      </c>
      <c r="R468" s="51">
        <f>IF(Q468=1,F468-D468,0)</f>
        <v/>
      </c>
      <c r="S468" s="51">
        <f>IF(Q468=1,IF(F468&lt;=E468,1,0),0)</f>
        <v/>
      </c>
      <c r="T468" s="51">
        <f>IF(Q468=1,IF(H468&gt;=G468,1,0),0)</f>
        <v/>
      </c>
      <c r="U468" s="51">
        <f>S468*T468</f>
        <v/>
      </c>
      <c r="V468" s="51">
        <f>IF(Q468=1,MAX(0,F468-E468),0)</f>
        <v/>
      </c>
    </row>
    <row r="469">
      <c r="A469" s="43" t="inlineStr">
        <is>
          <t>PO100101</t>
        </is>
      </c>
      <c r="B469" s="43" t="inlineStr">
        <is>
          <t>CMD-0005</t>
        </is>
      </c>
      <c r="C469" s="43" t="inlineStr">
        <is>
          <t>S07</t>
        </is>
      </c>
      <c r="D469" s="47" t="n">
        <v>45724</v>
      </c>
      <c r="E469" s="47" t="n">
        <v>45815</v>
      </c>
      <c r="F469" s="47" t="n">
        <v>45812</v>
      </c>
      <c r="G469" s="46" t="n">
        <v>4932</v>
      </c>
      <c r="H469" s="46" t="n">
        <v>4932</v>
      </c>
      <c r="I469" s="46" t="n">
        <v>40</v>
      </c>
      <c r="J469" s="44" t="n">
        <v>5.63</v>
      </c>
      <c r="K469" s="43" t="inlineStr">
        <is>
          <t>Received</t>
        </is>
      </c>
      <c r="L469" s="17">
        <f>INDEX(Items!$C$2:$C$117,MATCH(B469,Items!$A$2:$A$117,0))</f>
        <v/>
      </c>
      <c r="M469" s="49">
        <f>INDEX(Items!$E$2:$E$117,MATCH(B469,Items!$A$2:$A$117,0))</f>
        <v/>
      </c>
      <c r="N469" s="17">
        <f>TEXT(D469,"yyyy-mm")</f>
        <v/>
      </c>
      <c r="O469" s="50">
        <f>G469*J469</f>
        <v/>
      </c>
      <c r="P469" s="50">
        <f>(J469-M469)*G469</f>
        <v/>
      </c>
      <c r="Q469" s="51">
        <f>IF(K469="Received",1,0)</f>
        <v/>
      </c>
      <c r="R469" s="51">
        <f>IF(Q469=1,F469-D469,0)</f>
        <v/>
      </c>
      <c r="S469" s="51">
        <f>IF(Q469=1,IF(F469&lt;=E469,1,0),0)</f>
        <v/>
      </c>
      <c r="T469" s="51">
        <f>IF(Q469=1,IF(H469&gt;=G469,1,0),0)</f>
        <v/>
      </c>
      <c r="U469" s="51">
        <f>S469*T469</f>
        <v/>
      </c>
      <c r="V469" s="51">
        <f>IF(Q469=1,MAX(0,F469-E469),0)</f>
        <v/>
      </c>
    </row>
    <row r="470">
      <c r="A470" s="43" t="inlineStr">
        <is>
          <t>PO100321</t>
        </is>
      </c>
      <c r="B470" s="43" t="inlineStr">
        <is>
          <t>CMD-0015</t>
        </is>
      </c>
      <c r="C470" s="43" t="inlineStr">
        <is>
          <t>S03</t>
        </is>
      </c>
      <c r="D470" s="47" t="n">
        <v>45724</v>
      </c>
      <c r="E470" s="47" t="n">
        <v>45857</v>
      </c>
      <c r="F470" s="47" t="n">
        <v>45875</v>
      </c>
      <c r="G470" s="46" t="n">
        <v>3316</v>
      </c>
      <c r="H470" s="46" t="n">
        <v>3316</v>
      </c>
      <c r="I470" s="46" t="n">
        <v>18</v>
      </c>
      <c r="J470" s="44" t="n">
        <v>5.66</v>
      </c>
      <c r="K470" s="43" t="inlineStr">
        <is>
          <t>Received</t>
        </is>
      </c>
      <c r="L470" s="17">
        <f>INDEX(Items!$C$2:$C$117,MATCH(B470,Items!$A$2:$A$117,0))</f>
        <v/>
      </c>
      <c r="M470" s="49">
        <f>INDEX(Items!$E$2:$E$117,MATCH(B470,Items!$A$2:$A$117,0))</f>
        <v/>
      </c>
      <c r="N470" s="17">
        <f>TEXT(D470,"yyyy-mm")</f>
        <v/>
      </c>
      <c r="O470" s="50">
        <f>G470*J470</f>
        <v/>
      </c>
      <c r="P470" s="50">
        <f>(J470-M470)*G470</f>
        <v/>
      </c>
      <c r="Q470" s="51">
        <f>IF(K470="Received",1,0)</f>
        <v/>
      </c>
      <c r="R470" s="51">
        <f>IF(Q470=1,F470-D470,0)</f>
        <v/>
      </c>
      <c r="S470" s="51">
        <f>IF(Q470=1,IF(F470&lt;=E470,1,0),0)</f>
        <v/>
      </c>
      <c r="T470" s="51">
        <f>IF(Q470=1,IF(H470&gt;=G470,1,0),0)</f>
        <v/>
      </c>
      <c r="U470" s="51">
        <f>S470*T470</f>
        <v/>
      </c>
      <c r="V470" s="51">
        <f>IF(Q470=1,MAX(0,F470-E470),0)</f>
        <v/>
      </c>
    </row>
    <row r="471">
      <c r="A471" s="43" t="inlineStr">
        <is>
          <t>PO100297</t>
        </is>
      </c>
      <c r="B471" s="43" t="inlineStr">
        <is>
          <t>CMD-0014</t>
        </is>
      </c>
      <c r="C471" s="43" t="inlineStr">
        <is>
          <t>S03</t>
        </is>
      </c>
      <c r="D471" s="47" t="n">
        <v>45724</v>
      </c>
      <c r="E471" s="47" t="n">
        <v>45857</v>
      </c>
      <c r="F471" s="47" t="n">
        <v>45856</v>
      </c>
      <c r="G471" s="46" t="n">
        <v>3847</v>
      </c>
      <c r="H471" s="46" t="n">
        <v>3847</v>
      </c>
      <c r="I471" s="46" t="n">
        <v>23</v>
      </c>
      <c r="J471" s="44" t="n">
        <v>12.62</v>
      </c>
      <c r="K471" s="43" t="inlineStr">
        <is>
          <t>Received</t>
        </is>
      </c>
      <c r="L471" s="17">
        <f>INDEX(Items!$C$2:$C$117,MATCH(B471,Items!$A$2:$A$117,0))</f>
        <v/>
      </c>
      <c r="M471" s="49">
        <f>INDEX(Items!$E$2:$E$117,MATCH(B471,Items!$A$2:$A$117,0))</f>
        <v/>
      </c>
      <c r="N471" s="17">
        <f>TEXT(D471,"yyyy-mm")</f>
        <v/>
      </c>
      <c r="O471" s="50">
        <f>G471*J471</f>
        <v/>
      </c>
      <c r="P471" s="50">
        <f>(J471-M471)*G471</f>
        <v/>
      </c>
      <c r="Q471" s="51">
        <f>IF(K471="Received",1,0)</f>
        <v/>
      </c>
      <c r="R471" s="51">
        <f>IF(Q471=1,F471-D471,0)</f>
        <v/>
      </c>
      <c r="S471" s="51">
        <f>IF(Q471=1,IF(F471&lt;=E471,1,0),0)</f>
        <v/>
      </c>
      <c r="T471" s="51">
        <f>IF(Q471=1,IF(H471&gt;=G471,1,0),0)</f>
        <v/>
      </c>
      <c r="U471" s="51">
        <f>S471*T471</f>
        <v/>
      </c>
      <c r="V471" s="51">
        <f>IF(Q471=1,MAX(0,F471-E471),0)</f>
        <v/>
      </c>
    </row>
    <row r="472">
      <c r="A472" s="43" t="inlineStr">
        <is>
          <t>PO100197</t>
        </is>
      </c>
      <c r="B472" s="43" t="inlineStr">
        <is>
          <t>CMD-0009</t>
        </is>
      </c>
      <c r="C472" s="43" t="inlineStr">
        <is>
          <t>S11</t>
        </is>
      </c>
      <c r="D472" s="47" t="n">
        <v>45724</v>
      </c>
      <c r="E472" s="47" t="n">
        <v>45843</v>
      </c>
      <c r="F472" s="47" t="n">
        <v>45840</v>
      </c>
      <c r="G472" s="46" t="n">
        <v>7579</v>
      </c>
      <c r="H472" s="46" t="n">
        <v>7579</v>
      </c>
      <c r="I472" s="46" t="n">
        <v>20</v>
      </c>
      <c r="J472" s="44" t="n">
        <v>6.29</v>
      </c>
      <c r="K472" s="43" t="inlineStr">
        <is>
          <t>Received</t>
        </is>
      </c>
      <c r="L472" s="17">
        <f>INDEX(Items!$C$2:$C$117,MATCH(B472,Items!$A$2:$A$117,0))</f>
        <v/>
      </c>
      <c r="M472" s="49">
        <f>INDEX(Items!$E$2:$E$117,MATCH(B472,Items!$A$2:$A$117,0))</f>
        <v/>
      </c>
      <c r="N472" s="17">
        <f>TEXT(D472,"yyyy-mm")</f>
        <v/>
      </c>
      <c r="O472" s="50">
        <f>G472*J472</f>
        <v/>
      </c>
      <c r="P472" s="50">
        <f>(J472-M472)*G472</f>
        <v/>
      </c>
      <c r="Q472" s="51">
        <f>IF(K472="Received",1,0)</f>
        <v/>
      </c>
      <c r="R472" s="51">
        <f>IF(Q472=1,F472-D472,0)</f>
        <v/>
      </c>
      <c r="S472" s="51">
        <f>IF(Q472=1,IF(F472&lt;=E472,1,0),0)</f>
        <v/>
      </c>
      <c r="T472" s="51">
        <f>IF(Q472=1,IF(H472&gt;=G472,1,0),0)</f>
        <v/>
      </c>
      <c r="U472" s="51">
        <f>S472*T472</f>
        <v/>
      </c>
      <c r="V472" s="51">
        <f>IF(Q472=1,MAX(0,F472-E472),0)</f>
        <v/>
      </c>
    </row>
    <row r="473">
      <c r="A473" s="43" t="inlineStr">
        <is>
          <t>PO100077</t>
        </is>
      </c>
      <c r="B473" s="43" t="inlineStr">
        <is>
          <t>CMD-0004</t>
        </is>
      </c>
      <c r="C473" s="43" t="inlineStr">
        <is>
          <t>S07</t>
        </is>
      </c>
      <c r="D473" s="47" t="n">
        <v>45725</v>
      </c>
      <c r="E473" s="47" t="n">
        <v>45816</v>
      </c>
      <c r="F473" s="47" t="n">
        <v>45813</v>
      </c>
      <c r="G473" s="46" t="n">
        <v>3721</v>
      </c>
      <c r="H473" s="46" t="n">
        <v>3721</v>
      </c>
      <c r="I473" s="46" t="n">
        <v>27</v>
      </c>
      <c r="J473" s="44" t="n">
        <v>4.05</v>
      </c>
      <c r="K473" s="43" t="inlineStr">
        <is>
          <t>Received</t>
        </is>
      </c>
      <c r="L473" s="17">
        <f>INDEX(Items!$C$2:$C$117,MATCH(B473,Items!$A$2:$A$117,0))</f>
        <v/>
      </c>
      <c r="M473" s="49">
        <f>INDEX(Items!$E$2:$E$117,MATCH(B473,Items!$A$2:$A$117,0))</f>
        <v/>
      </c>
      <c r="N473" s="17">
        <f>TEXT(D473,"yyyy-mm")</f>
        <v/>
      </c>
      <c r="O473" s="50">
        <f>G473*J473</f>
        <v/>
      </c>
      <c r="P473" s="50">
        <f>(J473-M473)*G473</f>
        <v/>
      </c>
      <c r="Q473" s="51">
        <f>IF(K473="Received",1,0)</f>
        <v/>
      </c>
      <c r="R473" s="51">
        <f>IF(Q473=1,F473-D473,0)</f>
        <v/>
      </c>
      <c r="S473" s="51">
        <f>IF(Q473=1,IF(F473&lt;=E473,1,0),0)</f>
        <v/>
      </c>
      <c r="T473" s="51">
        <f>IF(Q473=1,IF(H473&gt;=G473,1,0),0)</f>
        <v/>
      </c>
      <c r="U473" s="51">
        <f>S473*T473</f>
        <v/>
      </c>
      <c r="V473" s="51">
        <f>IF(Q473=1,MAX(0,F473-E473),0)</f>
        <v/>
      </c>
    </row>
    <row r="474">
      <c r="A474" s="43" t="inlineStr">
        <is>
          <t>PO100345</t>
        </is>
      </c>
      <c r="B474" s="43" t="inlineStr">
        <is>
          <t>CMD-0016</t>
        </is>
      </c>
      <c r="C474" s="43" t="inlineStr">
        <is>
          <t>S07</t>
        </is>
      </c>
      <c r="D474" s="47" t="n">
        <v>45725</v>
      </c>
      <c r="E474" s="47" t="n">
        <v>45816</v>
      </c>
      <c r="F474" s="47" t="n">
        <v>45815</v>
      </c>
      <c r="G474" s="46" t="n">
        <v>7739</v>
      </c>
      <c r="H474" s="46" t="n">
        <v>7739</v>
      </c>
      <c r="I474" s="46" t="n">
        <v>60</v>
      </c>
      <c r="J474" s="44" t="n">
        <v>27.02</v>
      </c>
      <c r="K474" s="43" t="inlineStr">
        <is>
          <t>Received</t>
        </is>
      </c>
      <c r="L474" s="17">
        <f>INDEX(Items!$C$2:$C$117,MATCH(B474,Items!$A$2:$A$117,0))</f>
        <v/>
      </c>
      <c r="M474" s="49">
        <f>INDEX(Items!$E$2:$E$117,MATCH(B474,Items!$A$2:$A$117,0))</f>
        <v/>
      </c>
      <c r="N474" s="17">
        <f>TEXT(D474,"yyyy-mm")</f>
        <v/>
      </c>
      <c r="O474" s="50">
        <f>G474*J474</f>
        <v/>
      </c>
      <c r="P474" s="50">
        <f>(J474-M474)*G474</f>
        <v/>
      </c>
      <c r="Q474" s="51">
        <f>IF(K474="Received",1,0)</f>
        <v/>
      </c>
      <c r="R474" s="51">
        <f>IF(Q474=1,F474-D474,0)</f>
        <v/>
      </c>
      <c r="S474" s="51">
        <f>IF(Q474=1,IF(F474&lt;=E474,1,0),0)</f>
        <v/>
      </c>
      <c r="T474" s="51">
        <f>IF(Q474=1,IF(H474&gt;=G474,1,0),0)</f>
        <v/>
      </c>
      <c r="U474" s="51">
        <f>S474*T474</f>
        <v/>
      </c>
      <c r="V474" s="51">
        <f>IF(Q474=1,MAX(0,F474-E474),0)</f>
        <v/>
      </c>
    </row>
    <row r="475">
      <c r="A475" s="43" t="inlineStr">
        <is>
          <t>PO101965</t>
        </is>
      </c>
      <c r="B475" s="43" t="inlineStr">
        <is>
          <t>CMD-0109</t>
        </is>
      </c>
      <c r="C475" s="43" t="inlineStr">
        <is>
          <t>S12</t>
        </is>
      </c>
      <c r="D475" s="47" t="n">
        <v>45725</v>
      </c>
      <c r="E475" s="47" t="n">
        <v>45732</v>
      </c>
      <c r="F475" s="47" t="n">
        <v>45731</v>
      </c>
      <c r="G475" s="46" t="n">
        <v>7101</v>
      </c>
      <c r="H475" s="46" t="n">
        <v>7101</v>
      </c>
      <c r="I475" s="46" t="n">
        <v>3</v>
      </c>
      <c r="J475" s="44" t="n">
        <v>1.7</v>
      </c>
      <c r="K475" s="43" t="inlineStr">
        <is>
          <t>Received</t>
        </is>
      </c>
      <c r="L475" s="17">
        <f>INDEX(Items!$C$2:$C$117,MATCH(B475,Items!$A$2:$A$117,0))</f>
        <v/>
      </c>
      <c r="M475" s="49">
        <f>INDEX(Items!$E$2:$E$117,MATCH(B475,Items!$A$2:$A$117,0))</f>
        <v/>
      </c>
      <c r="N475" s="17">
        <f>TEXT(D475,"yyyy-mm")</f>
        <v/>
      </c>
      <c r="O475" s="50">
        <f>G475*J475</f>
        <v/>
      </c>
      <c r="P475" s="50">
        <f>(J475-M475)*G475</f>
        <v/>
      </c>
      <c r="Q475" s="51">
        <f>IF(K475="Received",1,0)</f>
        <v/>
      </c>
      <c r="R475" s="51">
        <f>IF(Q475=1,F475-D475,0)</f>
        <v/>
      </c>
      <c r="S475" s="51">
        <f>IF(Q475=1,IF(F475&lt;=E475,1,0),0)</f>
        <v/>
      </c>
      <c r="T475" s="51">
        <f>IF(Q475=1,IF(H475&gt;=G475,1,0),0)</f>
        <v/>
      </c>
      <c r="U475" s="51">
        <f>S475*T475</f>
        <v/>
      </c>
      <c r="V475" s="51">
        <f>IF(Q475=1,MAX(0,F475-E475),0)</f>
        <v/>
      </c>
    </row>
    <row r="476">
      <c r="A476" s="43" t="inlineStr">
        <is>
          <t>PO101485</t>
        </is>
      </c>
      <c r="B476" s="43" t="inlineStr">
        <is>
          <t>CMD-0079</t>
        </is>
      </c>
      <c r="C476" s="43" t="inlineStr">
        <is>
          <t>S06</t>
        </is>
      </c>
      <c r="D476" s="47" t="n">
        <v>45725</v>
      </c>
      <c r="E476" s="47" t="n">
        <v>45746</v>
      </c>
      <c r="F476" s="47" t="n">
        <v>45744</v>
      </c>
      <c r="G476" s="46" t="n">
        <v>1916</v>
      </c>
      <c r="H476" s="46" t="n">
        <v>1916</v>
      </c>
      <c r="I476" s="46" t="n">
        <v>7</v>
      </c>
      <c r="J476" s="44" t="n">
        <v>3.53</v>
      </c>
      <c r="K476" s="43" t="inlineStr">
        <is>
          <t>Received</t>
        </is>
      </c>
      <c r="L476" s="17">
        <f>INDEX(Items!$C$2:$C$117,MATCH(B476,Items!$A$2:$A$117,0))</f>
        <v/>
      </c>
      <c r="M476" s="49">
        <f>INDEX(Items!$E$2:$E$117,MATCH(B476,Items!$A$2:$A$117,0))</f>
        <v/>
      </c>
      <c r="N476" s="17">
        <f>TEXT(D476,"yyyy-mm")</f>
        <v/>
      </c>
      <c r="O476" s="50">
        <f>G476*J476</f>
        <v/>
      </c>
      <c r="P476" s="50">
        <f>(J476-M476)*G476</f>
        <v/>
      </c>
      <c r="Q476" s="51">
        <f>IF(K476="Received",1,0)</f>
        <v/>
      </c>
      <c r="R476" s="51">
        <f>IF(Q476=1,F476-D476,0)</f>
        <v/>
      </c>
      <c r="S476" s="51">
        <f>IF(Q476=1,IF(F476&lt;=E476,1,0),0)</f>
        <v/>
      </c>
      <c r="T476" s="51">
        <f>IF(Q476=1,IF(H476&gt;=G476,1,0),0)</f>
        <v/>
      </c>
      <c r="U476" s="51">
        <f>S476*T476</f>
        <v/>
      </c>
      <c r="V476" s="51">
        <f>IF(Q476=1,MAX(0,F476-E476),0)</f>
        <v/>
      </c>
    </row>
    <row r="477">
      <c r="A477" s="43" t="inlineStr">
        <is>
          <t>PO100173</t>
        </is>
      </c>
      <c r="B477" s="43" t="inlineStr">
        <is>
          <t>CMD-0008</t>
        </is>
      </c>
      <c r="C477" s="43" t="inlineStr">
        <is>
          <t>S03</t>
        </is>
      </c>
      <c r="D477" s="47" t="n">
        <v>45725</v>
      </c>
      <c r="E477" s="47" t="n">
        <v>45858</v>
      </c>
      <c r="F477" s="47" t="n">
        <v>45856</v>
      </c>
      <c r="G477" s="46" t="n">
        <v>1348</v>
      </c>
      <c r="H477" s="46" t="n">
        <v>812</v>
      </c>
      <c r="I477" s="46" t="n">
        <v>4</v>
      </c>
      <c r="J477" s="44" t="n">
        <v>23.66</v>
      </c>
      <c r="K477" s="43" t="inlineStr">
        <is>
          <t>Received</t>
        </is>
      </c>
      <c r="L477" s="17">
        <f>INDEX(Items!$C$2:$C$117,MATCH(B477,Items!$A$2:$A$117,0))</f>
        <v/>
      </c>
      <c r="M477" s="49">
        <f>INDEX(Items!$E$2:$E$117,MATCH(B477,Items!$A$2:$A$117,0))</f>
        <v/>
      </c>
      <c r="N477" s="17">
        <f>TEXT(D477,"yyyy-mm")</f>
        <v/>
      </c>
      <c r="O477" s="50">
        <f>G477*J477</f>
        <v/>
      </c>
      <c r="P477" s="50">
        <f>(J477-M477)*G477</f>
        <v/>
      </c>
      <c r="Q477" s="51">
        <f>IF(K477="Received",1,0)</f>
        <v/>
      </c>
      <c r="R477" s="51">
        <f>IF(Q477=1,F477-D477,0)</f>
        <v/>
      </c>
      <c r="S477" s="51">
        <f>IF(Q477=1,IF(F477&lt;=E477,1,0),0)</f>
        <v/>
      </c>
      <c r="T477" s="51">
        <f>IF(Q477=1,IF(H477&gt;=G477,1,0),0)</f>
        <v/>
      </c>
      <c r="U477" s="51">
        <f>S477*T477</f>
        <v/>
      </c>
      <c r="V477" s="51">
        <f>IF(Q477=1,MAX(0,F477-E477),0)</f>
        <v/>
      </c>
    </row>
    <row r="478">
      <c r="A478" s="43" t="inlineStr">
        <is>
          <t>PO100477</t>
        </is>
      </c>
      <c r="B478" s="43" t="inlineStr">
        <is>
          <t>CMD-0022</t>
        </is>
      </c>
      <c r="C478" s="43" t="inlineStr">
        <is>
          <t>S02</t>
        </is>
      </c>
      <c r="D478" s="47" t="n">
        <v>45725</v>
      </c>
      <c r="E478" s="47" t="n">
        <v>45781</v>
      </c>
      <c r="F478" s="47" t="n">
        <v>45781</v>
      </c>
      <c r="G478" s="46" t="n">
        <v>3428</v>
      </c>
      <c r="H478" s="46" t="n">
        <v>3428</v>
      </c>
      <c r="I478" s="46" t="n">
        <v>16</v>
      </c>
      <c r="J478" s="44" t="n">
        <v>17.18</v>
      </c>
      <c r="K478" s="43" t="inlineStr">
        <is>
          <t>Received</t>
        </is>
      </c>
      <c r="L478" s="17">
        <f>INDEX(Items!$C$2:$C$117,MATCH(B478,Items!$A$2:$A$117,0))</f>
        <v/>
      </c>
      <c r="M478" s="49">
        <f>INDEX(Items!$E$2:$E$117,MATCH(B478,Items!$A$2:$A$117,0))</f>
        <v/>
      </c>
      <c r="N478" s="17">
        <f>TEXT(D478,"yyyy-mm")</f>
        <v/>
      </c>
      <c r="O478" s="50">
        <f>G478*J478</f>
        <v/>
      </c>
      <c r="P478" s="50">
        <f>(J478-M478)*G478</f>
        <v/>
      </c>
      <c r="Q478" s="51">
        <f>IF(K478="Received",1,0)</f>
        <v/>
      </c>
      <c r="R478" s="51">
        <f>IF(Q478=1,F478-D478,0)</f>
        <v/>
      </c>
      <c r="S478" s="51">
        <f>IF(Q478=1,IF(F478&lt;=E478,1,0),0)</f>
        <v/>
      </c>
      <c r="T478" s="51">
        <f>IF(Q478=1,IF(H478&gt;=G478,1,0),0)</f>
        <v/>
      </c>
      <c r="U478" s="51">
        <f>S478*T478</f>
        <v/>
      </c>
      <c r="V478" s="51">
        <f>IF(Q478=1,MAX(0,F478-E478),0)</f>
        <v/>
      </c>
    </row>
    <row r="479">
      <c r="A479" s="43" t="inlineStr">
        <is>
          <t>PO100847</t>
        </is>
      </c>
      <c r="B479" s="43" t="inlineStr">
        <is>
          <t>CMD-0038</t>
        </is>
      </c>
      <c r="C479" s="43" t="inlineStr">
        <is>
          <t>S01</t>
        </is>
      </c>
      <c r="D479" s="47" t="n">
        <v>45725</v>
      </c>
      <c r="E479" s="47" t="n">
        <v>45753</v>
      </c>
      <c r="F479" s="47" t="n">
        <v>45753</v>
      </c>
      <c r="G479" s="46" t="n">
        <v>910</v>
      </c>
      <c r="H479" s="46" t="n">
        <v>910</v>
      </c>
      <c r="I479" s="46" t="n">
        <v>3</v>
      </c>
      <c r="J479" s="44" t="n">
        <v>21.49</v>
      </c>
      <c r="K479" s="43" t="inlineStr">
        <is>
          <t>Received</t>
        </is>
      </c>
      <c r="L479" s="17">
        <f>INDEX(Items!$C$2:$C$117,MATCH(B479,Items!$A$2:$A$117,0))</f>
        <v/>
      </c>
      <c r="M479" s="49">
        <f>INDEX(Items!$E$2:$E$117,MATCH(B479,Items!$A$2:$A$117,0))</f>
        <v/>
      </c>
      <c r="N479" s="17">
        <f>TEXT(D479,"yyyy-mm")</f>
        <v/>
      </c>
      <c r="O479" s="50">
        <f>G479*J479</f>
        <v/>
      </c>
      <c r="P479" s="50">
        <f>(J479-M479)*G479</f>
        <v/>
      </c>
      <c r="Q479" s="51">
        <f>IF(K479="Received",1,0)</f>
        <v/>
      </c>
      <c r="R479" s="51">
        <f>IF(Q479=1,F479-D479,0)</f>
        <v/>
      </c>
      <c r="S479" s="51">
        <f>IF(Q479=1,IF(F479&lt;=E479,1,0),0)</f>
        <v/>
      </c>
      <c r="T479" s="51">
        <f>IF(Q479=1,IF(H479&gt;=G479,1,0),0)</f>
        <v/>
      </c>
      <c r="U479" s="51">
        <f>S479*T479</f>
        <v/>
      </c>
      <c r="V479" s="51">
        <f>IF(Q479=1,MAX(0,F479-E479),0)</f>
        <v/>
      </c>
    </row>
    <row r="480">
      <c r="A480" s="43" t="inlineStr">
        <is>
          <t>PO100549</t>
        </is>
      </c>
      <c r="B480" s="43" t="inlineStr">
        <is>
          <t>CMD-0025</t>
        </is>
      </c>
      <c r="C480" s="43" t="inlineStr">
        <is>
          <t>S02</t>
        </is>
      </c>
      <c r="D480" s="47" t="n">
        <v>45725</v>
      </c>
      <c r="E480" s="47" t="n">
        <v>45781</v>
      </c>
      <c r="F480" s="47" t="n">
        <v>45778</v>
      </c>
      <c r="G480" s="46" t="n">
        <v>1204</v>
      </c>
      <c r="H480" s="46" t="n">
        <v>1204</v>
      </c>
      <c r="I480" s="46" t="n">
        <v>4</v>
      </c>
      <c r="J480" s="44" t="n">
        <v>10.52</v>
      </c>
      <c r="K480" s="43" t="inlineStr">
        <is>
          <t>Received</t>
        </is>
      </c>
      <c r="L480" s="17">
        <f>INDEX(Items!$C$2:$C$117,MATCH(B480,Items!$A$2:$A$117,0))</f>
        <v/>
      </c>
      <c r="M480" s="49">
        <f>INDEX(Items!$E$2:$E$117,MATCH(B480,Items!$A$2:$A$117,0))</f>
        <v/>
      </c>
      <c r="N480" s="17">
        <f>TEXT(D480,"yyyy-mm")</f>
        <v/>
      </c>
      <c r="O480" s="50">
        <f>G480*J480</f>
        <v/>
      </c>
      <c r="P480" s="50">
        <f>(J480-M480)*G480</f>
        <v/>
      </c>
      <c r="Q480" s="51">
        <f>IF(K480="Received",1,0)</f>
        <v/>
      </c>
      <c r="R480" s="51">
        <f>IF(Q480=1,F480-D480,0)</f>
        <v/>
      </c>
      <c r="S480" s="51">
        <f>IF(Q480=1,IF(F480&lt;=E480,1,0),0)</f>
        <v/>
      </c>
      <c r="T480" s="51">
        <f>IF(Q480=1,IF(H480&gt;=G480,1,0),0)</f>
        <v/>
      </c>
      <c r="U480" s="51">
        <f>S480*T480</f>
        <v/>
      </c>
      <c r="V480" s="51">
        <f>IF(Q480=1,MAX(0,F480-E480),0)</f>
        <v/>
      </c>
    </row>
    <row r="481">
      <c r="A481" s="43" t="inlineStr">
        <is>
          <t>PO100902</t>
        </is>
      </c>
      <c r="B481" s="43" t="inlineStr">
        <is>
          <t>CMD-0041</t>
        </is>
      </c>
      <c r="C481" s="43" t="inlineStr">
        <is>
          <t>S05</t>
        </is>
      </c>
      <c r="D481" s="47" t="n">
        <v>45725</v>
      </c>
      <c r="E481" s="47" t="n">
        <v>45830</v>
      </c>
      <c r="F481" s="47" t="n">
        <v>45843</v>
      </c>
      <c r="G481" s="46" t="n">
        <v>1068</v>
      </c>
      <c r="H481" s="46" t="n">
        <v>1068</v>
      </c>
      <c r="I481" s="46" t="n">
        <v>25</v>
      </c>
      <c r="J481" s="44" t="n">
        <v>5.63</v>
      </c>
      <c r="K481" s="43" t="inlineStr">
        <is>
          <t>Received</t>
        </is>
      </c>
      <c r="L481" s="17">
        <f>INDEX(Items!$C$2:$C$117,MATCH(B481,Items!$A$2:$A$117,0))</f>
        <v/>
      </c>
      <c r="M481" s="49">
        <f>INDEX(Items!$E$2:$E$117,MATCH(B481,Items!$A$2:$A$117,0))</f>
        <v/>
      </c>
      <c r="N481" s="17">
        <f>TEXT(D481,"yyyy-mm")</f>
        <v/>
      </c>
      <c r="O481" s="50">
        <f>G481*J481</f>
        <v/>
      </c>
      <c r="P481" s="50">
        <f>(J481-M481)*G481</f>
        <v/>
      </c>
      <c r="Q481" s="51">
        <f>IF(K481="Received",1,0)</f>
        <v/>
      </c>
      <c r="R481" s="51">
        <f>IF(Q481=1,F481-D481,0)</f>
        <v/>
      </c>
      <c r="S481" s="51">
        <f>IF(Q481=1,IF(F481&lt;=E481,1,0),0)</f>
        <v/>
      </c>
      <c r="T481" s="51">
        <f>IF(Q481=1,IF(H481&gt;=G481,1,0),0)</f>
        <v/>
      </c>
      <c r="U481" s="51">
        <f>S481*T481</f>
        <v/>
      </c>
      <c r="V481" s="51">
        <f>IF(Q481=1,MAX(0,F481-E481),0)</f>
        <v/>
      </c>
    </row>
    <row r="482">
      <c r="A482" s="43" t="inlineStr">
        <is>
          <t>PO101806</t>
        </is>
      </c>
      <c r="B482" s="43" t="inlineStr">
        <is>
          <t>CMD-0098</t>
        </is>
      </c>
      <c r="C482" s="43" t="inlineStr">
        <is>
          <t>S09</t>
        </is>
      </c>
      <c r="D482" s="47" t="n">
        <v>45725</v>
      </c>
      <c r="E482" s="47" t="n">
        <v>45746</v>
      </c>
      <c r="F482" s="47" t="n">
        <v>45743</v>
      </c>
      <c r="G482" s="46" t="n">
        <v>732</v>
      </c>
      <c r="H482" s="46" t="n">
        <v>732</v>
      </c>
      <c r="I482" s="46" t="n">
        <v>1</v>
      </c>
      <c r="J482" s="44" t="n">
        <v>7.2</v>
      </c>
      <c r="K482" s="43" t="inlineStr">
        <is>
          <t>Received</t>
        </is>
      </c>
      <c r="L482" s="17">
        <f>INDEX(Items!$C$2:$C$117,MATCH(B482,Items!$A$2:$A$117,0))</f>
        <v/>
      </c>
      <c r="M482" s="49">
        <f>INDEX(Items!$E$2:$E$117,MATCH(B482,Items!$A$2:$A$117,0))</f>
        <v/>
      </c>
      <c r="N482" s="17">
        <f>TEXT(D482,"yyyy-mm")</f>
        <v/>
      </c>
      <c r="O482" s="50">
        <f>G482*J482</f>
        <v/>
      </c>
      <c r="P482" s="50">
        <f>(J482-M482)*G482</f>
        <v/>
      </c>
      <c r="Q482" s="51">
        <f>IF(K482="Received",1,0)</f>
        <v/>
      </c>
      <c r="R482" s="51">
        <f>IF(Q482=1,F482-D482,0)</f>
        <v/>
      </c>
      <c r="S482" s="51">
        <f>IF(Q482=1,IF(F482&lt;=E482,1,0),0)</f>
        <v/>
      </c>
      <c r="T482" s="51">
        <f>IF(Q482=1,IF(H482&gt;=G482,1,0),0)</f>
        <v/>
      </c>
      <c r="U482" s="51">
        <f>S482*T482</f>
        <v/>
      </c>
      <c r="V482" s="51">
        <f>IF(Q482=1,MAX(0,F482-E482),0)</f>
        <v/>
      </c>
    </row>
    <row r="483">
      <c r="A483" s="43" t="inlineStr">
        <is>
          <t>PO100597</t>
        </is>
      </c>
      <c r="B483" s="43" t="inlineStr">
        <is>
          <t>CMD-0027</t>
        </is>
      </c>
      <c r="C483" s="43" t="inlineStr">
        <is>
          <t>S04</t>
        </is>
      </c>
      <c r="D483" s="47" t="n">
        <v>45726</v>
      </c>
      <c r="E483" s="47" t="n">
        <v>45796</v>
      </c>
      <c r="F483" s="47" t="n">
        <v>45793</v>
      </c>
      <c r="G483" s="46" t="n">
        <v>7398</v>
      </c>
      <c r="H483" s="46" t="n">
        <v>7398</v>
      </c>
      <c r="I483" s="46" t="n">
        <v>92</v>
      </c>
      <c r="J483" s="44" t="n">
        <v>8.85</v>
      </c>
      <c r="K483" s="43" t="inlineStr">
        <is>
          <t>Received</t>
        </is>
      </c>
      <c r="L483" s="17">
        <f>INDEX(Items!$C$2:$C$117,MATCH(B483,Items!$A$2:$A$117,0))</f>
        <v/>
      </c>
      <c r="M483" s="49">
        <f>INDEX(Items!$E$2:$E$117,MATCH(B483,Items!$A$2:$A$117,0))</f>
        <v/>
      </c>
      <c r="N483" s="17">
        <f>TEXT(D483,"yyyy-mm")</f>
        <v/>
      </c>
      <c r="O483" s="50">
        <f>G483*J483</f>
        <v/>
      </c>
      <c r="P483" s="50">
        <f>(J483-M483)*G483</f>
        <v/>
      </c>
      <c r="Q483" s="51">
        <f>IF(K483="Received",1,0)</f>
        <v/>
      </c>
      <c r="R483" s="51">
        <f>IF(Q483=1,F483-D483,0)</f>
        <v/>
      </c>
      <c r="S483" s="51">
        <f>IF(Q483=1,IF(F483&lt;=E483,1,0),0)</f>
        <v/>
      </c>
      <c r="T483" s="51">
        <f>IF(Q483=1,IF(H483&gt;=G483,1,0),0)</f>
        <v/>
      </c>
      <c r="U483" s="51">
        <f>S483*T483</f>
        <v/>
      </c>
      <c r="V483" s="51">
        <f>IF(Q483=1,MAX(0,F483-E483),0)</f>
        <v/>
      </c>
    </row>
    <row r="484">
      <c r="A484" s="43" t="inlineStr">
        <is>
          <t>PO100751</t>
        </is>
      </c>
      <c r="B484" s="43" t="inlineStr">
        <is>
          <t>CMD-0034</t>
        </is>
      </c>
      <c r="C484" s="43" t="inlineStr">
        <is>
          <t>S04</t>
        </is>
      </c>
      <c r="D484" s="47" t="n">
        <v>45726</v>
      </c>
      <c r="E484" s="47" t="n">
        <v>45768</v>
      </c>
      <c r="F484" s="47" t="n">
        <v>45765</v>
      </c>
      <c r="G484" s="46" t="n">
        <v>686</v>
      </c>
      <c r="H484" s="46" t="n">
        <v>686</v>
      </c>
      <c r="I484" s="46" t="n">
        <v>8</v>
      </c>
      <c r="J484" s="44" t="n">
        <v>10.55</v>
      </c>
      <c r="K484" s="43" t="inlineStr">
        <is>
          <t>Received</t>
        </is>
      </c>
      <c r="L484" s="17">
        <f>INDEX(Items!$C$2:$C$117,MATCH(B484,Items!$A$2:$A$117,0))</f>
        <v/>
      </c>
      <c r="M484" s="49">
        <f>INDEX(Items!$E$2:$E$117,MATCH(B484,Items!$A$2:$A$117,0))</f>
        <v/>
      </c>
      <c r="N484" s="17">
        <f>TEXT(D484,"yyyy-mm")</f>
        <v/>
      </c>
      <c r="O484" s="50">
        <f>G484*J484</f>
        <v/>
      </c>
      <c r="P484" s="50">
        <f>(J484-M484)*G484</f>
        <v/>
      </c>
      <c r="Q484" s="51">
        <f>IF(K484="Received",1,0)</f>
        <v/>
      </c>
      <c r="R484" s="51">
        <f>IF(Q484=1,F484-D484,0)</f>
        <v/>
      </c>
      <c r="S484" s="51">
        <f>IF(Q484=1,IF(F484&lt;=E484,1,0),0)</f>
        <v/>
      </c>
      <c r="T484" s="51">
        <f>IF(Q484=1,IF(H484&gt;=G484,1,0),0)</f>
        <v/>
      </c>
      <c r="U484" s="51">
        <f>S484*T484</f>
        <v/>
      </c>
      <c r="V484" s="51">
        <f>IF(Q484=1,MAX(0,F484-E484),0)</f>
        <v/>
      </c>
    </row>
    <row r="485">
      <c r="A485" s="43" t="inlineStr">
        <is>
          <t>PO101509</t>
        </is>
      </c>
      <c r="B485" s="43" t="inlineStr">
        <is>
          <t>CMD-0080</t>
        </is>
      </c>
      <c r="C485" s="43" t="inlineStr">
        <is>
          <t>S06</t>
        </is>
      </c>
      <c r="D485" s="47" t="n">
        <v>45726</v>
      </c>
      <c r="E485" s="47" t="n">
        <v>45747</v>
      </c>
      <c r="F485" s="47" t="n">
        <v>45746</v>
      </c>
      <c r="G485" s="46" t="n">
        <v>5063</v>
      </c>
      <c r="H485" s="46" t="n">
        <v>5063</v>
      </c>
      <c r="I485" s="46" t="n">
        <v>21</v>
      </c>
      <c r="J485" s="44" t="n">
        <v>5.53</v>
      </c>
      <c r="K485" s="43" t="inlineStr">
        <is>
          <t>Received</t>
        </is>
      </c>
      <c r="L485" s="17">
        <f>INDEX(Items!$C$2:$C$117,MATCH(B485,Items!$A$2:$A$117,0))</f>
        <v/>
      </c>
      <c r="M485" s="49">
        <f>INDEX(Items!$E$2:$E$117,MATCH(B485,Items!$A$2:$A$117,0))</f>
        <v/>
      </c>
      <c r="N485" s="17">
        <f>TEXT(D485,"yyyy-mm")</f>
        <v/>
      </c>
      <c r="O485" s="50">
        <f>G485*J485</f>
        <v/>
      </c>
      <c r="P485" s="50">
        <f>(J485-M485)*G485</f>
        <v/>
      </c>
      <c r="Q485" s="51">
        <f>IF(K485="Received",1,0)</f>
        <v/>
      </c>
      <c r="R485" s="51">
        <f>IF(Q485=1,F485-D485,0)</f>
        <v/>
      </c>
      <c r="S485" s="51">
        <f>IF(Q485=1,IF(F485&lt;=E485,1,0),0)</f>
        <v/>
      </c>
      <c r="T485" s="51">
        <f>IF(Q485=1,IF(H485&gt;=G485,1,0),0)</f>
        <v/>
      </c>
      <c r="U485" s="51">
        <f>S485*T485</f>
        <v/>
      </c>
      <c r="V485" s="51">
        <f>IF(Q485=1,MAX(0,F485-E485),0)</f>
        <v/>
      </c>
    </row>
    <row r="486">
      <c r="A486" s="43" t="inlineStr">
        <is>
          <t>PO100393</t>
        </is>
      </c>
      <c r="B486" s="43" t="inlineStr">
        <is>
          <t>CMD-0018</t>
        </is>
      </c>
      <c r="C486" s="43" t="inlineStr">
        <is>
          <t>S02</t>
        </is>
      </c>
      <c r="D486" s="47" t="n">
        <v>45726</v>
      </c>
      <c r="E486" s="47" t="n">
        <v>45782</v>
      </c>
      <c r="F486" s="47" t="n">
        <v>45779</v>
      </c>
      <c r="G486" s="46" t="n">
        <v>6721</v>
      </c>
      <c r="H486" s="46" t="n">
        <v>6721</v>
      </c>
      <c r="I486" s="46" t="n">
        <v>25</v>
      </c>
      <c r="J486" s="44" t="n">
        <v>37.92</v>
      </c>
      <c r="K486" s="43" t="inlineStr">
        <is>
          <t>Received</t>
        </is>
      </c>
      <c r="L486" s="17">
        <f>INDEX(Items!$C$2:$C$117,MATCH(B486,Items!$A$2:$A$117,0))</f>
        <v/>
      </c>
      <c r="M486" s="49">
        <f>INDEX(Items!$E$2:$E$117,MATCH(B486,Items!$A$2:$A$117,0))</f>
        <v/>
      </c>
      <c r="N486" s="17">
        <f>TEXT(D486,"yyyy-mm")</f>
        <v/>
      </c>
      <c r="O486" s="50">
        <f>G486*J486</f>
        <v/>
      </c>
      <c r="P486" s="50">
        <f>(J486-M486)*G486</f>
        <v/>
      </c>
      <c r="Q486" s="51">
        <f>IF(K486="Received",1,0)</f>
        <v/>
      </c>
      <c r="R486" s="51">
        <f>IF(Q486=1,F486-D486,0)</f>
        <v/>
      </c>
      <c r="S486" s="51">
        <f>IF(Q486=1,IF(F486&lt;=E486,1,0),0)</f>
        <v/>
      </c>
      <c r="T486" s="51">
        <f>IF(Q486=1,IF(H486&gt;=G486,1,0),0)</f>
        <v/>
      </c>
      <c r="U486" s="51">
        <f>S486*T486</f>
        <v/>
      </c>
      <c r="V486" s="51">
        <f>IF(Q486=1,MAX(0,F486-E486),0)</f>
        <v/>
      </c>
    </row>
    <row r="487">
      <c r="A487" s="43" t="inlineStr">
        <is>
          <t>PO100149</t>
        </is>
      </c>
      <c r="B487" s="43" t="inlineStr">
        <is>
          <t>CMD-0007</t>
        </is>
      </c>
      <c r="C487" s="43" t="inlineStr">
        <is>
          <t>S03</t>
        </is>
      </c>
      <c r="D487" s="47" t="n">
        <v>45726</v>
      </c>
      <c r="E487" s="47" t="n">
        <v>45859</v>
      </c>
      <c r="F487" s="47" t="n">
        <v>45856</v>
      </c>
      <c r="G487" s="46" t="n">
        <v>4544</v>
      </c>
      <c r="H487" s="46" t="n">
        <v>4544</v>
      </c>
      <c r="I487" s="46" t="n">
        <v>26</v>
      </c>
      <c r="J487" s="44" t="n">
        <v>19.39</v>
      </c>
      <c r="K487" s="43" t="inlineStr">
        <is>
          <t>Received</t>
        </is>
      </c>
      <c r="L487" s="17">
        <f>INDEX(Items!$C$2:$C$117,MATCH(B487,Items!$A$2:$A$117,0))</f>
        <v/>
      </c>
      <c r="M487" s="49">
        <f>INDEX(Items!$E$2:$E$117,MATCH(B487,Items!$A$2:$A$117,0))</f>
        <v/>
      </c>
      <c r="N487" s="17">
        <f>TEXT(D487,"yyyy-mm")</f>
        <v/>
      </c>
      <c r="O487" s="50">
        <f>G487*J487</f>
        <v/>
      </c>
      <c r="P487" s="50">
        <f>(J487-M487)*G487</f>
        <v/>
      </c>
      <c r="Q487" s="51">
        <f>IF(K487="Received",1,0)</f>
        <v/>
      </c>
      <c r="R487" s="51">
        <f>IF(Q487=1,F487-D487,0)</f>
        <v/>
      </c>
      <c r="S487" s="51">
        <f>IF(Q487=1,IF(F487&lt;=E487,1,0),0)</f>
        <v/>
      </c>
      <c r="T487" s="51">
        <f>IF(Q487=1,IF(H487&gt;=G487,1,0),0)</f>
        <v/>
      </c>
      <c r="U487" s="51">
        <f>S487*T487</f>
        <v/>
      </c>
      <c r="V487" s="51">
        <f>IF(Q487=1,MAX(0,F487-E487),0)</f>
        <v/>
      </c>
    </row>
    <row r="488">
      <c r="A488" s="43" t="inlineStr">
        <is>
          <t>PO101281</t>
        </is>
      </c>
      <c r="B488" s="43" t="inlineStr">
        <is>
          <t>CMD-0062</t>
        </is>
      </c>
      <c r="C488" s="43" t="inlineStr">
        <is>
          <t>S01</t>
        </is>
      </c>
      <c r="D488" s="47" t="n">
        <v>45726</v>
      </c>
      <c r="E488" s="47" t="n">
        <v>45747</v>
      </c>
      <c r="F488" s="47" t="n">
        <v>45747</v>
      </c>
      <c r="G488" s="46" t="n">
        <v>72737</v>
      </c>
      <c r="H488" s="46" t="n">
        <v>72737</v>
      </c>
      <c r="I488" s="46" t="n">
        <v>161</v>
      </c>
      <c r="J488" s="44" t="n">
        <v>0.1139</v>
      </c>
      <c r="K488" s="43" t="inlineStr">
        <is>
          <t>Received</t>
        </is>
      </c>
      <c r="L488" s="17">
        <f>INDEX(Items!$C$2:$C$117,MATCH(B488,Items!$A$2:$A$117,0))</f>
        <v/>
      </c>
      <c r="M488" s="49">
        <f>INDEX(Items!$E$2:$E$117,MATCH(B488,Items!$A$2:$A$117,0))</f>
        <v/>
      </c>
      <c r="N488" s="17">
        <f>TEXT(D488,"yyyy-mm")</f>
        <v/>
      </c>
      <c r="O488" s="50">
        <f>G488*J488</f>
        <v/>
      </c>
      <c r="P488" s="50">
        <f>(J488-M488)*G488</f>
        <v/>
      </c>
      <c r="Q488" s="51">
        <f>IF(K488="Received",1,0)</f>
        <v/>
      </c>
      <c r="R488" s="51">
        <f>IF(Q488=1,F488-D488,0)</f>
        <v/>
      </c>
      <c r="S488" s="51">
        <f>IF(Q488=1,IF(F488&lt;=E488,1,0),0)</f>
        <v/>
      </c>
      <c r="T488" s="51">
        <f>IF(Q488=1,IF(H488&gt;=G488,1,0),0)</f>
        <v/>
      </c>
      <c r="U488" s="51">
        <f>S488*T488</f>
        <v/>
      </c>
      <c r="V488" s="51">
        <f>IF(Q488=1,MAX(0,F488-E488),0)</f>
        <v/>
      </c>
    </row>
    <row r="489">
      <c r="A489" s="43" t="inlineStr">
        <is>
          <t>PO101937</t>
        </is>
      </c>
      <c r="B489" s="43" t="inlineStr">
        <is>
          <t>CMD-0107</t>
        </is>
      </c>
      <c r="C489" s="43" t="inlineStr">
        <is>
          <t>S09</t>
        </is>
      </c>
      <c r="D489" s="47" t="n">
        <v>45726</v>
      </c>
      <c r="E489" s="47" t="n">
        <v>45747</v>
      </c>
      <c r="F489" s="47" t="n">
        <v>45746</v>
      </c>
      <c r="G489" s="46" t="n">
        <v>1256</v>
      </c>
      <c r="H489" s="46" t="n">
        <v>1256</v>
      </c>
      <c r="I489" s="46" t="n">
        <v>3</v>
      </c>
      <c r="J489" s="44" t="n">
        <v>6.95</v>
      </c>
      <c r="K489" s="43" t="inlineStr">
        <is>
          <t>Received</t>
        </is>
      </c>
      <c r="L489" s="17">
        <f>INDEX(Items!$C$2:$C$117,MATCH(B489,Items!$A$2:$A$117,0))</f>
        <v/>
      </c>
      <c r="M489" s="49">
        <f>INDEX(Items!$E$2:$E$117,MATCH(B489,Items!$A$2:$A$117,0))</f>
        <v/>
      </c>
      <c r="N489" s="17">
        <f>TEXT(D489,"yyyy-mm")</f>
        <v/>
      </c>
      <c r="O489" s="50">
        <f>G489*J489</f>
        <v/>
      </c>
      <c r="P489" s="50">
        <f>(J489-M489)*G489</f>
        <v/>
      </c>
      <c r="Q489" s="51">
        <f>IF(K489="Received",1,0)</f>
        <v/>
      </c>
      <c r="R489" s="51">
        <f>IF(Q489=1,F489-D489,0)</f>
        <v/>
      </c>
      <c r="S489" s="51">
        <f>IF(Q489=1,IF(F489&lt;=E489,1,0),0)</f>
        <v/>
      </c>
      <c r="T489" s="51">
        <f>IF(Q489=1,IF(H489&gt;=G489,1,0),0)</f>
        <v/>
      </c>
      <c r="U489" s="51">
        <f>S489*T489</f>
        <v/>
      </c>
      <c r="V489" s="51">
        <f>IF(Q489=1,MAX(0,F489-E489),0)</f>
        <v/>
      </c>
    </row>
    <row r="490">
      <c r="A490" s="43" t="inlineStr">
        <is>
          <t>PO100892</t>
        </is>
      </c>
      <c r="B490" s="43" t="inlineStr">
        <is>
          <t>CMD-0040</t>
        </is>
      </c>
      <c r="C490" s="43" t="inlineStr">
        <is>
          <t>S07</t>
        </is>
      </c>
      <c r="D490" s="47" t="n">
        <v>45726</v>
      </c>
      <c r="E490" s="47" t="n">
        <v>45768</v>
      </c>
      <c r="F490" s="47" t="n">
        <v>45766</v>
      </c>
      <c r="G490" s="46" t="n">
        <v>697</v>
      </c>
      <c r="H490" s="46" t="n">
        <v>697</v>
      </c>
      <c r="I490" s="46" t="n">
        <v>7</v>
      </c>
      <c r="J490" s="44" t="n">
        <v>8.960000000000001</v>
      </c>
      <c r="K490" s="43" t="inlineStr">
        <is>
          <t>Received</t>
        </is>
      </c>
      <c r="L490" s="17">
        <f>INDEX(Items!$C$2:$C$117,MATCH(B490,Items!$A$2:$A$117,0))</f>
        <v/>
      </c>
      <c r="M490" s="49">
        <f>INDEX(Items!$E$2:$E$117,MATCH(B490,Items!$A$2:$A$117,0))</f>
        <v/>
      </c>
      <c r="N490" s="17">
        <f>TEXT(D490,"yyyy-mm")</f>
        <v/>
      </c>
      <c r="O490" s="50">
        <f>G490*J490</f>
        <v/>
      </c>
      <c r="P490" s="50">
        <f>(J490-M490)*G490</f>
        <v/>
      </c>
      <c r="Q490" s="51">
        <f>IF(K490="Received",1,0)</f>
        <v/>
      </c>
      <c r="R490" s="51">
        <f>IF(Q490=1,F490-D490,0)</f>
        <v/>
      </c>
      <c r="S490" s="51">
        <f>IF(Q490=1,IF(F490&lt;=E490,1,0),0)</f>
        <v/>
      </c>
      <c r="T490" s="51">
        <f>IF(Q490=1,IF(H490&gt;=G490,1,0),0)</f>
        <v/>
      </c>
      <c r="U490" s="51">
        <f>S490*T490</f>
        <v/>
      </c>
      <c r="V490" s="51">
        <f>IF(Q490=1,MAX(0,F490-E490),0)</f>
        <v/>
      </c>
    </row>
    <row r="491">
      <c r="A491" s="43" t="inlineStr">
        <is>
          <t>PO100005</t>
        </is>
      </c>
      <c r="B491" s="43" t="inlineStr">
        <is>
          <t>CMD-0001</t>
        </is>
      </c>
      <c r="C491" s="43" t="inlineStr">
        <is>
          <t>S07</t>
        </is>
      </c>
      <c r="D491" s="47" t="n">
        <v>45726</v>
      </c>
      <c r="E491" s="47" t="n">
        <v>45817</v>
      </c>
      <c r="F491" s="47" t="n">
        <v>45817</v>
      </c>
      <c r="G491" s="46" t="n">
        <v>6898</v>
      </c>
      <c r="H491" s="46" t="n">
        <v>6898</v>
      </c>
      <c r="I491" s="46" t="n">
        <v>58</v>
      </c>
      <c r="J491" s="44" t="n">
        <v>14.26</v>
      </c>
      <c r="K491" s="43" t="inlineStr">
        <is>
          <t>Received</t>
        </is>
      </c>
      <c r="L491" s="17">
        <f>INDEX(Items!$C$2:$C$117,MATCH(B491,Items!$A$2:$A$117,0))</f>
        <v/>
      </c>
      <c r="M491" s="49">
        <f>INDEX(Items!$E$2:$E$117,MATCH(B491,Items!$A$2:$A$117,0))</f>
        <v/>
      </c>
      <c r="N491" s="17">
        <f>TEXT(D491,"yyyy-mm")</f>
        <v/>
      </c>
      <c r="O491" s="50">
        <f>G491*J491</f>
        <v/>
      </c>
      <c r="P491" s="50">
        <f>(J491-M491)*G491</f>
        <v/>
      </c>
      <c r="Q491" s="51">
        <f>IF(K491="Received",1,0)</f>
        <v/>
      </c>
      <c r="R491" s="51">
        <f>IF(Q491=1,F491-D491,0)</f>
        <v/>
      </c>
      <c r="S491" s="51">
        <f>IF(Q491=1,IF(F491&lt;=E491,1,0),0)</f>
        <v/>
      </c>
      <c r="T491" s="51">
        <f>IF(Q491=1,IF(H491&gt;=G491,1,0),0)</f>
        <v/>
      </c>
      <c r="U491" s="51">
        <f>S491*T491</f>
        <v/>
      </c>
      <c r="V491" s="51">
        <f>IF(Q491=1,MAX(0,F491-E491),0)</f>
        <v/>
      </c>
    </row>
    <row r="492">
      <c r="A492" s="43" t="inlineStr">
        <is>
          <t>PO100799</t>
        </is>
      </c>
      <c r="B492" s="43" t="inlineStr">
        <is>
          <t>CMD-0036</t>
        </is>
      </c>
      <c r="C492" s="43" t="inlineStr">
        <is>
          <t>S04</t>
        </is>
      </c>
      <c r="D492" s="47" t="n">
        <v>45727</v>
      </c>
      <c r="E492" s="47" t="n">
        <v>45769</v>
      </c>
      <c r="F492" s="47" t="n">
        <v>45769</v>
      </c>
      <c r="G492" s="46" t="n">
        <v>599</v>
      </c>
      <c r="H492" s="46" t="n">
        <v>599</v>
      </c>
      <c r="I492" s="46" t="n">
        <v>9</v>
      </c>
      <c r="J492" s="44" t="n">
        <v>12.36</v>
      </c>
      <c r="K492" s="43" t="inlineStr">
        <is>
          <t>Received</t>
        </is>
      </c>
      <c r="L492" s="17">
        <f>INDEX(Items!$C$2:$C$117,MATCH(B492,Items!$A$2:$A$117,0))</f>
        <v/>
      </c>
      <c r="M492" s="49">
        <f>INDEX(Items!$E$2:$E$117,MATCH(B492,Items!$A$2:$A$117,0))</f>
        <v/>
      </c>
      <c r="N492" s="17">
        <f>TEXT(D492,"yyyy-mm")</f>
        <v/>
      </c>
      <c r="O492" s="50">
        <f>G492*J492</f>
        <v/>
      </c>
      <c r="P492" s="50">
        <f>(J492-M492)*G492</f>
        <v/>
      </c>
      <c r="Q492" s="51">
        <f>IF(K492="Received",1,0)</f>
        <v/>
      </c>
      <c r="R492" s="51">
        <f>IF(Q492=1,F492-D492,0)</f>
        <v/>
      </c>
      <c r="S492" s="51">
        <f>IF(Q492=1,IF(F492&lt;=E492,1,0),0)</f>
        <v/>
      </c>
      <c r="T492" s="51">
        <f>IF(Q492=1,IF(H492&gt;=G492,1,0),0)</f>
        <v/>
      </c>
      <c r="U492" s="51">
        <f>S492*T492</f>
        <v/>
      </c>
      <c r="V492" s="51">
        <f>IF(Q492=1,MAX(0,F492-E492),0)</f>
        <v/>
      </c>
    </row>
    <row r="493">
      <c r="A493" s="43" t="inlineStr">
        <is>
          <t>PO101437</t>
        </is>
      </c>
      <c r="B493" s="43" t="inlineStr">
        <is>
          <t>CMD-0077</t>
        </is>
      </c>
      <c r="C493" s="43" t="inlineStr">
        <is>
          <t>S01</t>
        </is>
      </c>
      <c r="D493" s="47" t="n">
        <v>45727</v>
      </c>
      <c r="E493" s="47" t="n">
        <v>45741</v>
      </c>
      <c r="F493" s="47" t="n">
        <v>45740</v>
      </c>
      <c r="G493" s="46" t="n">
        <v>4393</v>
      </c>
      <c r="H493" s="46" t="n">
        <v>4393</v>
      </c>
      <c r="I493" s="46" t="n">
        <v>8</v>
      </c>
      <c r="J493" s="44" t="n">
        <v>8.75</v>
      </c>
      <c r="K493" s="43" t="inlineStr">
        <is>
          <t>Received</t>
        </is>
      </c>
      <c r="L493" s="17">
        <f>INDEX(Items!$C$2:$C$117,MATCH(B493,Items!$A$2:$A$117,0))</f>
        <v/>
      </c>
      <c r="M493" s="49">
        <f>INDEX(Items!$E$2:$E$117,MATCH(B493,Items!$A$2:$A$117,0))</f>
        <v/>
      </c>
      <c r="N493" s="17">
        <f>TEXT(D493,"yyyy-mm")</f>
        <v/>
      </c>
      <c r="O493" s="50">
        <f>G493*J493</f>
        <v/>
      </c>
      <c r="P493" s="50">
        <f>(J493-M493)*G493</f>
        <v/>
      </c>
      <c r="Q493" s="51">
        <f>IF(K493="Received",1,0)</f>
        <v/>
      </c>
      <c r="R493" s="51">
        <f>IF(Q493=1,F493-D493,0)</f>
        <v/>
      </c>
      <c r="S493" s="51">
        <f>IF(Q493=1,IF(F493&lt;=E493,1,0),0)</f>
        <v/>
      </c>
      <c r="T493" s="51">
        <f>IF(Q493=1,IF(H493&gt;=G493,1,0),0)</f>
        <v/>
      </c>
      <c r="U493" s="51">
        <f>S493*T493</f>
        <v/>
      </c>
      <c r="V493" s="51">
        <f>IF(Q493=1,MAX(0,F493-E493),0)</f>
        <v/>
      </c>
    </row>
    <row r="494">
      <c r="A494" s="43" t="inlineStr">
        <is>
          <t>PO100273</t>
        </is>
      </c>
      <c r="B494" s="43" t="inlineStr">
        <is>
          <t>CMD-0013</t>
        </is>
      </c>
      <c r="C494" s="43" t="inlineStr">
        <is>
          <t>S11</t>
        </is>
      </c>
      <c r="D494" s="47" t="n">
        <v>45727</v>
      </c>
      <c r="E494" s="47" t="n">
        <v>45846</v>
      </c>
      <c r="F494" s="47" t="n">
        <v>45843</v>
      </c>
      <c r="G494" s="46" t="n">
        <v>880</v>
      </c>
      <c r="H494" s="46" t="n">
        <v>880</v>
      </c>
      <c r="I494" s="46" t="n">
        <v>0</v>
      </c>
      <c r="J494" s="44" t="n">
        <v>6.75</v>
      </c>
      <c r="K494" s="43" t="inlineStr">
        <is>
          <t>Received</t>
        </is>
      </c>
      <c r="L494" s="17">
        <f>INDEX(Items!$C$2:$C$117,MATCH(B494,Items!$A$2:$A$117,0))</f>
        <v/>
      </c>
      <c r="M494" s="49">
        <f>INDEX(Items!$E$2:$E$117,MATCH(B494,Items!$A$2:$A$117,0))</f>
        <v/>
      </c>
      <c r="N494" s="17">
        <f>TEXT(D494,"yyyy-mm")</f>
        <v/>
      </c>
      <c r="O494" s="50">
        <f>G494*J494</f>
        <v/>
      </c>
      <c r="P494" s="50">
        <f>(J494-M494)*G494</f>
        <v/>
      </c>
      <c r="Q494" s="51">
        <f>IF(K494="Received",1,0)</f>
        <v/>
      </c>
      <c r="R494" s="51">
        <f>IF(Q494=1,F494-D494,0)</f>
        <v/>
      </c>
      <c r="S494" s="51">
        <f>IF(Q494=1,IF(F494&lt;=E494,1,0),0)</f>
        <v/>
      </c>
      <c r="T494" s="51">
        <f>IF(Q494=1,IF(H494&gt;=G494,1,0),0)</f>
        <v/>
      </c>
      <c r="U494" s="51">
        <f>S494*T494</f>
        <v/>
      </c>
      <c r="V494" s="51">
        <f>IF(Q494=1,MAX(0,F494-E494),0)</f>
        <v/>
      </c>
    </row>
    <row r="495">
      <c r="A495" s="43" t="inlineStr">
        <is>
          <t>PO100501</t>
        </is>
      </c>
      <c r="B495" s="43" t="inlineStr">
        <is>
          <t>CMD-0023</t>
        </is>
      </c>
      <c r="C495" s="43" t="inlineStr">
        <is>
          <t>S04</t>
        </is>
      </c>
      <c r="D495" s="47" t="n">
        <v>45727</v>
      </c>
      <c r="E495" s="47" t="n">
        <v>45797</v>
      </c>
      <c r="F495" s="47" t="n">
        <v>45797</v>
      </c>
      <c r="G495" s="46" t="n">
        <v>3513</v>
      </c>
      <c r="H495" s="46" t="n">
        <v>3513</v>
      </c>
      <c r="I495" s="46" t="n">
        <v>36</v>
      </c>
      <c r="J495" s="44" t="n">
        <v>8.800000000000001</v>
      </c>
      <c r="K495" s="43" t="inlineStr">
        <is>
          <t>Received</t>
        </is>
      </c>
      <c r="L495" s="17">
        <f>INDEX(Items!$C$2:$C$117,MATCH(B495,Items!$A$2:$A$117,0))</f>
        <v/>
      </c>
      <c r="M495" s="49">
        <f>INDEX(Items!$E$2:$E$117,MATCH(B495,Items!$A$2:$A$117,0))</f>
        <v/>
      </c>
      <c r="N495" s="17">
        <f>TEXT(D495,"yyyy-mm")</f>
        <v/>
      </c>
      <c r="O495" s="50">
        <f>G495*J495</f>
        <v/>
      </c>
      <c r="P495" s="50">
        <f>(J495-M495)*G495</f>
        <v/>
      </c>
      <c r="Q495" s="51">
        <f>IF(K495="Received",1,0)</f>
        <v/>
      </c>
      <c r="R495" s="51">
        <f>IF(Q495=1,F495-D495,0)</f>
        <v/>
      </c>
      <c r="S495" s="51">
        <f>IF(Q495=1,IF(F495&lt;=E495,1,0),0)</f>
        <v/>
      </c>
      <c r="T495" s="51">
        <f>IF(Q495=1,IF(H495&gt;=G495,1,0),0)</f>
        <v/>
      </c>
      <c r="U495" s="51">
        <f>S495*T495</f>
        <v/>
      </c>
      <c r="V495" s="51">
        <f>IF(Q495=1,MAX(0,F495-E495),0)</f>
        <v/>
      </c>
    </row>
    <row r="496">
      <c r="A496" s="43" t="inlineStr">
        <is>
          <t>PO100939</t>
        </is>
      </c>
      <c r="B496" s="43" t="inlineStr">
        <is>
          <t>CMD-0043</t>
        </is>
      </c>
      <c r="C496" s="43" t="inlineStr">
        <is>
          <t>S05</t>
        </is>
      </c>
      <c r="D496" s="47" t="n">
        <v>45727</v>
      </c>
      <c r="E496" s="47" t="n">
        <v>45832</v>
      </c>
      <c r="F496" s="47" t="n">
        <v>45832</v>
      </c>
      <c r="G496" s="46" t="n">
        <v>5996</v>
      </c>
      <c r="H496" s="46" t="n">
        <v>5996</v>
      </c>
      <c r="I496" s="46" t="n">
        <v>103</v>
      </c>
      <c r="J496" s="44" t="n">
        <v>3.69</v>
      </c>
      <c r="K496" s="43" t="inlineStr">
        <is>
          <t>Received</t>
        </is>
      </c>
      <c r="L496" s="17">
        <f>INDEX(Items!$C$2:$C$117,MATCH(B496,Items!$A$2:$A$117,0))</f>
        <v/>
      </c>
      <c r="M496" s="49">
        <f>INDEX(Items!$E$2:$E$117,MATCH(B496,Items!$A$2:$A$117,0))</f>
        <v/>
      </c>
      <c r="N496" s="17">
        <f>TEXT(D496,"yyyy-mm")</f>
        <v/>
      </c>
      <c r="O496" s="50">
        <f>G496*J496</f>
        <v/>
      </c>
      <c r="P496" s="50">
        <f>(J496-M496)*G496</f>
        <v/>
      </c>
      <c r="Q496" s="51">
        <f>IF(K496="Received",1,0)</f>
        <v/>
      </c>
      <c r="R496" s="51">
        <f>IF(Q496=1,F496-D496,0)</f>
        <v/>
      </c>
      <c r="S496" s="51">
        <f>IF(Q496=1,IF(F496&lt;=E496,1,0),0)</f>
        <v/>
      </c>
      <c r="T496" s="51">
        <f>IF(Q496=1,IF(H496&gt;=G496,1,0),0)</f>
        <v/>
      </c>
      <c r="U496" s="51">
        <f>S496*T496</f>
        <v/>
      </c>
      <c r="V496" s="51">
        <f>IF(Q496=1,MAX(0,F496-E496),0)</f>
        <v/>
      </c>
    </row>
    <row r="497">
      <c r="A497" s="43" t="inlineStr">
        <is>
          <t>PO101825</t>
        </is>
      </c>
      <c r="B497" s="43" t="inlineStr">
        <is>
          <t>CMD-0100</t>
        </is>
      </c>
      <c r="C497" s="43" t="inlineStr">
        <is>
          <t>S09</t>
        </is>
      </c>
      <c r="D497" s="47" t="n">
        <v>45727</v>
      </c>
      <c r="E497" s="47" t="n">
        <v>45748</v>
      </c>
      <c r="F497" s="47" t="n">
        <v>45749</v>
      </c>
      <c r="G497" s="46" t="n">
        <v>6882</v>
      </c>
      <c r="H497" s="46" t="n">
        <v>6882</v>
      </c>
      <c r="I497" s="46" t="n">
        <v>19</v>
      </c>
      <c r="J497" s="44" t="n">
        <v>4.94</v>
      </c>
      <c r="K497" s="43" t="inlineStr">
        <is>
          <t>Received</t>
        </is>
      </c>
      <c r="L497" s="17">
        <f>INDEX(Items!$C$2:$C$117,MATCH(B497,Items!$A$2:$A$117,0))</f>
        <v/>
      </c>
      <c r="M497" s="49">
        <f>INDEX(Items!$E$2:$E$117,MATCH(B497,Items!$A$2:$A$117,0))</f>
        <v/>
      </c>
      <c r="N497" s="17">
        <f>TEXT(D497,"yyyy-mm")</f>
        <v/>
      </c>
      <c r="O497" s="50">
        <f>G497*J497</f>
        <v/>
      </c>
      <c r="P497" s="50">
        <f>(J497-M497)*G497</f>
        <v/>
      </c>
      <c r="Q497" s="51">
        <f>IF(K497="Received",1,0)</f>
        <v/>
      </c>
      <c r="R497" s="51">
        <f>IF(Q497=1,F497-D497,0)</f>
        <v/>
      </c>
      <c r="S497" s="51">
        <f>IF(Q497=1,IF(F497&lt;=E497,1,0),0)</f>
        <v/>
      </c>
      <c r="T497" s="51">
        <f>IF(Q497=1,IF(H497&gt;=G497,1,0),0)</f>
        <v/>
      </c>
      <c r="U497" s="51">
        <f>S497*T497</f>
        <v/>
      </c>
      <c r="V497" s="51">
        <f>IF(Q497=1,MAX(0,F497-E497),0)</f>
        <v/>
      </c>
    </row>
    <row r="498">
      <c r="A498" s="43" t="inlineStr">
        <is>
          <t>PO100963</t>
        </is>
      </c>
      <c r="B498" s="43" t="inlineStr">
        <is>
          <t>CMD-0044</t>
        </is>
      </c>
      <c r="C498" s="43" t="inlineStr">
        <is>
          <t>S05</t>
        </is>
      </c>
      <c r="D498" s="47" t="n">
        <v>45728</v>
      </c>
      <c r="E498" s="47" t="n">
        <v>45833</v>
      </c>
      <c r="F498" s="47" t="n">
        <v>45840</v>
      </c>
      <c r="G498" s="46" t="n">
        <v>6899</v>
      </c>
      <c r="H498" s="46" t="n">
        <v>6899</v>
      </c>
      <c r="I498" s="46" t="n">
        <v>125</v>
      </c>
      <c r="J498" s="44" t="n">
        <v>11.57</v>
      </c>
      <c r="K498" s="43" t="inlineStr">
        <is>
          <t>Received</t>
        </is>
      </c>
      <c r="L498" s="17">
        <f>INDEX(Items!$C$2:$C$117,MATCH(B498,Items!$A$2:$A$117,0))</f>
        <v/>
      </c>
      <c r="M498" s="49">
        <f>INDEX(Items!$E$2:$E$117,MATCH(B498,Items!$A$2:$A$117,0))</f>
        <v/>
      </c>
      <c r="N498" s="17">
        <f>TEXT(D498,"yyyy-mm")</f>
        <v/>
      </c>
      <c r="O498" s="50">
        <f>G498*J498</f>
        <v/>
      </c>
      <c r="P498" s="50">
        <f>(J498-M498)*G498</f>
        <v/>
      </c>
      <c r="Q498" s="51">
        <f>IF(K498="Received",1,0)</f>
        <v/>
      </c>
      <c r="R498" s="51">
        <f>IF(Q498=1,F498-D498,0)</f>
        <v/>
      </c>
      <c r="S498" s="51">
        <f>IF(Q498=1,IF(F498&lt;=E498,1,0),0)</f>
        <v/>
      </c>
      <c r="T498" s="51">
        <f>IF(Q498=1,IF(H498&gt;=G498,1,0),0)</f>
        <v/>
      </c>
      <c r="U498" s="51">
        <f>S498*T498</f>
        <v/>
      </c>
      <c r="V498" s="51">
        <f>IF(Q498=1,MAX(0,F498-E498),0)</f>
        <v/>
      </c>
    </row>
    <row r="499">
      <c r="A499" s="43" t="inlineStr">
        <is>
          <t>PO100029</t>
        </is>
      </c>
      <c r="B499" s="43" t="inlineStr">
        <is>
          <t>CMD-0002</t>
        </is>
      </c>
      <c r="C499" s="43" t="inlineStr">
        <is>
          <t>S11</t>
        </is>
      </c>
      <c r="D499" s="47" t="n">
        <v>45728</v>
      </c>
      <c r="E499" s="47" t="n">
        <v>45847</v>
      </c>
      <c r="F499" s="47" t="n">
        <v>45847</v>
      </c>
      <c r="G499" s="46" t="n">
        <v>10176</v>
      </c>
      <c r="H499" s="46" t="n">
        <v>10176</v>
      </c>
      <c r="I499" s="46" t="n">
        <v>26</v>
      </c>
      <c r="J499" s="44" t="n">
        <v>6.85</v>
      </c>
      <c r="K499" s="43" t="inlineStr">
        <is>
          <t>Received</t>
        </is>
      </c>
      <c r="L499" s="17">
        <f>INDEX(Items!$C$2:$C$117,MATCH(B499,Items!$A$2:$A$117,0))</f>
        <v/>
      </c>
      <c r="M499" s="49">
        <f>INDEX(Items!$E$2:$E$117,MATCH(B499,Items!$A$2:$A$117,0))</f>
        <v/>
      </c>
      <c r="N499" s="17">
        <f>TEXT(D499,"yyyy-mm")</f>
        <v/>
      </c>
      <c r="O499" s="50">
        <f>G499*J499</f>
        <v/>
      </c>
      <c r="P499" s="50">
        <f>(J499-M499)*G499</f>
        <v/>
      </c>
      <c r="Q499" s="51">
        <f>IF(K499="Received",1,0)</f>
        <v/>
      </c>
      <c r="R499" s="51">
        <f>IF(Q499=1,F499-D499,0)</f>
        <v/>
      </c>
      <c r="S499" s="51">
        <f>IF(Q499=1,IF(F499&lt;=E499,1,0),0)</f>
        <v/>
      </c>
      <c r="T499" s="51">
        <f>IF(Q499=1,IF(H499&gt;=G499,1,0),0)</f>
        <v/>
      </c>
      <c r="U499" s="51">
        <f>S499*T499</f>
        <v/>
      </c>
      <c r="V499" s="51">
        <f>IF(Q499=1,MAX(0,F499-E499),0)</f>
        <v/>
      </c>
    </row>
    <row r="500">
      <c r="A500" s="43" t="inlineStr">
        <is>
          <t>PO101569</t>
        </is>
      </c>
      <c r="B500" s="43" t="inlineStr">
        <is>
          <t>CMD-0085</t>
        </is>
      </c>
      <c r="C500" s="43" t="inlineStr">
        <is>
          <t>S06</t>
        </is>
      </c>
      <c r="D500" s="47" t="n">
        <v>45728</v>
      </c>
      <c r="E500" s="47" t="n">
        <v>45749</v>
      </c>
      <c r="F500" s="47" t="n">
        <v>45749</v>
      </c>
      <c r="G500" s="46" t="n">
        <v>949</v>
      </c>
      <c r="H500" s="46" t="n">
        <v>949</v>
      </c>
      <c r="I500" s="46" t="n">
        <v>2</v>
      </c>
      <c r="J500" s="44" t="n">
        <v>10.56</v>
      </c>
      <c r="K500" s="43" t="inlineStr">
        <is>
          <t>Received</t>
        </is>
      </c>
      <c r="L500" s="17">
        <f>INDEX(Items!$C$2:$C$117,MATCH(B500,Items!$A$2:$A$117,0))</f>
        <v/>
      </c>
      <c r="M500" s="49">
        <f>INDEX(Items!$E$2:$E$117,MATCH(B500,Items!$A$2:$A$117,0))</f>
        <v/>
      </c>
      <c r="N500" s="17">
        <f>TEXT(D500,"yyyy-mm")</f>
        <v/>
      </c>
      <c r="O500" s="50">
        <f>G500*J500</f>
        <v/>
      </c>
      <c r="P500" s="50">
        <f>(J500-M500)*G500</f>
        <v/>
      </c>
      <c r="Q500" s="51">
        <f>IF(K500="Received",1,0)</f>
        <v/>
      </c>
      <c r="R500" s="51">
        <f>IF(Q500=1,F500-D500,0)</f>
        <v/>
      </c>
      <c r="S500" s="51">
        <f>IF(Q500=1,IF(F500&lt;=E500,1,0),0)</f>
        <v/>
      </c>
      <c r="T500" s="51">
        <f>IF(Q500=1,IF(H500&gt;=G500,1,0),0)</f>
        <v/>
      </c>
      <c r="U500" s="51">
        <f>S500*T500</f>
        <v/>
      </c>
      <c r="V500" s="51">
        <f>IF(Q500=1,MAX(0,F500-E500),0)</f>
        <v/>
      </c>
    </row>
    <row r="501">
      <c r="A501" s="43" t="inlineStr">
        <is>
          <t>PO100221</t>
        </is>
      </c>
      <c r="B501" s="43" t="inlineStr">
        <is>
          <t>CMD-0010</t>
        </is>
      </c>
      <c r="C501" s="43" t="inlineStr">
        <is>
          <t>S03</t>
        </is>
      </c>
      <c r="D501" s="47" t="n">
        <v>45729</v>
      </c>
      <c r="E501" s="47" t="n">
        <v>45862</v>
      </c>
      <c r="F501" s="47" t="n">
        <v>45877</v>
      </c>
      <c r="G501" s="46" t="n">
        <v>4735</v>
      </c>
      <c r="H501" s="46" t="n">
        <v>4735</v>
      </c>
      <c r="I501" s="46" t="n">
        <v>35</v>
      </c>
      <c r="J501" s="44" t="n">
        <v>4.63</v>
      </c>
      <c r="K501" s="43" t="inlineStr">
        <is>
          <t>Received</t>
        </is>
      </c>
      <c r="L501" s="17">
        <f>INDEX(Items!$C$2:$C$117,MATCH(B501,Items!$A$2:$A$117,0))</f>
        <v/>
      </c>
      <c r="M501" s="49">
        <f>INDEX(Items!$E$2:$E$117,MATCH(B501,Items!$A$2:$A$117,0))</f>
        <v/>
      </c>
      <c r="N501" s="17">
        <f>TEXT(D501,"yyyy-mm")</f>
        <v/>
      </c>
      <c r="O501" s="50">
        <f>G501*J501</f>
        <v/>
      </c>
      <c r="P501" s="50">
        <f>(J501-M501)*G501</f>
        <v/>
      </c>
      <c r="Q501" s="51">
        <f>IF(K501="Received",1,0)</f>
        <v/>
      </c>
      <c r="R501" s="51">
        <f>IF(Q501=1,F501-D501,0)</f>
        <v/>
      </c>
      <c r="S501" s="51">
        <f>IF(Q501=1,IF(F501&lt;=E501,1,0),0)</f>
        <v/>
      </c>
      <c r="T501" s="51">
        <f>IF(Q501=1,IF(H501&gt;=G501,1,0),0)</f>
        <v/>
      </c>
      <c r="U501" s="51">
        <f>S501*T501</f>
        <v/>
      </c>
      <c r="V501" s="51">
        <f>IF(Q501=1,MAX(0,F501-E501),0)</f>
        <v/>
      </c>
    </row>
    <row r="502">
      <c r="A502" s="43" t="inlineStr">
        <is>
          <t>PO101719</t>
        </is>
      </c>
      <c r="B502" s="43" t="inlineStr">
        <is>
          <t>CMD-0094</t>
        </is>
      </c>
      <c r="C502" s="43" t="inlineStr">
        <is>
          <t>S08</t>
        </is>
      </c>
      <c r="D502" s="47" t="n">
        <v>45729</v>
      </c>
      <c r="E502" s="47" t="n">
        <v>45806</v>
      </c>
      <c r="F502" s="47" t="n">
        <v>45806</v>
      </c>
      <c r="G502" s="46" t="n">
        <v>383</v>
      </c>
      <c r="H502" s="46" t="n">
        <v>383</v>
      </c>
      <c r="I502" s="46" t="n">
        <v>8</v>
      </c>
      <c r="J502" s="44" t="n">
        <v>74.09</v>
      </c>
      <c r="K502" s="43" t="inlineStr">
        <is>
          <t>Received</t>
        </is>
      </c>
      <c r="L502" s="17">
        <f>INDEX(Items!$C$2:$C$117,MATCH(B502,Items!$A$2:$A$117,0))</f>
        <v/>
      </c>
      <c r="M502" s="49">
        <f>INDEX(Items!$E$2:$E$117,MATCH(B502,Items!$A$2:$A$117,0))</f>
        <v/>
      </c>
      <c r="N502" s="17">
        <f>TEXT(D502,"yyyy-mm")</f>
        <v/>
      </c>
      <c r="O502" s="50">
        <f>G502*J502</f>
        <v/>
      </c>
      <c r="P502" s="50">
        <f>(J502-M502)*G502</f>
        <v/>
      </c>
      <c r="Q502" s="51">
        <f>IF(K502="Received",1,0)</f>
        <v/>
      </c>
      <c r="R502" s="51">
        <f>IF(Q502=1,F502-D502,0)</f>
        <v/>
      </c>
      <c r="S502" s="51">
        <f>IF(Q502=1,IF(F502&lt;=E502,1,0),0)</f>
        <v/>
      </c>
      <c r="T502" s="51">
        <f>IF(Q502=1,IF(H502&gt;=G502,1,0),0)</f>
        <v/>
      </c>
      <c r="U502" s="51">
        <f>S502*T502</f>
        <v/>
      </c>
      <c r="V502" s="51">
        <f>IF(Q502=1,MAX(0,F502-E502),0)</f>
        <v/>
      </c>
    </row>
    <row r="503">
      <c r="A503" s="43" t="inlineStr">
        <is>
          <t>PO101187</t>
        </is>
      </c>
      <c r="B503" s="43" t="inlineStr">
        <is>
          <t>CMD-0055</t>
        </is>
      </c>
      <c r="C503" s="43" t="inlineStr">
        <is>
          <t>S04</t>
        </is>
      </c>
      <c r="D503" s="47" t="n">
        <v>45729</v>
      </c>
      <c r="E503" s="47" t="n">
        <v>45764</v>
      </c>
      <c r="F503" s="47" t="n">
        <v>45785</v>
      </c>
      <c r="G503" s="46" t="n">
        <v>107228</v>
      </c>
      <c r="H503" s="46" t="n">
        <v>107228</v>
      </c>
      <c r="I503" s="46" t="n">
        <v>1085</v>
      </c>
      <c r="J503" s="44" t="n">
        <v>0.09379999999999999</v>
      </c>
      <c r="K503" s="43" t="inlineStr">
        <is>
          <t>Received</t>
        </is>
      </c>
      <c r="L503" s="17">
        <f>INDEX(Items!$C$2:$C$117,MATCH(B503,Items!$A$2:$A$117,0))</f>
        <v/>
      </c>
      <c r="M503" s="49">
        <f>INDEX(Items!$E$2:$E$117,MATCH(B503,Items!$A$2:$A$117,0))</f>
        <v/>
      </c>
      <c r="N503" s="17">
        <f>TEXT(D503,"yyyy-mm")</f>
        <v/>
      </c>
      <c r="O503" s="50">
        <f>G503*J503</f>
        <v/>
      </c>
      <c r="P503" s="50">
        <f>(J503-M503)*G503</f>
        <v/>
      </c>
      <c r="Q503" s="51">
        <f>IF(K503="Received",1,0)</f>
        <v/>
      </c>
      <c r="R503" s="51">
        <f>IF(Q503=1,F503-D503,0)</f>
        <v/>
      </c>
      <c r="S503" s="51">
        <f>IF(Q503=1,IF(F503&lt;=E503,1,0),0)</f>
        <v/>
      </c>
      <c r="T503" s="51">
        <f>IF(Q503=1,IF(H503&gt;=G503,1,0),0)</f>
        <v/>
      </c>
      <c r="U503" s="51">
        <f>S503*T503</f>
        <v/>
      </c>
      <c r="V503" s="51">
        <f>IF(Q503=1,MAX(0,F503-E503),0)</f>
        <v/>
      </c>
    </row>
    <row r="504">
      <c r="A504" s="43" t="inlineStr">
        <is>
          <t>PO101623</t>
        </is>
      </c>
      <c r="B504" s="43" t="inlineStr">
        <is>
          <t>CMD-0090</t>
        </is>
      </c>
      <c r="C504" s="43" t="inlineStr">
        <is>
          <t>S01</t>
        </is>
      </c>
      <c r="D504" s="47" t="n">
        <v>45729</v>
      </c>
      <c r="E504" s="47" t="n">
        <v>45743</v>
      </c>
      <c r="F504" s="47" t="n">
        <v>45740</v>
      </c>
      <c r="G504" s="46" t="n">
        <v>4084</v>
      </c>
      <c r="H504" s="46" t="n">
        <v>4084</v>
      </c>
      <c r="I504" s="46" t="n">
        <v>7</v>
      </c>
      <c r="J504" s="44" t="n">
        <v>6.99</v>
      </c>
      <c r="K504" s="43" t="inlineStr">
        <is>
          <t>Received</t>
        </is>
      </c>
      <c r="L504" s="17">
        <f>INDEX(Items!$C$2:$C$117,MATCH(B504,Items!$A$2:$A$117,0))</f>
        <v/>
      </c>
      <c r="M504" s="49">
        <f>INDEX(Items!$E$2:$E$117,MATCH(B504,Items!$A$2:$A$117,0))</f>
        <v/>
      </c>
      <c r="N504" s="17">
        <f>TEXT(D504,"yyyy-mm")</f>
        <v/>
      </c>
      <c r="O504" s="50">
        <f>G504*J504</f>
        <v/>
      </c>
      <c r="P504" s="50">
        <f>(J504-M504)*G504</f>
        <v/>
      </c>
      <c r="Q504" s="51">
        <f>IF(K504="Received",1,0)</f>
        <v/>
      </c>
      <c r="R504" s="51">
        <f>IF(Q504=1,F504-D504,0)</f>
        <v/>
      </c>
      <c r="S504" s="51">
        <f>IF(Q504=1,IF(F504&lt;=E504,1,0),0)</f>
        <v/>
      </c>
      <c r="T504" s="51">
        <f>IF(Q504=1,IF(H504&gt;=G504,1,0),0)</f>
        <v/>
      </c>
      <c r="U504" s="51">
        <f>S504*T504</f>
        <v/>
      </c>
      <c r="V504" s="51">
        <f>IF(Q504=1,MAX(0,F504-E504),0)</f>
        <v/>
      </c>
    </row>
    <row r="505">
      <c r="A505" s="43" t="inlineStr">
        <is>
          <t>PO101057</t>
        </is>
      </c>
      <c r="B505" s="43" t="inlineStr">
        <is>
          <t>CMD-0048</t>
        </is>
      </c>
      <c r="C505" s="43" t="inlineStr">
        <is>
          <t>S10</t>
        </is>
      </c>
      <c r="D505" s="47" t="n">
        <v>45729</v>
      </c>
      <c r="E505" s="47" t="n">
        <v>45757</v>
      </c>
      <c r="F505" s="47" t="n">
        <v>45755</v>
      </c>
      <c r="G505" s="46" t="n">
        <v>19084</v>
      </c>
      <c r="H505" s="46" t="n">
        <v>19084</v>
      </c>
      <c r="I505" s="46" t="n">
        <v>20</v>
      </c>
      <c r="J505" s="44" t="n">
        <v>0.3231</v>
      </c>
      <c r="K505" s="43" t="inlineStr">
        <is>
          <t>Received</t>
        </is>
      </c>
      <c r="L505" s="17">
        <f>INDEX(Items!$C$2:$C$117,MATCH(B505,Items!$A$2:$A$117,0))</f>
        <v/>
      </c>
      <c r="M505" s="49">
        <f>INDEX(Items!$E$2:$E$117,MATCH(B505,Items!$A$2:$A$117,0))</f>
        <v/>
      </c>
      <c r="N505" s="17">
        <f>TEXT(D505,"yyyy-mm")</f>
        <v/>
      </c>
      <c r="O505" s="50">
        <f>G505*J505</f>
        <v/>
      </c>
      <c r="P505" s="50">
        <f>(J505-M505)*G505</f>
        <v/>
      </c>
      <c r="Q505" s="51">
        <f>IF(K505="Received",1,0)</f>
        <v/>
      </c>
      <c r="R505" s="51">
        <f>IF(Q505=1,F505-D505,0)</f>
        <v/>
      </c>
      <c r="S505" s="51">
        <f>IF(Q505=1,IF(F505&lt;=E505,1,0),0)</f>
        <v/>
      </c>
      <c r="T505" s="51">
        <f>IF(Q505=1,IF(H505&gt;=G505,1,0),0)</f>
        <v/>
      </c>
      <c r="U505" s="51">
        <f>S505*T505</f>
        <v/>
      </c>
      <c r="V505" s="51">
        <f>IF(Q505=1,MAX(0,F505-E505),0)</f>
        <v/>
      </c>
    </row>
    <row r="506">
      <c r="A506" s="43" t="inlineStr">
        <is>
          <t>PO100053</t>
        </is>
      </c>
      <c r="B506" s="43" t="inlineStr">
        <is>
          <t>CMD-0003</t>
        </is>
      </c>
      <c r="C506" s="43" t="inlineStr">
        <is>
          <t>S11</t>
        </is>
      </c>
      <c r="D506" s="47" t="n">
        <v>45729</v>
      </c>
      <c r="E506" s="47" t="n">
        <v>45848</v>
      </c>
      <c r="F506" s="47" t="n">
        <v>45846</v>
      </c>
      <c r="G506" s="46" t="n">
        <v>8360</v>
      </c>
      <c r="H506" s="46" t="n">
        <v>8360</v>
      </c>
      <c r="I506" s="46" t="n">
        <v>16</v>
      </c>
      <c r="J506" s="44" t="n">
        <v>21.49</v>
      </c>
      <c r="K506" s="43" t="inlineStr">
        <is>
          <t>Received</t>
        </is>
      </c>
      <c r="L506" s="17">
        <f>INDEX(Items!$C$2:$C$117,MATCH(B506,Items!$A$2:$A$117,0))</f>
        <v/>
      </c>
      <c r="M506" s="49">
        <f>INDEX(Items!$E$2:$E$117,MATCH(B506,Items!$A$2:$A$117,0))</f>
        <v/>
      </c>
      <c r="N506" s="17">
        <f>TEXT(D506,"yyyy-mm")</f>
        <v/>
      </c>
      <c r="O506" s="50">
        <f>G506*J506</f>
        <v/>
      </c>
      <c r="P506" s="50">
        <f>(J506-M506)*G506</f>
        <v/>
      </c>
      <c r="Q506" s="51">
        <f>IF(K506="Received",1,0)</f>
        <v/>
      </c>
      <c r="R506" s="51">
        <f>IF(Q506=1,F506-D506,0)</f>
        <v/>
      </c>
      <c r="S506" s="51">
        <f>IF(Q506=1,IF(F506&lt;=E506,1,0),0)</f>
        <v/>
      </c>
      <c r="T506" s="51">
        <f>IF(Q506=1,IF(H506&gt;=G506,1,0),0)</f>
        <v/>
      </c>
      <c r="U506" s="51">
        <f>S506*T506</f>
        <v/>
      </c>
      <c r="V506" s="51">
        <f>IF(Q506=1,MAX(0,F506-E506),0)</f>
        <v/>
      </c>
    </row>
    <row r="507">
      <c r="A507" s="43" t="inlineStr">
        <is>
          <t>PO100669</t>
        </is>
      </c>
      <c r="B507" s="43" t="inlineStr">
        <is>
          <t>CMD-0030</t>
        </is>
      </c>
      <c r="C507" s="43" t="inlineStr">
        <is>
          <t>S11</t>
        </is>
      </c>
      <c r="D507" s="47" t="n">
        <v>45729</v>
      </c>
      <c r="E507" s="47" t="n">
        <v>45806</v>
      </c>
      <c r="F507" s="47" t="n">
        <v>45805</v>
      </c>
      <c r="G507" s="46" t="n">
        <v>7288</v>
      </c>
      <c r="H507" s="46" t="n">
        <v>7288</v>
      </c>
      <c r="I507" s="46" t="n">
        <v>21</v>
      </c>
      <c r="J507" s="44" t="n">
        <v>23.19</v>
      </c>
      <c r="K507" s="43" t="inlineStr">
        <is>
          <t>Received</t>
        </is>
      </c>
      <c r="L507" s="17">
        <f>INDEX(Items!$C$2:$C$117,MATCH(B507,Items!$A$2:$A$117,0))</f>
        <v/>
      </c>
      <c r="M507" s="49">
        <f>INDEX(Items!$E$2:$E$117,MATCH(B507,Items!$A$2:$A$117,0))</f>
        <v/>
      </c>
      <c r="N507" s="17">
        <f>TEXT(D507,"yyyy-mm")</f>
        <v/>
      </c>
      <c r="O507" s="50">
        <f>G507*J507</f>
        <v/>
      </c>
      <c r="P507" s="50">
        <f>(J507-M507)*G507</f>
        <v/>
      </c>
      <c r="Q507" s="51">
        <f>IF(K507="Received",1,0)</f>
        <v/>
      </c>
      <c r="R507" s="51">
        <f>IF(Q507=1,F507-D507,0)</f>
        <v/>
      </c>
      <c r="S507" s="51">
        <f>IF(Q507=1,IF(F507&lt;=E507,1,0),0)</f>
        <v/>
      </c>
      <c r="T507" s="51">
        <f>IF(Q507=1,IF(H507&gt;=G507,1,0),0)</f>
        <v/>
      </c>
      <c r="U507" s="51">
        <f>S507*T507</f>
        <v/>
      </c>
      <c r="V507" s="51">
        <f>IF(Q507=1,MAX(0,F507-E507),0)</f>
        <v/>
      </c>
    </row>
    <row r="508">
      <c r="A508" s="43" t="inlineStr">
        <is>
          <t>PO101921</t>
        </is>
      </c>
      <c r="B508" s="43" t="inlineStr">
        <is>
          <t>CMD-0106</t>
        </is>
      </c>
      <c r="C508" s="43" t="inlineStr">
        <is>
          <t>S09</t>
        </is>
      </c>
      <c r="D508" s="47" t="n">
        <v>45734</v>
      </c>
      <c r="E508" s="47" t="n">
        <v>45755</v>
      </c>
      <c r="F508" s="47" t="n">
        <v>45752</v>
      </c>
      <c r="G508" s="46" t="n">
        <v>541</v>
      </c>
      <c r="H508" s="46" t="n">
        <v>541</v>
      </c>
      <c r="I508" s="46" t="n">
        <v>0</v>
      </c>
      <c r="J508" s="44" t="n">
        <v>10.42</v>
      </c>
      <c r="K508" s="43" t="inlineStr">
        <is>
          <t>Received</t>
        </is>
      </c>
      <c r="L508" s="17">
        <f>INDEX(Items!$C$2:$C$117,MATCH(B508,Items!$A$2:$A$117,0))</f>
        <v/>
      </c>
      <c r="M508" s="49">
        <f>INDEX(Items!$E$2:$E$117,MATCH(B508,Items!$A$2:$A$117,0))</f>
        <v/>
      </c>
      <c r="N508" s="17">
        <f>TEXT(D508,"yyyy-mm")</f>
        <v/>
      </c>
      <c r="O508" s="50">
        <f>G508*J508</f>
        <v/>
      </c>
      <c r="P508" s="50">
        <f>(J508-M508)*G508</f>
        <v/>
      </c>
      <c r="Q508" s="51">
        <f>IF(K508="Received",1,0)</f>
        <v/>
      </c>
      <c r="R508" s="51">
        <f>IF(Q508=1,F508-D508,0)</f>
        <v/>
      </c>
      <c r="S508" s="51">
        <f>IF(Q508=1,IF(F508&lt;=E508,1,0),0)</f>
        <v/>
      </c>
      <c r="T508" s="51">
        <f>IF(Q508=1,IF(H508&gt;=G508,1,0),0)</f>
        <v/>
      </c>
      <c r="U508" s="51">
        <f>S508*T508</f>
        <v/>
      </c>
      <c r="V508" s="51">
        <f>IF(Q508=1,MAX(0,F508-E508),0)</f>
        <v/>
      </c>
    </row>
    <row r="509">
      <c r="A509" s="43" t="inlineStr">
        <is>
          <t>PO100692</t>
        </is>
      </c>
      <c r="B509" s="43" t="inlineStr">
        <is>
          <t>CMD-0031</t>
        </is>
      </c>
      <c r="C509" s="43" t="inlineStr">
        <is>
          <t>S01</t>
        </is>
      </c>
      <c r="D509" s="47" t="n">
        <v>45734</v>
      </c>
      <c r="E509" s="47" t="n">
        <v>45762</v>
      </c>
      <c r="F509" s="47" t="n">
        <v>45760</v>
      </c>
      <c r="G509" s="46" t="n">
        <v>627</v>
      </c>
      <c r="H509" s="46" t="n">
        <v>627</v>
      </c>
      <c r="I509" s="46" t="n">
        <v>2</v>
      </c>
      <c r="J509" s="44" t="n">
        <v>9.69</v>
      </c>
      <c r="K509" s="43" t="inlineStr">
        <is>
          <t>Received</t>
        </is>
      </c>
      <c r="L509" s="17">
        <f>INDEX(Items!$C$2:$C$117,MATCH(B509,Items!$A$2:$A$117,0))</f>
        <v/>
      </c>
      <c r="M509" s="49">
        <f>INDEX(Items!$E$2:$E$117,MATCH(B509,Items!$A$2:$A$117,0))</f>
        <v/>
      </c>
      <c r="N509" s="17">
        <f>TEXT(D509,"yyyy-mm")</f>
        <v/>
      </c>
      <c r="O509" s="50">
        <f>G509*J509</f>
        <v/>
      </c>
      <c r="P509" s="50">
        <f>(J509-M509)*G509</f>
        <v/>
      </c>
      <c r="Q509" s="51">
        <f>IF(K509="Received",1,0)</f>
        <v/>
      </c>
      <c r="R509" s="51">
        <f>IF(Q509=1,F509-D509,0)</f>
        <v/>
      </c>
      <c r="S509" s="51">
        <f>IF(Q509=1,IF(F509&lt;=E509,1,0),0)</f>
        <v/>
      </c>
      <c r="T509" s="51">
        <f>IF(Q509=1,IF(H509&gt;=G509,1,0),0)</f>
        <v/>
      </c>
      <c r="U509" s="51">
        <f>S509*T509</f>
        <v/>
      </c>
      <c r="V509" s="51">
        <f>IF(Q509=1,MAX(0,F509-E509),0)</f>
        <v/>
      </c>
    </row>
    <row r="510">
      <c r="A510" s="43" t="inlineStr">
        <is>
          <t>PO101255</t>
        </is>
      </c>
      <c r="B510" s="43" t="inlineStr">
        <is>
          <t>CMD-0059</t>
        </is>
      </c>
      <c r="C510" s="43" t="inlineStr">
        <is>
          <t>S01</t>
        </is>
      </c>
      <c r="D510" s="47" t="n">
        <v>45735</v>
      </c>
      <c r="E510" s="47" t="n">
        <v>45756</v>
      </c>
      <c r="F510" s="47" t="n">
        <v>45767</v>
      </c>
      <c r="G510" s="46" t="n">
        <v>206982</v>
      </c>
      <c r="H510" s="46" t="n">
        <v>206982</v>
      </c>
      <c r="I510" s="46" t="n">
        <v>441</v>
      </c>
      <c r="J510" s="44" t="n">
        <v>0.0281</v>
      </c>
      <c r="K510" s="43" t="inlineStr">
        <is>
          <t>Received</t>
        </is>
      </c>
      <c r="L510" s="17">
        <f>INDEX(Items!$C$2:$C$117,MATCH(B510,Items!$A$2:$A$117,0))</f>
        <v/>
      </c>
      <c r="M510" s="49">
        <f>INDEX(Items!$E$2:$E$117,MATCH(B510,Items!$A$2:$A$117,0))</f>
        <v/>
      </c>
      <c r="N510" s="17">
        <f>TEXT(D510,"yyyy-mm")</f>
        <v/>
      </c>
      <c r="O510" s="50">
        <f>G510*J510</f>
        <v/>
      </c>
      <c r="P510" s="50">
        <f>(J510-M510)*G510</f>
        <v/>
      </c>
      <c r="Q510" s="51">
        <f>IF(K510="Received",1,0)</f>
        <v/>
      </c>
      <c r="R510" s="51">
        <f>IF(Q510=1,F510-D510,0)</f>
        <v/>
      </c>
      <c r="S510" s="51">
        <f>IF(Q510=1,IF(F510&lt;=E510,1,0),0)</f>
        <v/>
      </c>
      <c r="T510" s="51">
        <f>IF(Q510=1,IF(H510&gt;=G510,1,0),0)</f>
        <v/>
      </c>
      <c r="U510" s="51">
        <f>S510*T510</f>
        <v/>
      </c>
      <c r="V510" s="51">
        <f>IF(Q510=1,MAX(0,F510-E510),0)</f>
        <v/>
      </c>
    </row>
    <row r="511">
      <c r="A511" s="43" t="inlineStr">
        <is>
          <t>PO101147</t>
        </is>
      </c>
      <c r="B511" s="43" t="inlineStr">
        <is>
          <t>CMD-0053</t>
        </is>
      </c>
      <c r="C511" s="43" t="inlineStr">
        <is>
          <t>S04</t>
        </is>
      </c>
      <c r="D511" s="47" t="n">
        <v>45737</v>
      </c>
      <c r="E511" s="47" t="n">
        <v>45772</v>
      </c>
      <c r="F511" s="47" t="n">
        <v>45772</v>
      </c>
      <c r="G511" s="46" t="n">
        <v>64698</v>
      </c>
      <c r="H511" s="46" t="n">
        <v>64698</v>
      </c>
      <c r="I511" s="46" t="n">
        <v>669</v>
      </c>
      <c r="J511" s="44" t="n">
        <v>0.0968</v>
      </c>
      <c r="K511" s="43" t="inlineStr">
        <is>
          <t>Received</t>
        </is>
      </c>
      <c r="L511" s="17">
        <f>INDEX(Items!$C$2:$C$117,MATCH(B511,Items!$A$2:$A$117,0))</f>
        <v/>
      </c>
      <c r="M511" s="49">
        <f>INDEX(Items!$E$2:$E$117,MATCH(B511,Items!$A$2:$A$117,0))</f>
        <v/>
      </c>
      <c r="N511" s="17">
        <f>TEXT(D511,"yyyy-mm")</f>
        <v/>
      </c>
      <c r="O511" s="50">
        <f>G511*J511</f>
        <v/>
      </c>
      <c r="P511" s="50">
        <f>(J511-M511)*G511</f>
        <v/>
      </c>
      <c r="Q511" s="51">
        <f>IF(K511="Received",1,0)</f>
        <v/>
      </c>
      <c r="R511" s="51">
        <f>IF(Q511=1,F511-D511,0)</f>
        <v/>
      </c>
      <c r="S511" s="51">
        <f>IF(Q511=1,IF(F511&lt;=E511,1,0),0)</f>
        <v/>
      </c>
      <c r="T511" s="51">
        <f>IF(Q511=1,IF(H511&gt;=G511,1,0),0)</f>
        <v/>
      </c>
      <c r="U511" s="51">
        <f>S511*T511</f>
        <v/>
      </c>
      <c r="V511" s="51">
        <f>IF(Q511=1,MAX(0,F511-E511),0)</f>
        <v/>
      </c>
    </row>
    <row r="512">
      <c r="A512" s="43" t="inlineStr">
        <is>
          <t>PO100458</t>
        </is>
      </c>
      <c r="B512" s="43" t="inlineStr">
        <is>
          <t>CMD-0021</t>
        </is>
      </c>
      <c r="C512" s="43" t="inlineStr">
        <is>
          <t>S04</t>
        </is>
      </c>
      <c r="D512" s="47" t="n">
        <v>45737</v>
      </c>
      <c r="E512" s="47" t="n">
        <v>45807</v>
      </c>
      <c r="F512" s="47" t="n">
        <v>45807</v>
      </c>
      <c r="G512" s="46" t="n">
        <v>1264</v>
      </c>
      <c r="H512" s="46" t="n">
        <v>1264</v>
      </c>
      <c r="I512" s="46" t="n">
        <v>13</v>
      </c>
      <c r="J512" s="44" t="n">
        <v>4.94</v>
      </c>
      <c r="K512" s="43" t="inlineStr">
        <is>
          <t>Received</t>
        </is>
      </c>
      <c r="L512" s="17">
        <f>INDEX(Items!$C$2:$C$117,MATCH(B512,Items!$A$2:$A$117,0))</f>
        <v/>
      </c>
      <c r="M512" s="49">
        <f>INDEX(Items!$E$2:$E$117,MATCH(B512,Items!$A$2:$A$117,0))</f>
        <v/>
      </c>
      <c r="N512" s="17">
        <f>TEXT(D512,"yyyy-mm")</f>
        <v/>
      </c>
      <c r="O512" s="50">
        <f>G512*J512</f>
        <v/>
      </c>
      <c r="P512" s="50">
        <f>(J512-M512)*G512</f>
        <v/>
      </c>
      <c r="Q512" s="51">
        <f>IF(K512="Received",1,0)</f>
        <v/>
      </c>
      <c r="R512" s="51">
        <f>IF(Q512=1,F512-D512,0)</f>
        <v/>
      </c>
      <c r="S512" s="51">
        <f>IF(Q512=1,IF(F512&lt;=E512,1,0),0)</f>
        <v/>
      </c>
      <c r="T512" s="51">
        <f>IF(Q512=1,IF(H512&gt;=G512,1,0),0)</f>
        <v/>
      </c>
      <c r="U512" s="51">
        <f>S512*T512</f>
        <v/>
      </c>
      <c r="V512" s="51">
        <f>IF(Q512=1,MAX(0,F512-E512),0)</f>
        <v/>
      </c>
    </row>
    <row r="513">
      <c r="A513" s="43" t="inlineStr">
        <is>
          <t>PO100416</t>
        </is>
      </c>
      <c r="B513" s="43" t="inlineStr">
        <is>
          <t>CMD-0019</t>
        </is>
      </c>
      <c r="C513" s="43" t="inlineStr">
        <is>
          <t>S11</t>
        </is>
      </c>
      <c r="D513" s="47" t="n">
        <v>45737</v>
      </c>
      <c r="E513" s="47" t="n">
        <v>45814</v>
      </c>
      <c r="F513" s="47" t="n">
        <v>45812</v>
      </c>
      <c r="G513" s="46" t="n">
        <v>977</v>
      </c>
      <c r="H513" s="46" t="n">
        <v>977</v>
      </c>
      <c r="I513" s="46" t="n">
        <v>6</v>
      </c>
      <c r="J513" s="44" t="n">
        <v>7.25</v>
      </c>
      <c r="K513" s="43" t="inlineStr">
        <is>
          <t>Received</t>
        </is>
      </c>
      <c r="L513" s="17">
        <f>INDEX(Items!$C$2:$C$117,MATCH(B513,Items!$A$2:$A$117,0))</f>
        <v/>
      </c>
      <c r="M513" s="49">
        <f>INDEX(Items!$E$2:$E$117,MATCH(B513,Items!$A$2:$A$117,0))</f>
        <v/>
      </c>
      <c r="N513" s="17">
        <f>TEXT(D513,"yyyy-mm")</f>
        <v/>
      </c>
      <c r="O513" s="50">
        <f>G513*J513</f>
        <v/>
      </c>
      <c r="P513" s="50">
        <f>(J513-M513)*G513</f>
        <v/>
      </c>
      <c r="Q513" s="51">
        <f>IF(K513="Received",1,0)</f>
        <v/>
      </c>
      <c r="R513" s="51">
        <f>IF(Q513=1,F513-D513,0)</f>
        <v/>
      </c>
      <c r="S513" s="51">
        <f>IF(Q513=1,IF(F513&lt;=E513,1,0),0)</f>
        <v/>
      </c>
      <c r="T513" s="51">
        <f>IF(Q513=1,IF(H513&gt;=G513,1,0),0)</f>
        <v/>
      </c>
      <c r="U513" s="51">
        <f>S513*T513</f>
        <v/>
      </c>
      <c r="V513" s="51">
        <f>IF(Q513=1,MAX(0,F513-E513),0)</f>
        <v/>
      </c>
    </row>
    <row r="514">
      <c r="A514" s="43" t="inlineStr">
        <is>
          <t>PO101109</t>
        </is>
      </c>
      <c r="B514" s="43" t="inlineStr">
        <is>
          <t>CMD-0051</t>
        </is>
      </c>
      <c r="C514" s="43" t="inlineStr">
        <is>
          <t>S01</t>
        </is>
      </c>
      <c r="D514" s="47" t="n">
        <v>45738</v>
      </c>
      <c r="E514" s="47" t="n">
        <v>45759</v>
      </c>
      <c r="F514" s="47" t="n">
        <v>45756</v>
      </c>
      <c r="G514" s="46" t="n">
        <v>186396</v>
      </c>
      <c r="H514" s="46" t="n">
        <v>186396</v>
      </c>
      <c r="I514" s="46" t="n">
        <v>350</v>
      </c>
      <c r="J514" s="44" t="n">
        <v>0.0236</v>
      </c>
      <c r="K514" s="43" t="inlineStr">
        <is>
          <t>Received</t>
        </is>
      </c>
      <c r="L514" s="17">
        <f>INDEX(Items!$C$2:$C$117,MATCH(B514,Items!$A$2:$A$117,0))</f>
        <v/>
      </c>
      <c r="M514" s="49">
        <f>INDEX(Items!$E$2:$E$117,MATCH(B514,Items!$A$2:$A$117,0))</f>
        <v/>
      </c>
      <c r="N514" s="17">
        <f>TEXT(D514,"yyyy-mm")</f>
        <v/>
      </c>
      <c r="O514" s="50">
        <f>G514*J514</f>
        <v/>
      </c>
      <c r="P514" s="50">
        <f>(J514-M514)*G514</f>
        <v/>
      </c>
      <c r="Q514" s="51">
        <f>IF(K514="Received",1,0)</f>
        <v/>
      </c>
      <c r="R514" s="51">
        <f>IF(Q514=1,F514-D514,0)</f>
        <v/>
      </c>
      <c r="S514" s="51">
        <f>IF(Q514=1,IF(F514&lt;=E514,1,0),0)</f>
        <v/>
      </c>
      <c r="T514" s="51">
        <f>IF(Q514=1,IF(H514&gt;=G514,1,0),0)</f>
        <v/>
      </c>
      <c r="U514" s="51">
        <f>S514*T514</f>
        <v/>
      </c>
      <c r="V514" s="51">
        <f>IF(Q514=1,MAX(0,F514-E514),0)</f>
        <v/>
      </c>
    </row>
    <row r="515">
      <c r="A515" s="43" t="inlineStr">
        <is>
          <t>PO101209</t>
        </is>
      </c>
      <c r="B515" s="43" t="inlineStr">
        <is>
          <t>CMD-0056</t>
        </is>
      </c>
      <c r="C515" s="43" t="inlineStr">
        <is>
          <t>S04</t>
        </is>
      </c>
      <c r="D515" s="47" t="n">
        <v>45738</v>
      </c>
      <c r="E515" s="47" t="n">
        <v>45773</v>
      </c>
      <c r="F515" s="47" t="n">
        <v>45771</v>
      </c>
      <c r="G515" s="46" t="n">
        <v>60891</v>
      </c>
      <c r="H515" s="46" t="n">
        <v>60891</v>
      </c>
      <c r="I515" s="46" t="n">
        <v>604</v>
      </c>
      <c r="J515" s="44" t="n">
        <v>0.1015</v>
      </c>
      <c r="K515" s="43" t="inlineStr">
        <is>
          <t>Received</t>
        </is>
      </c>
      <c r="L515" s="17">
        <f>INDEX(Items!$C$2:$C$117,MATCH(B515,Items!$A$2:$A$117,0))</f>
        <v/>
      </c>
      <c r="M515" s="49">
        <f>INDEX(Items!$E$2:$E$117,MATCH(B515,Items!$A$2:$A$117,0))</f>
        <v/>
      </c>
      <c r="N515" s="17">
        <f>TEXT(D515,"yyyy-mm")</f>
        <v/>
      </c>
      <c r="O515" s="50">
        <f>G515*J515</f>
        <v/>
      </c>
      <c r="P515" s="50">
        <f>(J515-M515)*G515</f>
        <v/>
      </c>
      <c r="Q515" s="51">
        <f>IF(K515="Received",1,0)</f>
        <v/>
      </c>
      <c r="R515" s="51">
        <f>IF(Q515=1,F515-D515,0)</f>
        <v/>
      </c>
      <c r="S515" s="51">
        <f>IF(Q515=1,IF(F515&lt;=E515,1,0),0)</f>
        <v/>
      </c>
      <c r="T515" s="51">
        <f>IF(Q515=1,IF(H515&gt;=G515,1,0),0)</f>
        <v/>
      </c>
      <c r="U515" s="51">
        <f>S515*T515</f>
        <v/>
      </c>
      <c r="V515" s="51">
        <f>IF(Q515=1,MAX(0,F515-E515),0)</f>
        <v/>
      </c>
    </row>
    <row r="516">
      <c r="A516" s="43" t="inlineStr">
        <is>
          <t>PO101035</t>
        </is>
      </c>
      <c r="B516" s="43" t="inlineStr">
        <is>
          <t>CMD-0047</t>
        </is>
      </c>
      <c r="C516" s="43" t="inlineStr">
        <is>
          <t>S04</t>
        </is>
      </c>
      <c r="D516" s="47" t="n">
        <v>45739</v>
      </c>
      <c r="E516" s="47" t="n">
        <v>45774</v>
      </c>
      <c r="F516" s="47" t="n">
        <v>45773</v>
      </c>
      <c r="G516" s="46" t="n">
        <v>21307</v>
      </c>
      <c r="H516" s="46" t="n">
        <v>21307</v>
      </c>
      <c r="I516" s="46" t="n">
        <v>216</v>
      </c>
      <c r="J516" s="44" t="n">
        <v>0.296</v>
      </c>
      <c r="K516" s="43" t="inlineStr">
        <is>
          <t>Received</t>
        </is>
      </c>
      <c r="L516" s="17">
        <f>INDEX(Items!$C$2:$C$117,MATCH(B516,Items!$A$2:$A$117,0))</f>
        <v/>
      </c>
      <c r="M516" s="49">
        <f>INDEX(Items!$E$2:$E$117,MATCH(B516,Items!$A$2:$A$117,0))</f>
        <v/>
      </c>
      <c r="N516" s="17">
        <f>TEXT(D516,"yyyy-mm")</f>
        <v/>
      </c>
      <c r="O516" s="50">
        <f>G516*J516</f>
        <v/>
      </c>
      <c r="P516" s="50">
        <f>(J516-M516)*G516</f>
        <v/>
      </c>
      <c r="Q516" s="51">
        <f>IF(K516="Received",1,0)</f>
        <v/>
      </c>
      <c r="R516" s="51">
        <f>IF(Q516=1,F516-D516,0)</f>
        <v/>
      </c>
      <c r="S516" s="51">
        <f>IF(Q516=1,IF(F516&lt;=E516,1,0),0)</f>
        <v/>
      </c>
      <c r="T516" s="51">
        <f>IF(Q516=1,IF(H516&gt;=G516,1,0),0)</f>
        <v/>
      </c>
      <c r="U516" s="51">
        <f>S516*T516</f>
        <v/>
      </c>
      <c r="V516" s="51">
        <f>IF(Q516=1,MAX(0,F516-E516),0)</f>
        <v/>
      </c>
    </row>
    <row r="517">
      <c r="A517" s="43" t="inlineStr">
        <is>
          <t>PO101604</t>
        </is>
      </c>
      <c r="B517" s="43" t="inlineStr">
        <is>
          <t>CMD-0089</t>
        </is>
      </c>
      <c r="C517" s="43" t="inlineStr">
        <is>
          <t>S01</t>
        </is>
      </c>
      <c r="D517" s="47" t="n">
        <v>45741</v>
      </c>
      <c r="E517" s="47" t="n">
        <v>45755</v>
      </c>
      <c r="F517" s="47" t="n">
        <v>45753</v>
      </c>
      <c r="G517" s="46" t="n">
        <v>517</v>
      </c>
      <c r="H517" s="46" t="n">
        <v>517</v>
      </c>
      <c r="I517" s="46" t="n">
        <v>0</v>
      </c>
      <c r="J517" s="44" t="n">
        <v>9.49</v>
      </c>
      <c r="K517" s="43" t="inlineStr">
        <is>
          <t>Received</t>
        </is>
      </c>
      <c r="L517" s="17">
        <f>INDEX(Items!$C$2:$C$117,MATCH(B517,Items!$A$2:$A$117,0))</f>
        <v/>
      </c>
      <c r="M517" s="49">
        <f>INDEX(Items!$E$2:$E$117,MATCH(B517,Items!$A$2:$A$117,0))</f>
        <v/>
      </c>
      <c r="N517" s="17">
        <f>TEXT(D517,"yyyy-mm")</f>
        <v/>
      </c>
      <c r="O517" s="50">
        <f>G517*J517</f>
        <v/>
      </c>
      <c r="P517" s="50">
        <f>(J517-M517)*G517</f>
        <v/>
      </c>
      <c r="Q517" s="51">
        <f>IF(K517="Received",1,0)</f>
        <v/>
      </c>
      <c r="R517" s="51">
        <f>IF(Q517=1,F517-D517,0)</f>
        <v/>
      </c>
      <c r="S517" s="51">
        <f>IF(Q517=1,IF(F517&lt;=E517,1,0),0)</f>
        <v/>
      </c>
      <c r="T517" s="51">
        <f>IF(Q517=1,IF(H517&gt;=G517,1,0),0)</f>
        <v/>
      </c>
      <c r="U517" s="51">
        <f>S517*T517</f>
        <v/>
      </c>
      <c r="V517" s="51">
        <f>IF(Q517=1,MAX(0,F517-E517),0)</f>
        <v/>
      </c>
    </row>
    <row r="518">
      <c r="A518" s="43" t="inlineStr">
        <is>
          <t>PO101370</t>
        </is>
      </c>
      <c r="B518" s="43" t="inlineStr">
        <is>
          <t>CMD-0070</t>
        </is>
      </c>
      <c r="C518" s="43" t="inlineStr">
        <is>
          <t>S04</t>
        </is>
      </c>
      <c r="D518" s="47" t="n">
        <v>45742</v>
      </c>
      <c r="E518" s="47" t="n">
        <v>45777</v>
      </c>
      <c r="F518" s="47" t="n">
        <v>45780</v>
      </c>
      <c r="G518" s="46" t="n">
        <v>46773</v>
      </c>
      <c r="H518" s="46" t="n">
        <v>46773</v>
      </c>
      <c r="I518" s="46" t="n">
        <v>470</v>
      </c>
      <c r="J518" s="44" t="n">
        <v>0.141</v>
      </c>
      <c r="K518" s="43" t="inlineStr">
        <is>
          <t>Received</t>
        </is>
      </c>
      <c r="L518" s="17">
        <f>INDEX(Items!$C$2:$C$117,MATCH(B518,Items!$A$2:$A$117,0))</f>
        <v/>
      </c>
      <c r="M518" s="49">
        <f>INDEX(Items!$E$2:$E$117,MATCH(B518,Items!$A$2:$A$117,0))</f>
        <v/>
      </c>
      <c r="N518" s="17">
        <f>TEXT(D518,"yyyy-mm")</f>
        <v/>
      </c>
      <c r="O518" s="50">
        <f>G518*J518</f>
        <v/>
      </c>
      <c r="P518" s="50">
        <f>(J518-M518)*G518</f>
        <v/>
      </c>
      <c r="Q518" s="51">
        <f>IF(K518="Received",1,0)</f>
        <v/>
      </c>
      <c r="R518" s="51">
        <f>IF(Q518=1,F518-D518,0)</f>
        <v/>
      </c>
      <c r="S518" s="51">
        <f>IF(Q518=1,IF(F518&lt;=E518,1,0),0)</f>
        <v/>
      </c>
      <c r="T518" s="51">
        <f>IF(Q518=1,IF(H518&gt;=G518,1,0),0)</f>
        <v/>
      </c>
      <c r="U518" s="51">
        <f>S518*T518</f>
        <v/>
      </c>
      <c r="V518" s="51">
        <f>IF(Q518=1,MAX(0,F518-E518),0)</f>
        <v/>
      </c>
    </row>
    <row r="519">
      <c r="A519" s="43" t="inlineStr">
        <is>
          <t>PO101790</t>
        </is>
      </c>
      <c r="B519" s="43" t="inlineStr">
        <is>
          <t>CMD-0097</t>
        </is>
      </c>
      <c r="C519" s="43" t="inlineStr">
        <is>
          <t>S09</t>
        </is>
      </c>
      <c r="D519" s="47" t="n">
        <v>45742</v>
      </c>
      <c r="E519" s="47" t="n">
        <v>45763</v>
      </c>
      <c r="F519" s="47" t="n">
        <v>45763</v>
      </c>
      <c r="G519" s="46" t="n">
        <v>588</v>
      </c>
      <c r="H519" s="46" t="n">
        <v>588</v>
      </c>
      <c r="I519" s="46" t="n">
        <v>3</v>
      </c>
      <c r="J519" s="44" t="n">
        <v>9.27</v>
      </c>
      <c r="K519" s="43" t="inlineStr">
        <is>
          <t>Received</t>
        </is>
      </c>
      <c r="L519" s="17">
        <f>INDEX(Items!$C$2:$C$117,MATCH(B519,Items!$A$2:$A$117,0))</f>
        <v/>
      </c>
      <c r="M519" s="49">
        <f>INDEX(Items!$E$2:$E$117,MATCH(B519,Items!$A$2:$A$117,0))</f>
        <v/>
      </c>
      <c r="N519" s="17">
        <f>TEXT(D519,"yyyy-mm")</f>
        <v/>
      </c>
      <c r="O519" s="50">
        <f>G519*J519</f>
        <v/>
      </c>
      <c r="P519" s="50">
        <f>(J519-M519)*G519</f>
        <v/>
      </c>
      <c r="Q519" s="51">
        <f>IF(K519="Received",1,0)</f>
        <v/>
      </c>
      <c r="R519" s="51">
        <f>IF(Q519=1,F519-D519,0)</f>
        <v/>
      </c>
      <c r="S519" s="51">
        <f>IF(Q519=1,IF(F519&lt;=E519,1,0),0)</f>
        <v/>
      </c>
      <c r="T519" s="51">
        <f>IF(Q519=1,IF(H519&gt;=G519,1,0),0)</f>
        <v/>
      </c>
      <c r="U519" s="51">
        <f>S519*T519</f>
        <v/>
      </c>
      <c r="V519" s="51">
        <f>IF(Q519=1,MAX(0,F519-E519),0)</f>
        <v/>
      </c>
    </row>
    <row r="520">
      <c r="A520" s="43" t="inlineStr">
        <is>
          <t>PO100198</t>
        </is>
      </c>
      <c r="B520" s="43" t="inlineStr">
        <is>
          <t>CMD-0009</t>
        </is>
      </c>
      <c r="C520" s="43" t="inlineStr">
        <is>
          <t>S11</t>
        </is>
      </c>
      <c r="D520" s="47" t="n">
        <v>45752</v>
      </c>
      <c r="E520" s="47" t="n">
        <v>45871</v>
      </c>
      <c r="F520" s="47" t="n">
        <v>45869</v>
      </c>
      <c r="G520" s="46" t="n">
        <v>6106</v>
      </c>
      <c r="H520" s="46" t="n">
        <v>6106</v>
      </c>
      <c r="I520" s="46" t="n">
        <v>19</v>
      </c>
      <c r="J520" s="44" t="n">
        <v>6.29</v>
      </c>
      <c r="K520" s="43" t="inlineStr">
        <is>
          <t>Received</t>
        </is>
      </c>
      <c r="L520" s="17">
        <f>INDEX(Items!$C$2:$C$117,MATCH(B520,Items!$A$2:$A$117,0))</f>
        <v/>
      </c>
      <c r="M520" s="49">
        <f>INDEX(Items!$E$2:$E$117,MATCH(B520,Items!$A$2:$A$117,0))</f>
        <v/>
      </c>
      <c r="N520" s="17">
        <f>TEXT(D520,"yyyy-mm")</f>
        <v/>
      </c>
      <c r="O520" s="50">
        <f>G520*J520</f>
        <v/>
      </c>
      <c r="P520" s="50">
        <f>(J520-M520)*G520</f>
        <v/>
      </c>
      <c r="Q520" s="51">
        <f>IF(K520="Received",1,0)</f>
        <v/>
      </c>
      <c r="R520" s="51">
        <f>IF(Q520=1,F520-D520,0)</f>
        <v/>
      </c>
      <c r="S520" s="51">
        <f>IF(Q520=1,IF(F520&lt;=E520,1,0),0)</f>
        <v/>
      </c>
      <c r="T520" s="51">
        <f>IF(Q520=1,IF(H520&gt;=G520,1,0),0)</f>
        <v/>
      </c>
      <c r="U520" s="51">
        <f>S520*T520</f>
        <v/>
      </c>
      <c r="V520" s="51">
        <f>IF(Q520=1,MAX(0,F520-E520),0)</f>
        <v/>
      </c>
    </row>
    <row r="521">
      <c r="A521" s="43" t="inlineStr">
        <is>
          <t>PO100346</t>
        </is>
      </c>
      <c r="B521" s="43" t="inlineStr">
        <is>
          <t>CMD-0016</t>
        </is>
      </c>
      <c r="C521" s="43" t="inlineStr">
        <is>
          <t>S07</t>
        </is>
      </c>
      <c r="D521" s="47" t="n">
        <v>45752</v>
      </c>
      <c r="E521" s="47" t="n">
        <v>45843</v>
      </c>
      <c r="F521" s="47" t="n">
        <v>45843</v>
      </c>
      <c r="G521" s="46" t="n">
        <v>9044</v>
      </c>
      <c r="H521" s="46" t="n">
        <v>9044</v>
      </c>
      <c r="I521" s="46" t="n">
        <v>83</v>
      </c>
      <c r="J521" s="44" t="n">
        <v>27.02</v>
      </c>
      <c r="K521" s="43" t="inlineStr">
        <is>
          <t>Received</t>
        </is>
      </c>
      <c r="L521" s="17">
        <f>INDEX(Items!$C$2:$C$117,MATCH(B521,Items!$A$2:$A$117,0))</f>
        <v/>
      </c>
      <c r="M521" s="49">
        <f>INDEX(Items!$E$2:$E$117,MATCH(B521,Items!$A$2:$A$117,0))</f>
        <v/>
      </c>
      <c r="N521" s="17">
        <f>TEXT(D521,"yyyy-mm")</f>
        <v/>
      </c>
      <c r="O521" s="50">
        <f>G521*J521</f>
        <v/>
      </c>
      <c r="P521" s="50">
        <f>(J521-M521)*G521</f>
        <v/>
      </c>
      <c r="Q521" s="51">
        <f>IF(K521="Received",1,0)</f>
        <v/>
      </c>
      <c r="R521" s="51">
        <f>IF(Q521=1,F521-D521,0)</f>
        <v/>
      </c>
      <c r="S521" s="51">
        <f>IF(Q521=1,IF(F521&lt;=E521,1,0),0)</f>
        <v/>
      </c>
      <c r="T521" s="51">
        <f>IF(Q521=1,IF(H521&gt;=G521,1,0),0)</f>
        <v/>
      </c>
      <c r="U521" s="51">
        <f>S521*T521</f>
        <v/>
      </c>
      <c r="V521" s="51">
        <f>IF(Q521=1,MAX(0,F521-E521),0)</f>
        <v/>
      </c>
    </row>
    <row r="522">
      <c r="A522" s="43" t="inlineStr">
        <is>
          <t>PO100126</t>
        </is>
      </c>
      <c r="B522" s="43" t="inlineStr">
        <is>
          <t>CMD-0006</t>
        </is>
      </c>
      <c r="C522" s="43" t="inlineStr">
        <is>
          <t>S03</t>
        </is>
      </c>
      <c r="D522" s="47" t="n">
        <v>45752</v>
      </c>
      <c r="E522" s="47" t="n">
        <v>45885</v>
      </c>
      <c r="F522" s="47" t="n">
        <v>45885</v>
      </c>
      <c r="G522" s="46" t="n">
        <v>908</v>
      </c>
      <c r="H522" s="46" t="n">
        <v>832</v>
      </c>
      <c r="I522" s="46" t="n">
        <v>2</v>
      </c>
      <c r="J522" s="44" t="n">
        <v>30.55</v>
      </c>
      <c r="K522" s="43" t="inlineStr">
        <is>
          <t>Received</t>
        </is>
      </c>
      <c r="L522" s="17">
        <f>INDEX(Items!$C$2:$C$117,MATCH(B522,Items!$A$2:$A$117,0))</f>
        <v/>
      </c>
      <c r="M522" s="49">
        <f>INDEX(Items!$E$2:$E$117,MATCH(B522,Items!$A$2:$A$117,0))</f>
        <v/>
      </c>
      <c r="N522" s="17">
        <f>TEXT(D522,"yyyy-mm")</f>
        <v/>
      </c>
      <c r="O522" s="50">
        <f>G522*J522</f>
        <v/>
      </c>
      <c r="P522" s="50">
        <f>(J522-M522)*G522</f>
        <v/>
      </c>
      <c r="Q522" s="51">
        <f>IF(K522="Received",1,0)</f>
        <v/>
      </c>
      <c r="R522" s="51">
        <f>IF(Q522=1,F522-D522,0)</f>
        <v/>
      </c>
      <c r="S522" s="51">
        <f>IF(Q522=1,IF(F522&lt;=E522,1,0),0)</f>
        <v/>
      </c>
      <c r="T522" s="51">
        <f>IF(Q522=1,IF(H522&gt;=G522,1,0),0)</f>
        <v/>
      </c>
      <c r="U522" s="51">
        <f>S522*T522</f>
        <v/>
      </c>
      <c r="V522" s="51">
        <f>IF(Q522=1,MAX(0,F522-E522),0)</f>
        <v/>
      </c>
    </row>
    <row r="523">
      <c r="A523" s="43" t="inlineStr">
        <is>
          <t>PO100646</t>
        </is>
      </c>
      <c r="B523" s="43" t="inlineStr">
        <is>
          <t>CMD-0029</t>
        </is>
      </c>
      <c r="C523" s="43" t="inlineStr">
        <is>
          <t>S11</t>
        </is>
      </c>
      <c r="D523" s="47" t="n">
        <v>45752</v>
      </c>
      <c r="E523" s="47" t="n">
        <v>45829</v>
      </c>
      <c r="F523" s="47" t="n">
        <v>45834</v>
      </c>
      <c r="G523" s="46" t="n">
        <v>3903</v>
      </c>
      <c r="H523" s="46" t="n">
        <v>3903</v>
      </c>
      <c r="I523" s="46" t="n">
        <v>10</v>
      </c>
      <c r="J523" s="44" t="n">
        <v>6.87</v>
      </c>
      <c r="K523" s="43" t="inlineStr">
        <is>
          <t>Received</t>
        </is>
      </c>
      <c r="L523" s="17">
        <f>INDEX(Items!$C$2:$C$117,MATCH(B523,Items!$A$2:$A$117,0))</f>
        <v/>
      </c>
      <c r="M523" s="49">
        <f>INDEX(Items!$E$2:$E$117,MATCH(B523,Items!$A$2:$A$117,0))</f>
        <v/>
      </c>
      <c r="N523" s="17">
        <f>TEXT(D523,"yyyy-mm")</f>
        <v/>
      </c>
      <c r="O523" s="50">
        <f>G523*J523</f>
        <v/>
      </c>
      <c r="P523" s="50">
        <f>(J523-M523)*G523</f>
        <v/>
      </c>
      <c r="Q523" s="51">
        <f>IF(K523="Received",1,0)</f>
        <v/>
      </c>
      <c r="R523" s="51">
        <f>IF(Q523=1,F523-D523,0)</f>
        <v/>
      </c>
      <c r="S523" s="51">
        <f>IF(Q523=1,IF(F523&lt;=E523,1,0),0)</f>
        <v/>
      </c>
      <c r="T523" s="51">
        <f>IF(Q523=1,IF(H523&gt;=G523,1,0),0)</f>
        <v/>
      </c>
      <c r="U523" s="51">
        <f>S523*T523</f>
        <v/>
      </c>
      <c r="V523" s="51">
        <f>IF(Q523=1,MAX(0,F523-E523),0)</f>
        <v/>
      </c>
    </row>
    <row r="524">
      <c r="A524" s="43" t="inlineStr">
        <is>
          <t>PO101402</t>
        </is>
      </c>
      <c r="B524" s="43" t="inlineStr">
        <is>
          <t>CMD-0074</t>
        </is>
      </c>
      <c r="C524" s="43" t="inlineStr">
        <is>
          <t>S10</t>
        </is>
      </c>
      <c r="D524" s="47" t="n">
        <v>45752</v>
      </c>
      <c r="E524" s="47" t="n">
        <v>45780</v>
      </c>
      <c r="F524" s="47" t="n">
        <v>45779</v>
      </c>
      <c r="G524" s="46" t="n">
        <v>62243</v>
      </c>
      <c r="H524" s="46" t="n">
        <v>62243</v>
      </c>
      <c r="I524" s="46" t="n">
        <v>63</v>
      </c>
      <c r="J524" s="44" t="n">
        <v>0.3496</v>
      </c>
      <c r="K524" s="43" t="inlineStr">
        <is>
          <t>Received</t>
        </is>
      </c>
      <c r="L524" s="17">
        <f>INDEX(Items!$C$2:$C$117,MATCH(B524,Items!$A$2:$A$117,0))</f>
        <v/>
      </c>
      <c r="M524" s="49">
        <f>INDEX(Items!$E$2:$E$117,MATCH(B524,Items!$A$2:$A$117,0))</f>
        <v/>
      </c>
      <c r="N524" s="17">
        <f>TEXT(D524,"yyyy-mm")</f>
        <v/>
      </c>
      <c r="O524" s="50">
        <f>G524*J524</f>
        <v/>
      </c>
      <c r="P524" s="50">
        <f>(J524-M524)*G524</f>
        <v/>
      </c>
      <c r="Q524" s="51">
        <f>IF(K524="Received",1,0)</f>
        <v/>
      </c>
      <c r="R524" s="51">
        <f>IF(Q524=1,F524-D524,0)</f>
        <v/>
      </c>
      <c r="S524" s="51">
        <f>IF(Q524=1,IF(F524&lt;=E524,1,0),0)</f>
        <v/>
      </c>
      <c r="T524" s="51">
        <f>IF(Q524=1,IF(H524&gt;=G524,1,0),0)</f>
        <v/>
      </c>
      <c r="U524" s="51">
        <f>S524*T524</f>
        <v/>
      </c>
      <c r="V524" s="51">
        <f>IF(Q524=1,MAX(0,F524-E524),0)</f>
        <v/>
      </c>
    </row>
    <row r="525">
      <c r="A525" s="43" t="inlineStr">
        <is>
          <t>PO100436</t>
        </is>
      </c>
      <c r="B525" s="43" t="inlineStr">
        <is>
          <t>CMD-0020</t>
        </is>
      </c>
      <c r="C525" s="43" t="inlineStr">
        <is>
          <t>S04</t>
        </is>
      </c>
      <c r="D525" s="47" t="n">
        <v>45752</v>
      </c>
      <c r="E525" s="47" t="n">
        <v>45822</v>
      </c>
      <c r="F525" s="47" t="n">
        <v>45821</v>
      </c>
      <c r="G525" s="46" t="n">
        <v>4048</v>
      </c>
      <c r="H525" s="46" t="n">
        <v>4048</v>
      </c>
      <c r="I525" s="46" t="n">
        <v>52</v>
      </c>
      <c r="J525" s="44" t="n">
        <v>5.03</v>
      </c>
      <c r="K525" s="43" t="inlineStr">
        <is>
          <t>Received</t>
        </is>
      </c>
      <c r="L525" s="17">
        <f>INDEX(Items!$C$2:$C$117,MATCH(B525,Items!$A$2:$A$117,0))</f>
        <v/>
      </c>
      <c r="M525" s="49">
        <f>INDEX(Items!$E$2:$E$117,MATCH(B525,Items!$A$2:$A$117,0))</f>
        <v/>
      </c>
      <c r="N525" s="17">
        <f>TEXT(D525,"yyyy-mm")</f>
        <v/>
      </c>
      <c r="O525" s="50">
        <f>G525*J525</f>
        <v/>
      </c>
      <c r="P525" s="50">
        <f>(J525-M525)*G525</f>
        <v/>
      </c>
      <c r="Q525" s="51">
        <f>IF(K525="Received",1,0)</f>
        <v/>
      </c>
      <c r="R525" s="51">
        <f>IF(Q525=1,F525-D525,0)</f>
        <v/>
      </c>
      <c r="S525" s="51">
        <f>IF(Q525=1,IF(F525&lt;=E525,1,0),0)</f>
        <v/>
      </c>
      <c r="T525" s="51">
        <f>IF(Q525=1,IF(H525&gt;=G525,1,0),0)</f>
        <v/>
      </c>
      <c r="U525" s="51">
        <f>S525*T525</f>
        <v/>
      </c>
      <c r="V525" s="51">
        <f>IF(Q525=1,MAX(0,F525-E525),0)</f>
        <v/>
      </c>
    </row>
    <row r="526">
      <c r="A526" s="43" t="inlineStr">
        <is>
          <t>PO100298</t>
        </is>
      </c>
      <c r="B526" s="43" t="inlineStr">
        <is>
          <t>CMD-0014</t>
        </is>
      </c>
      <c r="C526" s="43" t="inlineStr">
        <is>
          <t>S03</t>
        </is>
      </c>
      <c r="D526" s="47" t="n">
        <v>45752</v>
      </c>
      <c r="E526" s="47" t="n">
        <v>45885</v>
      </c>
      <c r="F526" s="47" t="n">
        <v>45912</v>
      </c>
      <c r="G526" s="46" t="n">
        <v>4435</v>
      </c>
      <c r="H526" s="46" t="n">
        <v>4435</v>
      </c>
      <c r="I526" s="46" t="n">
        <v>30</v>
      </c>
      <c r="J526" s="44" t="n">
        <v>12.62</v>
      </c>
      <c r="K526" s="43" t="inlineStr">
        <is>
          <t>Received</t>
        </is>
      </c>
      <c r="L526" s="17">
        <f>INDEX(Items!$C$2:$C$117,MATCH(B526,Items!$A$2:$A$117,0))</f>
        <v/>
      </c>
      <c r="M526" s="49">
        <f>INDEX(Items!$E$2:$E$117,MATCH(B526,Items!$A$2:$A$117,0))</f>
        <v/>
      </c>
      <c r="N526" s="17">
        <f>TEXT(D526,"yyyy-mm")</f>
        <v/>
      </c>
      <c r="O526" s="50">
        <f>G526*J526</f>
        <v/>
      </c>
      <c r="P526" s="50">
        <f>(J526-M526)*G526</f>
        <v/>
      </c>
      <c r="Q526" s="51">
        <f>IF(K526="Received",1,0)</f>
        <v/>
      </c>
      <c r="R526" s="51">
        <f>IF(Q526=1,F526-D526,0)</f>
        <v/>
      </c>
      <c r="S526" s="51">
        <f>IF(Q526=1,IF(F526&lt;=E526,1,0),0)</f>
        <v/>
      </c>
      <c r="T526" s="51">
        <f>IF(Q526=1,IF(H526&gt;=G526,1,0),0)</f>
        <v/>
      </c>
      <c r="U526" s="51">
        <f>S526*T526</f>
        <v/>
      </c>
      <c r="V526" s="51">
        <f>IF(Q526=1,MAX(0,F526-E526),0)</f>
        <v/>
      </c>
    </row>
    <row r="527">
      <c r="A527" s="43" t="inlineStr">
        <is>
          <t>PO101826</t>
        </is>
      </c>
      <c r="B527" s="43" t="inlineStr">
        <is>
          <t>CMD-0100</t>
        </is>
      </c>
      <c r="C527" s="43" t="inlineStr">
        <is>
          <t>S09</t>
        </is>
      </c>
      <c r="D527" s="47" t="n">
        <v>45752</v>
      </c>
      <c r="E527" s="47" t="n">
        <v>45773</v>
      </c>
      <c r="F527" s="47" t="n">
        <v>45772</v>
      </c>
      <c r="G527" s="46" t="n">
        <v>8017</v>
      </c>
      <c r="H527" s="46" t="n">
        <v>8017</v>
      </c>
      <c r="I527" s="46" t="n">
        <v>20</v>
      </c>
      <c r="J527" s="44" t="n">
        <v>4.94</v>
      </c>
      <c r="K527" s="43" t="inlineStr">
        <is>
          <t>Received</t>
        </is>
      </c>
      <c r="L527" s="17">
        <f>INDEX(Items!$C$2:$C$117,MATCH(B527,Items!$A$2:$A$117,0))</f>
        <v/>
      </c>
      <c r="M527" s="49">
        <f>INDEX(Items!$E$2:$E$117,MATCH(B527,Items!$A$2:$A$117,0))</f>
        <v/>
      </c>
      <c r="N527" s="17">
        <f>TEXT(D527,"yyyy-mm")</f>
        <v/>
      </c>
      <c r="O527" s="50">
        <f>G527*J527</f>
        <v/>
      </c>
      <c r="P527" s="50">
        <f>(J527-M527)*G527</f>
        <v/>
      </c>
      <c r="Q527" s="51">
        <f>IF(K527="Received",1,0)</f>
        <v/>
      </c>
      <c r="R527" s="51">
        <f>IF(Q527=1,F527-D527,0)</f>
        <v/>
      </c>
      <c r="S527" s="51">
        <f>IF(Q527=1,IF(F527&lt;=E527,1,0),0)</f>
        <v/>
      </c>
      <c r="T527" s="51">
        <f>IF(Q527=1,IF(H527&gt;=G527,1,0),0)</f>
        <v/>
      </c>
      <c r="U527" s="51">
        <f>S527*T527</f>
        <v/>
      </c>
      <c r="V527" s="51">
        <f>IF(Q527=1,MAX(0,F527-E527),0)</f>
        <v/>
      </c>
    </row>
    <row r="528">
      <c r="A528" s="43" t="inlineStr">
        <is>
          <t>PO101874</t>
        </is>
      </c>
      <c r="B528" s="43" t="inlineStr">
        <is>
          <t>CMD-0102</t>
        </is>
      </c>
      <c r="C528" s="43" t="inlineStr">
        <is>
          <t>S09</t>
        </is>
      </c>
      <c r="D528" s="47" t="n">
        <v>45752</v>
      </c>
      <c r="E528" s="47" t="n">
        <v>45773</v>
      </c>
      <c r="F528" s="47" t="n">
        <v>45770</v>
      </c>
      <c r="G528" s="46" t="n">
        <v>2479</v>
      </c>
      <c r="H528" s="46" t="n">
        <v>2479</v>
      </c>
      <c r="I528" s="46" t="n">
        <v>11</v>
      </c>
      <c r="J528" s="44" t="n">
        <v>6.71</v>
      </c>
      <c r="K528" s="43" t="inlineStr">
        <is>
          <t>Received</t>
        </is>
      </c>
      <c r="L528" s="17">
        <f>INDEX(Items!$C$2:$C$117,MATCH(B528,Items!$A$2:$A$117,0))</f>
        <v/>
      </c>
      <c r="M528" s="49">
        <f>INDEX(Items!$E$2:$E$117,MATCH(B528,Items!$A$2:$A$117,0))</f>
        <v/>
      </c>
      <c r="N528" s="17">
        <f>TEXT(D528,"yyyy-mm")</f>
        <v/>
      </c>
      <c r="O528" s="50">
        <f>G528*J528</f>
        <v/>
      </c>
      <c r="P528" s="50">
        <f>(J528-M528)*G528</f>
        <v/>
      </c>
      <c r="Q528" s="51">
        <f>IF(K528="Received",1,0)</f>
        <v/>
      </c>
      <c r="R528" s="51">
        <f>IF(Q528=1,F528-D528,0)</f>
        <v/>
      </c>
      <c r="S528" s="51">
        <f>IF(Q528=1,IF(F528&lt;=E528,1,0),0)</f>
        <v/>
      </c>
      <c r="T528" s="51">
        <f>IF(Q528=1,IF(H528&gt;=G528,1,0),0)</f>
        <v/>
      </c>
      <c r="U528" s="51">
        <f>S528*T528</f>
        <v/>
      </c>
      <c r="V528" s="51">
        <f>IF(Q528=1,MAX(0,F528-E528),0)</f>
        <v/>
      </c>
    </row>
    <row r="529">
      <c r="A529" s="43" t="inlineStr">
        <is>
          <t>PO101058</t>
        </is>
      </c>
      <c r="B529" s="43" t="inlineStr">
        <is>
          <t>CMD-0048</t>
        </is>
      </c>
      <c r="C529" s="43" t="inlineStr">
        <is>
          <t>S10</t>
        </is>
      </c>
      <c r="D529" s="47" t="n">
        <v>45752</v>
      </c>
      <c r="E529" s="47" t="n">
        <v>45780</v>
      </c>
      <c r="F529" s="47" t="n">
        <v>45779</v>
      </c>
      <c r="G529" s="46" t="n">
        <v>16427</v>
      </c>
      <c r="H529" s="46" t="n">
        <v>16427</v>
      </c>
      <c r="I529" s="46" t="n">
        <v>8</v>
      </c>
      <c r="J529" s="44" t="n">
        <v>0.3231</v>
      </c>
      <c r="K529" s="43" t="inlineStr">
        <is>
          <t>Received</t>
        </is>
      </c>
      <c r="L529" s="17">
        <f>INDEX(Items!$C$2:$C$117,MATCH(B529,Items!$A$2:$A$117,0))</f>
        <v/>
      </c>
      <c r="M529" s="49">
        <f>INDEX(Items!$E$2:$E$117,MATCH(B529,Items!$A$2:$A$117,0))</f>
        <v/>
      </c>
      <c r="N529" s="17">
        <f>TEXT(D529,"yyyy-mm")</f>
        <v/>
      </c>
      <c r="O529" s="50">
        <f>G529*J529</f>
        <v/>
      </c>
      <c r="P529" s="50">
        <f>(J529-M529)*G529</f>
        <v/>
      </c>
      <c r="Q529" s="51">
        <f>IF(K529="Received",1,0)</f>
        <v/>
      </c>
      <c r="R529" s="51">
        <f>IF(Q529=1,F529-D529,0)</f>
        <v/>
      </c>
      <c r="S529" s="51">
        <f>IF(Q529=1,IF(F529&lt;=E529,1,0),0)</f>
        <v/>
      </c>
      <c r="T529" s="51">
        <f>IF(Q529=1,IF(H529&gt;=G529,1,0),0)</f>
        <v/>
      </c>
      <c r="U529" s="51">
        <f>S529*T529</f>
        <v/>
      </c>
      <c r="V529" s="51">
        <f>IF(Q529=1,MAX(0,F529-E529),0)</f>
        <v/>
      </c>
    </row>
    <row r="530">
      <c r="A530" s="43" t="inlineStr">
        <is>
          <t>PO100502</t>
        </is>
      </c>
      <c r="B530" s="43" t="inlineStr">
        <is>
          <t>CMD-0023</t>
        </is>
      </c>
      <c r="C530" s="43" t="inlineStr">
        <is>
          <t>S04</t>
        </is>
      </c>
      <c r="D530" s="47" t="n">
        <v>45753</v>
      </c>
      <c r="E530" s="47" t="n">
        <v>45823</v>
      </c>
      <c r="F530" s="47" t="n">
        <v>45837</v>
      </c>
      <c r="G530" s="46" t="n">
        <v>4253</v>
      </c>
      <c r="H530" s="46" t="n">
        <v>4253</v>
      </c>
      <c r="I530" s="46" t="n">
        <v>45</v>
      </c>
      <c r="J530" s="44" t="n">
        <v>8.800000000000001</v>
      </c>
      <c r="K530" s="43" t="inlineStr">
        <is>
          <t>Received</t>
        </is>
      </c>
      <c r="L530" s="17">
        <f>INDEX(Items!$C$2:$C$117,MATCH(B530,Items!$A$2:$A$117,0))</f>
        <v/>
      </c>
      <c r="M530" s="49">
        <f>INDEX(Items!$E$2:$E$117,MATCH(B530,Items!$A$2:$A$117,0))</f>
        <v/>
      </c>
      <c r="N530" s="17">
        <f>TEXT(D530,"yyyy-mm")</f>
        <v/>
      </c>
      <c r="O530" s="50">
        <f>G530*J530</f>
        <v/>
      </c>
      <c r="P530" s="50">
        <f>(J530-M530)*G530</f>
        <v/>
      </c>
      <c r="Q530" s="51">
        <f>IF(K530="Received",1,0)</f>
        <v/>
      </c>
      <c r="R530" s="51">
        <f>IF(Q530=1,F530-D530,0)</f>
        <v/>
      </c>
      <c r="S530" s="51">
        <f>IF(Q530=1,IF(F530&lt;=E530,1,0),0)</f>
        <v/>
      </c>
      <c r="T530" s="51">
        <f>IF(Q530=1,IF(H530&gt;=G530,1,0),0)</f>
        <v/>
      </c>
      <c r="U530" s="51">
        <f>S530*T530</f>
        <v/>
      </c>
      <c r="V530" s="51">
        <f>IF(Q530=1,MAX(0,F530-E530),0)</f>
        <v/>
      </c>
    </row>
    <row r="531">
      <c r="A531" s="43" t="inlineStr">
        <is>
          <t>PO101126</t>
        </is>
      </c>
      <c r="B531" s="43" t="inlineStr">
        <is>
          <t>CMD-0052</t>
        </is>
      </c>
      <c r="C531" s="43" t="inlineStr">
        <is>
          <t>S01</t>
        </is>
      </c>
      <c r="D531" s="47" t="n">
        <v>45753</v>
      </c>
      <c r="E531" s="47" t="n">
        <v>45774</v>
      </c>
      <c r="F531" s="47" t="n">
        <v>45773</v>
      </c>
      <c r="G531" s="46" t="n">
        <v>130022</v>
      </c>
      <c r="H531" s="46" t="n">
        <v>130022</v>
      </c>
      <c r="I531" s="46" t="n">
        <v>246</v>
      </c>
      <c r="J531" s="44" t="n">
        <v>0.2016</v>
      </c>
      <c r="K531" s="43" t="inlineStr">
        <is>
          <t>Received</t>
        </is>
      </c>
      <c r="L531" s="17">
        <f>INDEX(Items!$C$2:$C$117,MATCH(B531,Items!$A$2:$A$117,0))</f>
        <v/>
      </c>
      <c r="M531" s="49">
        <f>INDEX(Items!$E$2:$E$117,MATCH(B531,Items!$A$2:$A$117,0))</f>
        <v/>
      </c>
      <c r="N531" s="17">
        <f>TEXT(D531,"yyyy-mm")</f>
        <v/>
      </c>
      <c r="O531" s="50">
        <f>G531*J531</f>
        <v/>
      </c>
      <c r="P531" s="50">
        <f>(J531-M531)*G531</f>
        <v/>
      </c>
      <c r="Q531" s="51">
        <f>IF(K531="Received",1,0)</f>
        <v/>
      </c>
      <c r="R531" s="51">
        <f>IF(Q531=1,F531-D531,0)</f>
        <v/>
      </c>
      <c r="S531" s="51">
        <f>IF(Q531=1,IF(F531&lt;=E531,1,0),0)</f>
        <v/>
      </c>
      <c r="T531" s="51">
        <f>IF(Q531=1,IF(H531&gt;=G531,1,0),0)</f>
        <v/>
      </c>
      <c r="U531" s="51">
        <f>S531*T531</f>
        <v/>
      </c>
      <c r="V531" s="51">
        <f>IF(Q531=1,MAX(0,F531-E531),0)</f>
        <v/>
      </c>
    </row>
    <row r="532">
      <c r="A532" s="43" t="inlineStr">
        <is>
          <t>PO100848</t>
        </is>
      </c>
      <c r="B532" s="43" t="inlineStr">
        <is>
          <t>CMD-0038</t>
        </is>
      </c>
      <c r="C532" s="43" t="inlineStr">
        <is>
          <t>S01</t>
        </is>
      </c>
      <c r="D532" s="47" t="n">
        <v>45754</v>
      </c>
      <c r="E532" s="47" t="n">
        <v>45782</v>
      </c>
      <c r="F532" s="47" t="n">
        <v>45779</v>
      </c>
      <c r="G532" s="46" t="n">
        <v>870</v>
      </c>
      <c r="H532" s="46" t="n">
        <v>870</v>
      </c>
      <c r="I532" s="46" t="n">
        <v>4</v>
      </c>
      <c r="J532" s="44" t="n">
        <v>21.49</v>
      </c>
      <c r="K532" s="43" t="inlineStr">
        <is>
          <t>Received</t>
        </is>
      </c>
      <c r="L532" s="17">
        <f>INDEX(Items!$C$2:$C$117,MATCH(B532,Items!$A$2:$A$117,0))</f>
        <v/>
      </c>
      <c r="M532" s="49">
        <f>INDEX(Items!$E$2:$E$117,MATCH(B532,Items!$A$2:$A$117,0))</f>
        <v/>
      </c>
      <c r="N532" s="17">
        <f>TEXT(D532,"yyyy-mm")</f>
        <v/>
      </c>
      <c r="O532" s="50">
        <f>G532*J532</f>
        <v/>
      </c>
      <c r="P532" s="50">
        <f>(J532-M532)*G532</f>
        <v/>
      </c>
      <c r="Q532" s="51">
        <f>IF(K532="Received",1,0)</f>
        <v/>
      </c>
      <c r="R532" s="51">
        <f>IF(Q532=1,F532-D532,0)</f>
        <v/>
      </c>
      <c r="S532" s="51">
        <f>IF(Q532=1,IF(F532&lt;=E532,1,0),0)</f>
        <v/>
      </c>
      <c r="T532" s="51">
        <f>IF(Q532=1,IF(H532&gt;=G532,1,0),0)</f>
        <v/>
      </c>
      <c r="U532" s="51">
        <f>S532*T532</f>
        <v/>
      </c>
      <c r="V532" s="51">
        <f>IF(Q532=1,MAX(0,F532-E532),0)</f>
        <v/>
      </c>
    </row>
    <row r="533">
      <c r="A533" s="43" t="inlineStr">
        <is>
          <t>PO100030</t>
        </is>
      </c>
      <c r="B533" s="43" t="inlineStr">
        <is>
          <t>CMD-0002</t>
        </is>
      </c>
      <c r="C533" s="43" t="inlineStr">
        <is>
          <t>S11</t>
        </is>
      </c>
      <c r="D533" s="47" t="n">
        <v>45754</v>
      </c>
      <c r="E533" s="47" t="n">
        <v>45873</v>
      </c>
      <c r="F533" s="47" t="n">
        <v>45870</v>
      </c>
      <c r="G533" s="46" t="n">
        <v>7510</v>
      </c>
      <c r="H533" s="46" t="n">
        <v>7510</v>
      </c>
      <c r="I533" s="46" t="n">
        <v>17</v>
      </c>
      <c r="J533" s="44" t="n">
        <v>6.85</v>
      </c>
      <c r="K533" s="43" t="inlineStr">
        <is>
          <t>Received</t>
        </is>
      </c>
      <c r="L533" s="17">
        <f>INDEX(Items!$C$2:$C$117,MATCH(B533,Items!$A$2:$A$117,0))</f>
        <v/>
      </c>
      <c r="M533" s="49">
        <f>INDEX(Items!$E$2:$E$117,MATCH(B533,Items!$A$2:$A$117,0))</f>
        <v/>
      </c>
      <c r="N533" s="17">
        <f>TEXT(D533,"yyyy-mm")</f>
        <v/>
      </c>
      <c r="O533" s="50">
        <f>G533*J533</f>
        <v/>
      </c>
      <c r="P533" s="50">
        <f>(J533-M533)*G533</f>
        <v/>
      </c>
      <c r="Q533" s="51">
        <f>IF(K533="Received",1,0)</f>
        <v/>
      </c>
      <c r="R533" s="51">
        <f>IF(Q533=1,F533-D533,0)</f>
        <v/>
      </c>
      <c r="S533" s="51">
        <f>IF(Q533=1,IF(F533&lt;=E533,1,0),0)</f>
        <v/>
      </c>
      <c r="T533" s="51">
        <f>IF(Q533=1,IF(H533&gt;=G533,1,0),0)</f>
        <v/>
      </c>
      <c r="U533" s="51">
        <f>S533*T533</f>
        <v/>
      </c>
      <c r="V533" s="51">
        <f>IF(Q533=1,MAX(0,F533-E533),0)</f>
        <v/>
      </c>
    </row>
    <row r="534">
      <c r="A534" s="43" t="inlineStr">
        <is>
          <t>PO100054</t>
        </is>
      </c>
      <c r="B534" s="43" t="inlineStr">
        <is>
          <t>CMD-0003</t>
        </is>
      </c>
      <c r="C534" s="43" t="inlineStr">
        <is>
          <t>S11</t>
        </is>
      </c>
      <c r="D534" s="47" t="n">
        <v>45754</v>
      </c>
      <c r="E534" s="47" t="n">
        <v>45873</v>
      </c>
      <c r="F534" s="47" t="n">
        <v>45872</v>
      </c>
      <c r="G534" s="46" t="n">
        <v>8035</v>
      </c>
      <c r="H534" s="46" t="n">
        <v>8035</v>
      </c>
      <c r="I534" s="46" t="n">
        <v>13</v>
      </c>
      <c r="J534" s="44" t="n">
        <v>21.49</v>
      </c>
      <c r="K534" s="43" t="inlineStr">
        <is>
          <t>Received</t>
        </is>
      </c>
      <c r="L534" s="17">
        <f>INDEX(Items!$C$2:$C$117,MATCH(B534,Items!$A$2:$A$117,0))</f>
        <v/>
      </c>
      <c r="M534" s="49">
        <f>INDEX(Items!$E$2:$E$117,MATCH(B534,Items!$A$2:$A$117,0))</f>
        <v/>
      </c>
      <c r="N534" s="17">
        <f>TEXT(D534,"yyyy-mm")</f>
        <v/>
      </c>
      <c r="O534" s="50">
        <f>G534*J534</f>
        <v/>
      </c>
      <c r="P534" s="50">
        <f>(J534-M534)*G534</f>
        <v/>
      </c>
      <c r="Q534" s="51">
        <f>IF(K534="Received",1,0)</f>
        <v/>
      </c>
      <c r="R534" s="51">
        <f>IF(Q534=1,F534-D534,0)</f>
        <v/>
      </c>
      <c r="S534" s="51">
        <f>IF(Q534=1,IF(F534&lt;=E534,1,0),0)</f>
        <v/>
      </c>
      <c r="T534" s="51">
        <f>IF(Q534=1,IF(H534&gt;=G534,1,0),0)</f>
        <v/>
      </c>
      <c r="U534" s="51">
        <f>S534*T534</f>
        <v/>
      </c>
      <c r="V534" s="51">
        <f>IF(Q534=1,MAX(0,F534-E534),0)</f>
        <v/>
      </c>
    </row>
    <row r="535">
      <c r="A535" s="43" t="inlineStr">
        <is>
          <t>PO100752</t>
        </is>
      </c>
      <c r="B535" s="43" t="inlineStr">
        <is>
          <t>CMD-0034</t>
        </is>
      </c>
      <c r="C535" s="43" t="inlineStr">
        <is>
          <t>S04</t>
        </is>
      </c>
      <c r="D535" s="47" t="n">
        <v>45754</v>
      </c>
      <c r="E535" s="47" t="n">
        <v>45796</v>
      </c>
      <c r="F535" s="47" t="n">
        <v>45793</v>
      </c>
      <c r="G535" s="46" t="n">
        <v>641</v>
      </c>
      <c r="H535" s="46" t="n">
        <v>641</v>
      </c>
      <c r="I535" s="46" t="n">
        <v>15</v>
      </c>
      <c r="J535" s="44" t="n">
        <v>10.55</v>
      </c>
      <c r="K535" s="43" t="inlineStr">
        <is>
          <t>Received</t>
        </is>
      </c>
      <c r="L535" s="17">
        <f>INDEX(Items!$C$2:$C$117,MATCH(B535,Items!$A$2:$A$117,0))</f>
        <v/>
      </c>
      <c r="M535" s="49">
        <f>INDEX(Items!$E$2:$E$117,MATCH(B535,Items!$A$2:$A$117,0))</f>
        <v/>
      </c>
      <c r="N535" s="17">
        <f>TEXT(D535,"yyyy-mm")</f>
        <v/>
      </c>
      <c r="O535" s="50">
        <f>G535*J535</f>
        <v/>
      </c>
      <c r="P535" s="50">
        <f>(J535-M535)*G535</f>
        <v/>
      </c>
      <c r="Q535" s="51">
        <f>IF(K535="Received",1,0)</f>
        <v/>
      </c>
      <c r="R535" s="51">
        <f>IF(Q535=1,F535-D535,0)</f>
        <v/>
      </c>
      <c r="S535" s="51">
        <f>IF(Q535=1,IF(F535&lt;=E535,1,0),0)</f>
        <v/>
      </c>
      <c r="T535" s="51">
        <f>IF(Q535=1,IF(H535&gt;=G535,1,0),0)</f>
        <v/>
      </c>
      <c r="U535" s="51">
        <f>S535*T535</f>
        <v/>
      </c>
      <c r="V535" s="51">
        <f>IF(Q535=1,MAX(0,F535-E535),0)</f>
        <v/>
      </c>
    </row>
    <row r="536">
      <c r="A536" s="43" t="inlineStr">
        <is>
          <t>PO100800</t>
        </is>
      </c>
      <c r="B536" s="43" t="inlineStr">
        <is>
          <t>CMD-0036</t>
        </is>
      </c>
      <c r="C536" s="43" t="inlineStr">
        <is>
          <t>S04</t>
        </is>
      </c>
      <c r="D536" s="47" t="n">
        <v>45754</v>
      </c>
      <c r="E536" s="47" t="n">
        <v>45796</v>
      </c>
      <c r="F536" s="47" t="n">
        <v>45793</v>
      </c>
      <c r="G536" s="46" t="n">
        <v>447</v>
      </c>
      <c r="H536" s="46" t="n">
        <v>447</v>
      </c>
      <c r="I536" s="46" t="n">
        <v>3</v>
      </c>
      <c r="J536" s="44" t="n">
        <v>12.36</v>
      </c>
      <c r="K536" s="43" t="inlineStr">
        <is>
          <t>Received</t>
        </is>
      </c>
      <c r="L536" s="17">
        <f>INDEX(Items!$C$2:$C$117,MATCH(B536,Items!$A$2:$A$117,0))</f>
        <v/>
      </c>
      <c r="M536" s="49">
        <f>INDEX(Items!$E$2:$E$117,MATCH(B536,Items!$A$2:$A$117,0))</f>
        <v/>
      </c>
      <c r="N536" s="17">
        <f>TEXT(D536,"yyyy-mm")</f>
        <v/>
      </c>
      <c r="O536" s="50">
        <f>G536*J536</f>
        <v/>
      </c>
      <c r="P536" s="50">
        <f>(J536-M536)*G536</f>
        <v/>
      </c>
      <c r="Q536" s="51">
        <f>IF(K536="Received",1,0)</f>
        <v/>
      </c>
      <c r="R536" s="51">
        <f>IF(Q536=1,F536-D536,0)</f>
        <v/>
      </c>
      <c r="S536" s="51">
        <f>IF(Q536=1,IF(F536&lt;=E536,1,0),0)</f>
        <v/>
      </c>
      <c r="T536" s="51">
        <f>IF(Q536=1,IF(H536&gt;=G536,1,0),0)</f>
        <v/>
      </c>
      <c r="U536" s="51">
        <f>S536*T536</f>
        <v/>
      </c>
      <c r="V536" s="51">
        <f>IF(Q536=1,MAX(0,F536-E536),0)</f>
        <v/>
      </c>
    </row>
    <row r="537">
      <c r="A537" s="43" t="inlineStr">
        <is>
          <t>PO101938</t>
        </is>
      </c>
      <c r="B537" s="43" t="inlineStr">
        <is>
          <t>CMD-0107</t>
        </is>
      </c>
      <c r="C537" s="43" t="inlineStr">
        <is>
          <t>S09</t>
        </is>
      </c>
      <c r="D537" s="47" t="n">
        <v>45754</v>
      </c>
      <c r="E537" s="47" t="n">
        <v>45775</v>
      </c>
      <c r="F537" s="47" t="n">
        <v>45773</v>
      </c>
      <c r="G537" s="46" t="n">
        <v>1230</v>
      </c>
      <c r="H537" s="46" t="n">
        <v>1230</v>
      </c>
      <c r="I537" s="46" t="n">
        <v>2</v>
      </c>
      <c r="J537" s="44" t="n">
        <v>6.95</v>
      </c>
      <c r="K537" s="43" t="inlineStr">
        <is>
          <t>Received</t>
        </is>
      </c>
      <c r="L537" s="17">
        <f>INDEX(Items!$C$2:$C$117,MATCH(B537,Items!$A$2:$A$117,0))</f>
        <v/>
      </c>
      <c r="M537" s="49">
        <f>INDEX(Items!$E$2:$E$117,MATCH(B537,Items!$A$2:$A$117,0))</f>
        <v/>
      </c>
      <c r="N537" s="17">
        <f>TEXT(D537,"yyyy-mm")</f>
        <v/>
      </c>
      <c r="O537" s="50">
        <f>G537*J537</f>
        <v/>
      </c>
      <c r="P537" s="50">
        <f>(J537-M537)*G537</f>
        <v/>
      </c>
      <c r="Q537" s="51">
        <f>IF(K537="Received",1,0)</f>
        <v/>
      </c>
      <c r="R537" s="51">
        <f>IF(Q537=1,F537-D537,0)</f>
        <v/>
      </c>
      <c r="S537" s="51">
        <f>IF(Q537=1,IF(F537&lt;=E537,1,0),0)</f>
        <v/>
      </c>
      <c r="T537" s="51">
        <f>IF(Q537=1,IF(H537&gt;=G537,1,0),0)</f>
        <v/>
      </c>
      <c r="U537" s="51">
        <f>S537*T537</f>
        <v/>
      </c>
      <c r="V537" s="51">
        <f>IF(Q537=1,MAX(0,F537-E537),0)</f>
        <v/>
      </c>
    </row>
    <row r="538">
      <c r="A538" s="43" t="inlineStr">
        <is>
          <t>PO101282</t>
        </is>
      </c>
      <c r="B538" s="43" t="inlineStr">
        <is>
          <t>CMD-0062</t>
        </is>
      </c>
      <c r="C538" s="43" t="inlineStr">
        <is>
          <t>S01</t>
        </is>
      </c>
      <c r="D538" s="47" t="n">
        <v>45754</v>
      </c>
      <c r="E538" s="47" t="n">
        <v>45775</v>
      </c>
      <c r="F538" s="47" t="n">
        <v>45774</v>
      </c>
      <c r="G538" s="46" t="n">
        <v>88577</v>
      </c>
      <c r="H538" s="46" t="n">
        <v>88577</v>
      </c>
      <c r="I538" s="46" t="n">
        <v>175</v>
      </c>
      <c r="J538" s="44" t="n">
        <v>0.1139</v>
      </c>
      <c r="K538" s="43" t="inlineStr">
        <is>
          <t>Received</t>
        </is>
      </c>
      <c r="L538" s="17">
        <f>INDEX(Items!$C$2:$C$117,MATCH(B538,Items!$A$2:$A$117,0))</f>
        <v/>
      </c>
      <c r="M538" s="49">
        <f>INDEX(Items!$E$2:$E$117,MATCH(B538,Items!$A$2:$A$117,0))</f>
        <v/>
      </c>
      <c r="N538" s="17">
        <f>TEXT(D538,"yyyy-mm")</f>
        <v/>
      </c>
      <c r="O538" s="50">
        <f>G538*J538</f>
        <v/>
      </c>
      <c r="P538" s="50">
        <f>(J538-M538)*G538</f>
        <v/>
      </c>
      <c r="Q538" s="51">
        <f>IF(K538="Received",1,0)</f>
        <v/>
      </c>
      <c r="R538" s="51">
        <f>IF(Q538=1,F538-D538,0)</f>
        <v/>
      </c>
      <c r="S538" s="51">
        <f>IF(Q538=1,IF(F538&lt;=E538,1,0),0)</f>
        <v/>
      </c>
      <c r="T538" s="51">
        <f>IF(Q538=1,IF(H538&gt;=G538,1,0),0)</f>
        <v/>
      </c>
      <c r="U538" s="51">
        <f>S538*T538</f>
        <v/>
      </c>
      <c r="V538" s="51">
        <f>IF(Q538=1,MAX(0,F538-E538),0)</f>
        <v/>
      </c>
    </row>
    <row r="539">
      <c r="A539" s="43" t="inlineStr">
        <is>
          <t>PO101648</t>
        </is>
      </c>
      <c r="B539" s="43" t="inlineStr">
        <is>
          <t>CMD-0091</t>
        </is>
      </c>
      <c r="C539" s="43" t="inlineStr">
        <is>
          <t>S08</t>
        </is>
      </c>
      <c r="D539" s="47" t="n">
        <v>45754</v>
      </c>
      <c r="E539" s="47" t="n">
        <v>45831</v>
      </c>
      <c r="F539" s="47" t="n">
        <v>45830</v>
      </c>
      <c r="G539" s="46" t="n">
        <v>808</v>
      </c>
      <c r="H539" s="46" t="n">
        <v>808</v>
      </c>
      <c r="I539" s="46" t="n">
        <v>11</v>
      </c>
      <c r="J539" s="44" t="n">
        <v>23.8</v>
      </c>
      <c r="K539" s="43" t="inlineStr">
        <is>
          <t>Received</t>
        </is>
      </c>
      <c r="L539" s="17">
        <f>INDEX(Items!$C$2:$C$117,MATCH(B539,Items!$A$2:$A$117,0))</f>
        <v/>
      </c>
      <c r="M539" s="49">
        <f>INDEX(Items!$E$2:$E$117,MATCH(B539,Items!$A$2:$A$117,0))</f>
        <v/>
      </c>
      <c r="N539" s="17">
        <f>TEXT(D539,"yyyy-mm")</f>
        <v/>
      </c>
      <c r="O539" s="50">
        <f>G539*J539</f>
        <v/>
      </c>
      <c r="P539" s="50">
        <f>(J539-M539)*G539</f>
        <v/>
      </c>
      <c r="Q539" s="51">
        <f>IF(K539="Received",1,0)</f>
        <v/>
      </c>
      <c r="R539" s="51">
        <f>IF(Q539=1,F539-D539,0)</f>
        <v/>
      </c>
      <c r="S539" s="51">
        <f>IF(Q539=1,IF(F539&lt;=E539,1,0),0)</f>
        <v/>
      </c>
      <c r="T539" s="51">
        <f>IF(Q539=1,IF(H539&gt;=G539,1,0),0)</f>
        <v/>
      </c>
      <c r="U539" s="51">
        <f>S539*T539</f>
        <v/>
      </c>
      <c r="V539" s="51">
        <f>IF(Q539=1,MAX(0,F539-E539),0)</f>
        <v/>
      </c>
    </row>
    <row r="540">
      <c r="A540" s="43" t="inlineStr">
        <is>
          <t>PO101720</t>
        </is>
      </c>
      <c r="B540" s="43" t="inlineStr">
        <is>
          <t>CMD-0094</t>
        </is>
      </c>
      <c r="C540" s="43" t="inlineStr">
        <is>
          <t>S08</t>
        </is>
      </c>
      <c r="D540" s="47" t="n">
        <v>45754</v>
      </c>
      <c r="E540" s="47" t="n">
        <v>45831</v>
      </c>
      <c r="F540" s="47" t="n">
        <v>45831</v>
      </c>
      <c r="G540" s="46" t="n">
        <v>494</v>
      </c>
      <c r="H540" s="46" t="n">
        <v>494</v>
      </c>
      <c r="I540" s="46" t="n">
        <v>4</v>
      </c>
      <c r="J540" s="44" t="n">
        <v>74.09</v>
      </c>
      <c r="K540" s="43" t="inlineStr">
        <is>
          <t>Received</t>
        </is>
      </c>
      <c r="L540" s="17">
        <f>INDEX(Items!$C$2:$C$117,MATCH(B540,Items!$A$2:$A$117,0))</f>
        <v/>
      </c>
      <c r="M540" s="49">
        <f>INDEX(Items!$E$2:$E$117,MATCH(B540,Items!$A$2:$A$117,0))</f>
        <v/>
      </c>
      <c r="N540" s="17">
        <f>TEXT(D540,"yyyy-mm")</f>
        <v/>
      </c>
      <c r="O540" s="50">
        <f>G540*J540</f>
        <v/>
      </c>
      <c r="P540" s="50">
        <f>(J540-M540)*G540</f>
        <v/>
      </c>
      <c r="Q540" s="51">
        <f>IF(K540="Received",1,0)</f>
        <v/>
      </c>
      <c r="R540" s="51">
        <f>IF(Q540=1,F540-D540,0)</f>
        <v/>
      </c>
      <c r="S540" s="51">
        <f>IF(Q540=1,IF(F540&lt;=E540,1,0),0)</f>
        <v/>
      </c>
      <c r="T540" s="51">
        <f>IF(Q540=1,IF(H540&gt;=G540,1,0),0)</f>
        <v/>
      </c>
      <c r="U540" s="51">
        <f>S540*T540</f>
        <v/>
      </c>
      <c r="V540" s="51">
        <f>IF(Q540=1,MAX(0,F540-E540),0)</f>
        <v/>
      </c>
    </row>
    <row r="541">
      <c r="A541" s="43" t="inlineStr">
        <is>
          <t>PO101538</t>
        </is>
      </c>
      <c r="B541" s="43" t="inlineStr">
        <is>
          <t>CMD-0082</t>
        </is>
      </c>
      <c r="C541" s="43" t="inlineStr">
        <is>
          <t>S01</t>
        </is>
      </c>
      <c r="D541" s="47" t="n">
        <v>45754</v>
      </c>
      <c r="E541" s="47" t="n">
        <v>45768</v>
      </c>
      <c r="F541" s="47" t="n">
        <v>45767</v>
      </c>
      <c r="G541" s="46" t="n">
        <v>6108</v>
      </c>
      <c r="H541" s="46" t="n">
        <v>6108</v>
      </c>
      <c r="I541" s="46" t="n">
        <v>11</v>
      </c>
      <c r="J541" s="44" t="n">
        <v>2.32</v>
      </c>
      <c r="K541" s="43" t="inlineStr">
        <is>
          <t>Received</t>
        </is>
      </c>
      <c r="L541" s="17">
        <f>INDEX(Items!$C$2:$C$117,MATCH(B541,Items!$A$2:$A$117,0))</f>
        <v/>
      </c>
      <c r="M541" s="49">
        <f>INDEX(Items!$E$2:$E$117,MATCH(B541,Items!$A$2:$A$117,0))</f>
        <v/>
      </c>
      <c r="N541" s="17">
        <f>TEXT(D541,"yyyy-mm")</f>
        <v/>
      </c>
      <c r="O541" s="50">
        <f>G541*J541</f>
        <v/>
      </c>
      <c r="P541" s="50">
        <f>(J541-M541)*G541</f>
        <v/>
      </c>
      <c r="Q541" s="51">
        <f>IF(K541="Received",1,0)</f>
        <v/>
      </c>
      <c r="R541" s="51">
        <f>IF(Q541=1,F541-D541,0)</f>
        <v/>
      </c>
      <c r="S541" s="51">
        <f>IF(Q541=1,IF(F541&lt;=E541,1,0),0)</f>
        <v/>
      </c>
      <c r="T541" s="51">
        <f>IF(Q541=1,IF(H541&gt;=G541,1,0),0)</f>
        <v/>
      </c>
      <c r="U541" s="51">
        <f>S541*T541</f>
        <v/>
      </c>
      <c r="V541" s="51">
        <f>IF(Q541=1,MAX(0,F541-E541),0)</f>
        <v/>
      </c>
    </row>
    <row r="542">
      <c r="A542" s="43" t="inlineStr">
        <is>
          <t>PO100370</t>
        </is>
      </c>
      <c r="B542" s="43" t="inlineStr">
        <is>
          <t>CMD-0017</t>
        </is>
      </c>
      <c r="C542" s="43" t="inlineStr">
        <is>
          <t>S11</t>
        </is>
      </c>
      <c r="D542" s="47" t="n">
        <v>45754</v>
      </c>
      <c r="E542" s="47" t="n">
        <v>45831</v>
      </c>
      <c r="F542" s="47" t="n">
        <v>45830</v>
      </c>
      <c r="G542" s="46" t="n">
        <v>8084</v>
      </c>
      <c r="H542" s="46" t="n">
        <v>8084</v>
      </c>
      <c r="I542" s="46" t="n">
        <v>23</v>
      </c>
      <c r="J542" s="44" t="n">
        <v>12.69</v>
      </c>
      <c r="K542" s="43" t="inlineStr">
        <is>
          <t>Received</t>
        </is>
      </c>
      <c r="L542" s="17">
        <f>INDEX(Items!$C$2:$C$117,MATCH(B542,Items!$A$2:$A$117,0))</f>
        <v/>
      </c>
      <c r="M542" s="49">
        <f>INDEX(Items!$E$2:$E$117,MATCH(B542,Items!$A$2:$A$117,0))</f>
        <v/>
      </c>
      <c r="N542" s="17">
        <f>TEXT(D542,"yyyy-mm")</f>
        <v/>
      </c>
      <c r="O542" s="50">
        <f>G542*J542</f>
        <v/>
      </c>
      <c r="P542" s="50">
        <f>(J542-M542)*G542</f>
        <v/>
      </c>
      <c r="Q542" s="51">
        <f>IF(K542="Received",1,0)</f>
        <v/>
      </c>
      <c r="R542" s="51">
        <f>IF(Q542=1,F542-D542,0)</f>
        <v/>
      </c>
      <c r="S542" s="51">
        <f>IF(Q542=1,IF(F542&lt;=E542,1,0),0)</f>
        <v/>
      </c>
      <c r="T542" s="51">
        <f>IF(Q542=1,IF(H542&gt;=G542,1,0),0)</f>
        <v/>
      </c>
      <c r="U542" s="51">
        <f>S542*T542</f>
        <v/>
      </c>
      <c r="V542" s="51">
        <f>IF(Q542=1,MAX(0,F542-E542),0)</f>
        <v/>
      </c>
    </row>
    <row r="543">
      <c r="A543" s="43" t="inlineStr">
        <is>
          <t>PO101624</t>
        </is>
      </c>
      <c r="B543" s="43" t="inlineStr">
        <is>
          <t>CMD-0090</t>
        </is>
      </c>
      <c r="C543" s="43" t="inlineStr">
        <is>
          <t>S01</t>
        </is>
      </c>
      <c r="D543" s="47" t="n">
        <v>45755</v>
      </c>
      <c r="E543" s="47" t="n">
        <v>45769</v>
      </c>
      <c r="F543" s="47" t="n">
        <v>45768</v>
      </c>
      <c r="G543" s="46" t="n">
        <v>3593</v>
      </c>
      <c r="H543" s="46" t="n">
        <v>3593</v>
      </c>
      <c r="I543" s="46" t="n">
        <v>6</v>
      </c>
      <c r="J543" s="44" t="n">
        <v>6.99</v>
      </c>
      <c r="K543" s="43" t="inlineStr">
        <is>
          <t>Received</t>
        </is>
      </c>
      <c r="L543" s="17">
        <f>INDEX(Items!$C$2:$C$117,MATCH(B543,Items!$A$2:$A$117,0))</f>
        <v/>
      </c>
      <c r="M543" s="49">
        <f>INDEX(Items!$E$2:$E$117,MATCH(B543,Items!$A$2:$A$117,0))</f>
        <v/>
      </c>
      <c r="N543" s="17">
        <f>TEXT(D543,"yyyy-mm")</f>
        <v/>
      </c>
      <c r="O543" s="50">
        <f>G543*J543</f>
        <v/>
      </c>
      <c r="P543" s="50">
        <f>(J543-M543)*G543</f>
        <v/>
      </c>
      <c r="Q543" s="51">
        <f>IF(K543="Received",1,0)</f>
        <v/>
      </c>
      <c r="R543" s="51">
        <f>IF(Q543=1,F543-D543,0)</f>
        <v/>
      </c>
      <c r="S543" s="51">
        <f>IF(Q543=1,IF(F543&lt;=E543,1,0),0)</f>
        <v/>
      </c>
      <c r="T543" s="51">
        <f>IF(Q543=1,IF(H543&gt;=G543,1,0),0)</f>
        <v/>
      </c>
      <c r="U543" s="51">
        <f>S543*T543</f>
        <v/>
      </c>
      <c r="V543" s="51">
        <f>IF(Q543=1,MAX(0,F543-E543),0)</f>
        <v/>
      </c>
    </row>
    <row r="544">
      <c r="A544" s="43" t="inlineStr">
        <is>
          <t>PO100988</t>
        </is>
      </c>
      <c r="B544" s="43" t="inlineStr">
        <is>
          <t>CMD-0045</t>
        </is>
      </c>
      <c r="C544" s="43" t="inlineStr">
        <is>
          <t>S05</t>
        </is>
      </c>
      <c r="D544" s="47" t="n">
        <v>45755</v>
      </c>
      <c r="E544" s="47" t="n">
        <v>45860</v>
      </c>
      <c r="F544" s="47" t="n">
        <v>45859</v>
      </c>
      <c r="G544" s="46" t="n">
        <v>3532</v>
      </c>
      <c r="H544" s="46" t="n">
        <v>3532</v>
      </c>
      <c r="I544" s="46" t="n">
        <v>64</v>
      </c>
      <c r="J544" s="44" t="n">
        <v>8.99</v>
      </c>
      <c r="K544" s="43" t="inlineStr">
        <is>
          <t>Received</t>
        </is>
      </c>
      <c r="L544" s="17">
        <f>INDEX(Items!$C$2:$C$117,MATCH(B544,Items!$A$2:$A$117,0))</f>
        <v/>
      </c>
      <c r="M544" s="49">
        <f>INDEX(Items!$E$2:$E$117,MATCH(B544,Items!$A$2:$A$117,0))</f>
        <v/>
      </c>
      <c r="N544" s="17">
        <f>TEXT(D544,"yyyy-mm")</f>
        <v/>
      </c>
      <c r="O544" s="50">
        <f>G544*J544</f>
        <v/>
      </c>
      <c r="P544" s="50">
        <f>(J544-M544)*G544</f>
        <v/>
      </c>
      <c r="Q544" s="51">
        <f>IF(K544="Received",1,0)</f>
        <v/>
      </c>
      <c r="R544" s="51">
        <f>IF(Q544=1,F544-D544,0)</f>
        <v/>
      </c>
      <c r="S544" s="51">
        <f>IF(Q544=1,IF(F544&lt;=E544,1,0),0)</f>
        <v/>
      </c>
      <c r="T544" s="51">
        <f>IF(Q544=1,IF(H544&gt;=G544,1,0),0)</f>
        <v/>
      </c>
      <c r="U544" s="51">
        <f>S544*T544</f>
        <v/>
      </c>
      <c r="V544" s="51">
        <f>IF(Q544=1,MAX(0,F544-E544),0)</f>
        <v/>
      </c>
    </row>
    <row r="545">
      <c r="A545" s="43" t="inlineStr">
        <is>
          <t>PO101438</t>
        </is>
      </c>
      <c r="B545" s="43" t="inlineStr">
        <is>
          <t>CMD-0077</t>
        </is>
      </c>
      <c r="C545" s="43" t="inlineStr">
        <is>
          <t>S01</t>
        </is>
      </c>
      <c r="D545" s="47" t="n">
        <v>45755</v>
      </c>
      <c r="E545" s="47" t="n">
        <v>45769</v>
      </c>
      <c r="F545" s="47" t="n">
        <v>45766</v>
      </c>
      <c r="G545" s="46" t="n">
        <v>4265</v>
      </c>
      <c r="H545" s="46" t="n">
        <v>4265</v>
      </c>
      <c r="I545" s="46" t="n">
        <v>11</v>
      </c>
      <c r="J545" s="44" t="n">
        <v>8.75</v>
      </c>
      <c r="K545" s="43" t="inlineStr">
        <is>
          <t>Received</t>
        </is>
      </c>
      <c r="L545" s="17">
        <f>INDEX(Items!$C$2:$C$117,MATCH(B545,Items!$A$2:$A$117,0))</f>
        <v/>
      </c>
      <c r="M545" s="49">
        <f>INDEX(Items!$E$2:$E$117,MATCH(B545,Items!$A$2:$A$117,0))</f>
        <v/>
      </c>
      <c r="N545" s="17">
        <f>TEXT(D545,"yyyy-mm")</f>
        <v/>
      </c>
      <c r="O545" s="50">
        <f>G545*J545</f>
        <v/>
      </c>
      <c r="P545" s="50">
        <f>(J545-M545)*G545</f>
        <v/>
      </c>
      <c r="Q545" s="51">
        <f>IF(K545="Received",1,0)</f>
        <v/>
      </c>
      <c r="R545" s="51">
        <f>IF(Q545=1,F545-D545,0)</f>
        <v/>
      </c>
      <c r="S545" s="51">
        <f>IF(Q545=1,IF(F545&lt;=E545,1,0),0)</f>
        <v/>
      </c>
      <c r="T545" s="51">
        <f>IF(Q545=1,IF(H545&gt;=G545,1,0),0)</f>
        <v/>
      </c>
      <c r="U545" s="51">
        <f>S545*T545</f>
        <v/>
      </c>
      <c r="V545" s="51">
        <f>IF(Q545=1,MAX(0,F545-E545),0)</f>
        <v/>
      </c>
    </row>
    <row r="546">
      <c r="A546" s="43" t="inlineStr">
        <is>
          <t>PO100964</t>
        </is>
      </c>
      <c r="B546" s="43" t="inlineStr">
        <is>
          <t>CMD-0044</t>
        </is>
      </c>
      <c r="C546" s="43" t="inlineStr">
        <is>
          <t>S05</t>
        </is>
      </c>
      <c r="D546" s="47" t="n">
        <v>45755</v>
      </c>
      <c r="E546" s="47" t="n">
        <v>45860</v>
      </c>
      <c r="F546" s="47" t="n">
        <v>45857</v>
      </c>
      <c r="G546" s="46" t="n">
        <v>7500</v>
      </c>
      <c r="H546" s="46" t="n">
        <v>7500</v>
      </c>
      <c r="I546" s="46" t="n">
        <v>136</v>
      </c>
      <c r="J546" s="44" t="n">
        <v>11.57</v>
      </c>
      <c r="K546" s="43" t="inlineStr">
        <is>
          <t>Received</t>
        </is>
      </c>
      <c r="L546" s="17">
        <f>INDEX(Items!$C$2:$C$117,MATCH(B546,Items!$A$2:$A$117,0))</f>
        <v/>
      </c>
      <c r="M546" s="49">
        <f>INDEX(Items!$E$2:$E$117,MATCH(B546,Items!$A$2:$A$117,0))</f>
        <v/>
      </c>
      <c r="N546" s="17">
        <f>TEXT(D546,"yyyy-mm")</f>
        <v/>
      </c>
      <c r="O546" s="50">
        <f>G546*J546</f>
        <v/>
      </c>
      <c r="P546" s="50">
        <f>(J546-M546)*G546</f>
        <v/>
      </c>
      <c r="Q546" s="51">
        <f>IF(K546="Received",1,0)</f>
        <v/>
      </c>
      <c r="R546" s="51">
        <f>IF(Q546=1,F546-D546,0)</f>
        <v/>
      </c>
      <c r="S546" s="51">
        <f>IF(Q546=1,IF(F546&lt;=E546,1,0),0)</f>
        <v/>
      </c>
      <c r="T546" s="51">
        <f>IF(Q546=1,IF(H546&gt;=G546,1,0),0)</f>
        <v/>
      </c>
      <c r="U546" s="51">
        <f>S546*T546</f>
        <v/>
      </c>
      <c r="V546" s="51">
        <f>IF(Q546=1,MAX(0,F546-E546),0)</f>
        <v/>
      </c>
    </row>
    <row r="547">
      <c r="A547" s="43" t="inlineStr">
        <is>
          <t>PO100872</t>
        </is>
      </c>
      <c r="B547" s="43" t="inlineStr">
        <is>
          <t>CMD-0039</t>
        </is>
      </c>
      <c r="C547" s="43" t="inlineStr">
        <is>
          <t>S07</t>
        </is>
      </c>
      <c r="D547" s="47" t="n">
        <v>45756</v>
      </c>
      <c r="E547" s="47" t="n">
        <v>45798</v>
      </c>
      <c r="F547" s="47" t="n">
        <v>45796</v>
      </c>
      <c r="G547" s="46" t="n">
        <v>358</v>
      </c>
      <c r="H547" s="46" t="n">
        <v>358</v>
      </c>
      <c r="I547" s="46" t="n">
        <v>2</v>
      </c>
      <c r="J547" s="44" t="n">
        <v>51.99</v>
      </c>
      <c r="K547" s="43" t="inlineStr">
        <is>
          <t>Received</t>
        </is>
      </c>
      <c r="L547" s="17">
        <f>INDEX(Items!$C$2:$C$117,MATCH(B547,Items!$A$2:$A$117,0))</f>
        <v/>
      </c>
      <c r="M547" s="49">
        <f>INDEX(Items!$E$2:$E$117,MATCH(B547,Items!$A$2:$A$117,0))</f>
        <v/>
      </c>
      <c r="N547" s="17">
        <f>TEXT(D547,"yyyy-mm")</f>
        <v/>
      </c>
      <c r="O547" s="50">
        <f>G547*J547</f>
        <v/>
      </c>
      <c r="P547" s="50">
        <f>(J547-M547)*G547</f>
        <v/>
      </c>
      <c r="Q547" s="51">
        <f>IF(K547="Received",1,0)</f>
        <v/>
      </c>
      <c r="R547" s="51">
        <f>IF(Q547=1,F547-D547,0)</f>
        <v/>
      </c>
      <c r="S547" s="51">
        <f>IF(Q547=1,IF(F547&lt;=E547,1,0),0)</f>
        <v/>
      </c>
      <c r="T547" s="51">
        <f>IF(Q547=1,IF(H547&gt;=G547,1,0),0)</f>
        <v/>
      </c>
      <c r="U547" s="51">
        <f>S547*T547</f>
        <v/>
      </c>
      <c r="V547" s="51">
        <f>IF(Q547=1,MAX(0,F547-E547),0)</f>
        <v/>
      </c>
    </row>
    <row r="548">
      <c r="A548" s="43" t="inlineStr">
        <is>
          <t>PO100394</t>
        </is>
      </c>
      <c r="B548" s="43" t="inlineStr">
        <is>
          <t>CMD-0018</t>
        </is>
      </c>
      <c r="C548" s="43" t="inlineStr">
        <is>
          <t>S02</t>
        </is>
      </c>
      <c r="D548" s="47" t="n">
        <v>45756</v>
      </c>
      <c r="E548" s="47" t="n">
        <v>45812</v>
      </c>
      <c r="F548" s="47" t="n">
        <v>45809</v>
      </c>
      <c r="G548" s="46" t="n">
        <v>7444</v>
      </c>
      <c r="H548" s="46" t="n">
        <v>7444</v>
      </c>
      <c r="I548" s="46" t="n">
        <v>22</v>
      </c>
      <c r="J548" s="44" t="n">
        <v>37.92</v>
      </c>
      <c r="K548" s="43" t="inlineStr">
        <is>
          <t>Received</t>
        </is>
      </c>
      <c r="L548" s="17">
        <f>INDEX(Items!$C$2:$C$117,MATCH(B548,Items!$A$2:$A$117,0))</f>
        <v/>
      </c>
      <c r="M548" s="49">
        <f>INDEX(Items!$E$2:$E$117,MATCH(B548,Items!$A$2:$A$117,0))</f>
        <v/>
      </c>
      <c r="N548" s="17">
        <f>TEXT(D548,"yyyy-mm")</f>
        <v/>
      </c>
      <c r="O548" s="50">
        <f>G548*J548</f>
        <v/>
      </c>
      <c r="P548" s="50">
        <f>(J548-M548)*G548</f>
        <v/>
      </c>
      <c r="Q548" s="51">
        <f>IF(K548="Received",1,0)</f>
        <v/>
      </c>
      <c r="R548" s="51">
        <f>IF(Q548=1,F548-D548,0)</f>
        <v/>
      </c>
      <c r="S548" s="51">
        <f>IF(Q548=1,IF(F548&lt;=E548,1,0),0)</f>
        <v/>
      </c>
      <c r="T548" s="51">
        <f>IF(Q548=1,IF(H548&gt;=G548,1,0),0)</f>
        <v/>
      </c>
      <c r="U548" s="51">
        <f>S548*T548</f>
        <v/>
      </c>
      <c r="V548" s="51">
        <f>IF(Q548=1,MAX(0,F548-E548),0)</f>
        <v/>
      </c>
    </row>
    <row r="549">
      <c r="A549" s="43" t="inlineStr">
        <is>
          <t>PO100550</t>
        </is>
      </c>
      <c r="B549" s="43" t="inlineStr">
        <is>
          <t>CMD-0025</t>
        </is>
      </c>
      <c r="C549" s="43" t="inlineStr">
        <is>
          <t>S02</t>
        </is>
      </c>
      <c r="D549" s="47" t="n">
        <v>45756</v>
      </c>
      <c r="E549" s="47" t="n">
        <v>45812</v>
      </c>
      <c r="F549" s="47" t="n">
        <v>45812</v>
      </c>
      <c r="G549" s="46" t="n">
        <v>1167</v>
      </c>
      <c r="H549" s="46" t="n">
        <v>1167</v>
      </c>
      <c r="I549" s="46" t="n">
        <v>6</v>
      </c>
      <c r="J549" s="44" t="n">
        <v>10.52</v>
      </c>
      <c r="K549" s="43" t="inlineStr">
        <is>
          <t>Received</t>
        </is>
      </c>
      <c r="L549" s="17">
        <f>INDEX(Items!$C$2:$C$117,MATCH(B549,Items!$A$2:$A$117,0))</f>
        <v/>
      </c>
      <c r="M549" s="49">
        <f>INDEX(Items!$E$2:$E$117,MATCH(B549,Items!$A$2:$A$117,0))</f>
        <v/>
      </c>
      <c r="N549" s="17">
        <f>TEXT(D549,"yyyy-mm")</f>
        <v/>
      </c>
      <c r="O549" s="50">
        <f>G549*J549</f>
        <v/>
      </c>
      <c r="P549" s="50">
        <f>(J549-M549)*G549</f>
        <v/>
      </c>
      <c r="Q549" s="51">
        <f>IF(K549="Received",1,0)</f>
        <v/>
      </c>
      <c r="R549" s="51">
        <f>IF(Q549=1,F549-D549,0)</f>
        <v/>
      </c>
      <c r="S549" s="51">
        <f>IF(Q549=1,IF(F549&lt;=E549,1,0),0)</f>
        <v/>
      </c>
      <c r="T549" s="51">
        <f>IF(Q549=1,IF(H549&gt;=G549,1,0),0)</f>
        <v/>
      </c>
      <c r="U549" s="51">
        <f>S549*T549</f>
        <v/>
      </c>
      <c r="V549" s="51">
        <f>IF(Q549=1,MAX(0,F549-E549),0)</f>
        <v/>
      </c>
    </row>
    <row r="550">
      <c r="A550" s="43" t="inlineStr">
        <is>
          <t>PO101012</t>
        </is>
      </c>
      <c r="B550" s="43" t="inlineStr">
        <is>
          <t>CMD-0046</t>
        </is>
      </c>
      <c r="C550" s="43" t="inlineStr">
        <is>
          <t>S05</t>
        </is>
      </c>
      <c r="D550" s="47" t="n">
        <v>45756</v>
      </c>
      <c r="E550" s="47" t="n">
        <v>45861</v>
      </c>
      <c r="F550" s="47" t="n">
        <v>45860</v>
      </c>
      <c r="G550" s="46" t="n">
        <v>10035</v>
      </c>
      <c r="H550" s="46" t="n">
        <v>10035</v>
      </c>
      <c r="I550" s="46" t="n">
        <v>181</v>
      </c>
      <c r="J550" s="44" t="n">
        <v>10.57</v>
      </c>
      <c r="K550" s="43" t="inlineStr">
        <is>
          <t>Received</t>
        </is>
      </c>
      <c r="L550" s="17">
        <f>INDEX(Items!$C$2:$C$117,MATCH(B550,Items!$A$2:$A$117,0))</f>
        <v/>
      </c>
      <c r="M550" s="49">
        <f>INDEX(Items!$E$2:$E$117,MATCH(B550,Items!$A$2:$A$117,0))</f>
        <v/>
      </c>
      <c r="N550" s="17">
        <f>TEXT(D550,"yyyy-mm")</f>
        <v/>
      </c>
      <c r="O550" s="50">
        <f>G550*J550</f>
        <v/>
      </c>
      <c r="P550" s="50">
        <f>(J550-M550)*G550</f>
        <v/>
      </c>
      <c r="Q550" s="51">
        <f>IF(K550="Received",1,0)</f>
        <v/>
      </c>
      <c r="R550" s="51">
        <f>IF(Q550=1,F550-D550,0)</f>
        <v/>
      </c>
      <c r="S550" s="51">
        <f>IF(Q550=1,IF(F550&lt;=E550,1,0),0)</f>
        <v/>
      </c>
      <c r="T550" s="51">
        <f>IF(Q550=1,IF(H550&gt;=G550,1,0),0)</f>
        <v/>
      </c>
      <c r="U550" s="51">
        <f>S550*T550</f>
        <v/>
      </c>
      <c r="V550" s="51">
        <f>IF(Q550=1,MAX(0,F550-E550),0)</f>
        <v/>
      </c>
    </row>
    <row r="551">
      <c r="A551" s="43" t="inlineStr">
        <is>
          <t>PO100728</t>
        </is>
      </c>
      <c r="B551" s="43" t="inlineStr">
        <is>
          <t>CMD-0033</t>
        </is>
      </c>
      <c r="C551" s="43" t="inlineStr">
        <is>
          <t>S07</t>
        </is>
      </c>
      <c r="D551" s="47" t="n">
        <v>45756</v>
      </c>
      <c r="E551" s="47" t="n">
        <v>45798</v>
      </c>
      <c r="F551" s="47" t="n">
        <v>45797</v>
      </c>
      <c r="G551" s="46" t="n">
        <v>3922</v>
      </c>
      <c r="H551" s="46" t="n">
        <v>3922</v>
      </c>
      <c r="I551" s="46" t="n">
        <v>25</v>
      </c>
      <c r="J551" s="44" t="n">
        <v>58.36</v>
      </c>
      <c r="K551" s="43" t="inlineStr">
        <is>
          <t>Received</t>
        </is>
      </c>
      <c r="L551" s="17">
        <f>INDEX(Items!$C$2:$C$117,MATCH(B551,Items!$A$2:$A$117,0))</f>
        <v/>
      </c>
      <c r="M551" s="49">
        <f>INDEX(Items!$E$2:$E$117,MATCH(B551,Items!$A$2:$A$117,0))</f>
        <v/>
      </c>
      <c r="N551" s="17">
        <f>TEXT(D551,"yyyy-mm")</f>
        <v/>
      </c>
      <c r="O551" s="50">
        <f>G551*J551</f>
        <v/>
      </c>
      <c r="P551" s="50">
        <f>(J551-M551)*G551</f>
        <v/>
      </c>
      <c r="Q551" s="51">
        <f>IF(K551="Received",1,0)</f>
        <v/>
      </c>
      <c r="R551" s="51">
        <f>IF(Q551=1,F551-D551,0)</f>
        <v/>
      </c>
      <c r="S551" s="51">
        <f>IF(Q551=1,IF(F551&lt;=E551,1,0),0)</f>
        <v/>
      </c>
      <c r="T551" s="51">
        <f>IF(Q551=1,IF(H551&gt;=G551,1,0),0)</f>
        <v/>
      </c>
      <c r="U551" s="51">
        <f>S551*T551</f>
        <v/>
      </c>
      <c r="V551" s="51">
        <f>IF(Q551=1,MAX(0,F551-E551),0)</f>
        <v/>
      </c>
    </row>
    <row r="552">
      <c r="A552" s="43" t="inlineStr">
        <is>
          <t>PO101486</t>
        </is>
      </c>
      <c r="B552" s="43" t="inlineStr">
        <is>
          <t>CMD-0079</t>
        </is>
      </c>
      <c r="C552" s="43" t="inlineStr">
        <is>
          <t>S06</t>
        </is>
      </c>
      <c r="D552" s="47" t="n">
        <v>45756</v>
      </c>
      <c r="E552" s="47" t="n">
        <v>45777</v>
      </c>
      <c r="F552" s="47" t="n">
        <v>45777</v>
      </c>
      <c r="G552" s="46" t="n">
        <v>1978</v>
      </c>
      <c r="H552" s="46" t="n">
        <v>1978</v>
      </c>
      <c r="I552" s="46" t="n">
        <v>12</v>
      </c>
      <c r="J552" s="44" t="n">
        <v>3.53</v>
      </c>
      <c r="K552" s="43" t="inlineStr">
        <is>
          <t>Received</t>
        </is>
      </c>
      <c r="L552" s="17">
        <f>INDEX(Items!$C$2:$C$117,MATCH(B552,Items!$A$2:$A$117,0))</f>
        <v/>
      </c>
      <c r="M552" s="49">
        <f>INDEX(Items!$E$2:$E$117,MATCH(B552,Items!$A$2:$A$117,0))</f>
        <v/>
      </c>
      <c r="N552" s="17">
        <f>TEXT(D552,"yyyy-mm")</f>
        <v/>
      </c>
      <c r="O552" s="50">
        <f>G552*J552</f>
        <v/>
      </c>
      <c r="P552" s="50">
        <f>(J552-M552)*G552</f>
        <v/>
      </c>
      <c r="Q552" s="51">
        <f>IF(K552="Received",1,0)</f>
        <v/>
      </c>
      <c r="R552" s="51">
        <f>IF(Q552=1,F552-D552,0)</f>
        <v/>
      </c>
      <c r="S552" s="51">
        <f>IF(Q552=1,IF(F552&lt;=E552,1,0),0)</f>
        <v/>
      </c>
      <c r="T552" s="51">
        <f>IF(Q552=1,IF(H552&gt;=G552,1,0),0)</f>
        <v/>
      </c>
      <c r="U552" s="51">
        <f>S552*T552</f>
        <v/>
      </c>
      <c r="V552" s="51">
        <f>IF(Q552=1,MAX(0,F552-E552),0)</f>
        <v/>
      </c>
    </row>
    <row r="553">
      <c r="A553" s="43" t="inlineStr">
        <is>
          <t>PO101696</t>
        </is>
      </c>
      <c r="B553" s="43" t="inlineStr">
        <is>
          <t>CMD-0093</t>
        </is>
      </c>
      <c r="C553" s="43" t="inlineStr">
        <is>
          <t>S08</t>
        </is>
      </c>
      <c r="D553" s="47" t="n">
        <v>45756</v>
      </c>
      <c r="E553" s="47" t="n">
        <v>45833</v>
      </c>
      <c r="F553" s="47" t="n">
        <v>45832</v>
      </c>
      <c r="G553" s="46" t="n">
        <v>626</v>
      </c>
      <c r="H553" s="46" t="n">
        <v>474</v>
      </c>
      <c r="I553" s="46" t="n">
        <v>4</v>
      </c>
      <c r="J553" s="44" t="n">
        <v>59.41</v>
      </c>
      <c r="K553" s="43" t="inlineStr">
        <is>
          <t>Received</t>
        </is>
      </c>
      <c r="L553" s="17">
        <f>INDEX(Items!$C$2:$C$117,MATCH(B553,Items!$A$2:$A$117,0))</f>
        <v/>
      </c>
      <c r="M553" s="49">
        <f>INDEX(Items!$E$2:$E$117,MATCH(B553,Items!$A$2:$A$117,0))</f>
        <v/>
      </c>
      <c r="N553" s="17">
        <f>TEXT(D553,"yyyy-mm")</f>
        <v/>
      </c>
      <c r="O553" s="50">
        <f>G553*J553</f>
        <v/>
      </c>
      <c r="P553" s="50">
        <f>(J553-M553)*G553</f>
        <v/>
      </c>
      <c r="Q553" s="51">
        <f>IF(K553="Received",1,0)</f>
        <v/>
      </c>
      <c r="R553" s="51">
        <f>IF(Q553=1,F553-D553,0)</f>
        <v/>
      </c>
      <c r="S553" s="51">
        <f>IF(Q553=1,IF(F553&lt;=E553,1,0),0)</f>
        <v/>
      </c>
      <c r="T553" s="51">
        <f>IF(Q553=1,IF(H553&gt;=G553,1,0),0)</f>
        <v/>
      </c>
      <c r="U553" s="51">
        <f>S553*T553</f>
        <v/>
      </c>
      <c r="V553" s="51">
        <f>IF(Q553=1,MAX(0,F553-E553),0)</f>
        <v/>
      </c>
    </row>
    <row r="554">
      <c r="A554" s="43" t="inlineStr">
        <is>
          <t>PO101896</t>
        </is>
      </c>
      <c r="B554" s="43" t="inlineStr">
        <is>
          <t>CMD-0103</t>
        </is>
      </c>
      <c r="C554" s="43" t="inlineStr">
        <is>
          <t>S09</t>
        </is>
      </c>
      <c r="D554" s="47" t="n">
        <v>45757</v>
      </c>
      <c r="E554" s="47" t="n">
        <v>45778</v>
      </c>
      <c r="F554" s="47" t="n">
        <v>45778</v>
      </c>
      <c r="G554" s="46" t="n">
        <v>1416</v>
      </c>
      <c r="H554" s="46" t="n">
        <v>1416</v>
      </c>
      <c r="I554" s="46" t="n">
        <v>2</v>
      </c>
      <c r="J554" s="44" t="n">
        <v>4.18</v>
      </c>
      <c r="K554" s="43" t="inlineStr">
        <is>
          <t>Received</t>
        </is>
      </c>
      <c r="L554" s="17">
        <f>INDEX(Items!$C$2:$C$117,MATCH(B554,Items!$A$2:$A$117,0))</f>
        <v/>
      </c>
      <c r="M554" s="49">
        <f>INDEX(Items!$E$2:$E$117,MATCH(B554,Items!$A$2:$A$117,0))</f>
        <v/>
      </c>
      <c r="N554" s="17">
        <f>TEXT(D554,"yyyy-mm")</f>
        <v/>
      </c>
      <c r="O554" s="50">
        <f>G554*J554</f>
        <v/>
      </c>
      <c r="P554" s="50">
        <f>(J554-M554)*G554</f>
        <v/>
      </c>
      <c r="Q554" s="51">
        <f>IF(K554="Received",1,0)</f>
        <v/>
      </c>
      <c r="R554" s="51">
        <f>IF(Q554=1,F554-D554,0)</f>
        <v/>
      </c>
      <c r="S554" s="51">
        <f>IF(Q554=1,IF(F554&lt;=E554,1,0),0)</f>
        <v/>
      </c>
      <c r="T554" s="51">
        <f>IF(Q554=1,IF(H554&gt;=G554,1,0),0)</f>
        <v/>
      </c>
      <c r="U554" s="51">
        <f>S554*T554</f>
        <v/>
      </c>
      <c r="V554" s="51">
        <f>IF(Q554=1,MAX(0,F554-E554),0)</f>
        <v/>
      </c>
    </row>
    <row r="555">
      <c r="A555" s="43" t="inlineStr">
        <is>
          <t>PO100598</t>
        </is>
      </c>
      <c r="B555" s="43" t="inlineStr">
        <is>
          <t>CMD-0027</t>
        </is>
      </c>
      <c r="C555" s="43" t="inlineStr">
        <is>
          <t>S04</t>
        </is>
      </c>
      <c r="D555" s="47" t="n">
        <v>45757</v>
      </c>
      <c r="E555" s="47" t="n">
        <v>45827</v>
      </c>
      <c r="F555" s="47" t="n">
        <v>45826</v>
      </c>
      <c r="G555" s="46" t="n">
        <v>7331</v>
      </c>
      <c r="H555" s="46" t="n">
        <v>7331</v>
      </c>
      <c r="I555" s="46" t="n">
        <v>69</v>
      </c>
      <c r="J555" s="44" t="n">
        <v>8.85</v>
      </c>
      <c r="K555" s="43" t="inlineStr">
        <is>
          <t>Received</t>
        </is>
      </c>
      <c r="L555" s="17">
        <f>INDEX(Items!$C$2:$C$117,MATCH(B555,Items!$A$2:$A$117,0))</f>
        <v/>
      </c>
      <c r="M555" s="49">
        <f>INDEX(Items!$E$2:$E$117,MATCH(B555,Items!$A$2:$A$117,0))</f>
        <v/>
      </c>
      <c r="N555" s="17">
        <f>TEXT(D555,"yyyy-mm")</f>
        <v/>
      </c>
      <c r="O555" s="50">
        <f>G555*J555</f>
        <v/>
      </c>
      <c r="P555" s="50">
        <f>(J555-M555)*G555</f>
        <v/>
      </c>
      <c r="Q555" s="51">
        <f>IF(K555="Received",1,0)</f>
        <v/>
      </c>
      <c r="R555" s="51">
        <f>IF(Q555=1,F555-D555,0)</f>
        <v/>
      </c>
      <c r="S555" s="51">
        <f>IF(Q555=1,IF(F555&lt;=E555,1,0),0)</f>
        <v/>
      </c>
      <c r="T555" s="51">
        <f>IF(Q555=1,IF(H555&gt;=G555,1,0),0)</f>
        <v/>
      </c>
      <c r="U555" s="51">
        <f>S555*T555</f>
        <v/>
      </c>
      <c r="V555" s="51">
        <f>IF(Q555=1,MAX(0,F555-E555),0)</f>
        <v/>
      </c>
    </row>
    <row r="556">
      <c r="A556" s="43" t="inlineStr">
        <is>
          <t>PO101966</t>
        </is>
      </c>
      <c r="B556" s="43" t="inlineStr">
        <is>
          <t>CMD-0109</t>
        </is>
      </c>
      <c r="C556" s="43" t="inlineStr">
        <is>
          <t>S12</t>
        </is>
      </c>
      <c r="D556" s="47" t="n">
        <v>45757</v>
      </c>
      <c r="E556" s="47" t="n">
        <v>45764</v>
      </c>
      <c r="F556" s="47" t="n">
        <v>45764</v>
      </c>
      <c r="G556" s="46" t="n">
        <v>6389</v>
      </c>
      <c r="H556" s="46" t="n">
        <v>6389</v>
      </c>
      <c r="I556" s="46" t="n">
        <v>4</v>
      </c>
      <c r="J556" s="44" t="n">
        <v>1.7</v>
      </c>
      <c r="K556" s="43" t="inlineStr">
        <is>
          <t>Received</t>
        </is>
      </c>
      <c r="L556" s="17">
        <f>INDEX(Items!$C$2:$C$117,MATCH(B556,Items!$A$2:$A$117,0))</f>
        <v/>
      </c>
      <c r="M556" s="49">
        <f>INDEX(Items!$E$2:$E$117,MATCH(B556,Items!$A$2:$A$117,0))</f>
        <v/>
      </c>
      <c r="N556" s="17">
        <f>TEXT(D556,"yyyy-mm")</f>
        <v/>
      </c>
      <c r="O556" s="50">
        <f>G556*J556</f>
        <v/>
      </c>
      <c r="P556" s="50">
        <f>(J556-M556)*G556</f>
        <v/>
      </c>
      <c r="Q556" s="51">
        <f>IF(K556="Received",1,0)</f>
        <v/>
      </c>
      <c r="R556" s="51">
        <f>IF(Q556=1,F556-D556,0)</f>
        <v/>
      </c>
      <c r="S556" s="51">
        <f>IF(Q556=1,IF(F556&lt;=E556,1,0),0)</f>
        <v/>
      </c>
      <c r="T556" s="51">
        <f>IF(Q556=1,IF(H556&gt;=G556,1,0),0)</f>
        <v/>
      </c>
      <c r="U556" s="51">
        <f>S556*T556</f>
        <v/>
      </c>
      <c r="V556" s="51">
        <f>IF(Q556=1,MAX(0,F556-E556),0)</f>
        <v/>
      </c>
    </row>
    <row r="557">
      <c r="A557" s="43" t="inlineStr">
        <is>
          <t>PO100078</t>
        </is>
      </c>
      <c r="B557" s="43" t="inlineStr">
        <is>
          <t>CMD-0004</t>
        </is>
      </c>
      <c r="C557" s="43" t="inlineStr">
        <is>
          <t>S07</t>
        </is>
      </c>
      <c r="D557" s="47" t="n">
        <v>45757</v>
      </c>
      <c r="E557" s="47" t="n">
        <v>45848</v>
      </c>
      <c r="F557" s="47" t="n">
        <v>45846</v>
      </c>
      <c r="G557" s="46" t="n">
        <v>3374</v>
      </c>
      <c r="H557" s="46" t="n">
        <v>3374</v>
      </c>
      <c r="I557" s="46" t="n">
        <v>30</v>
      </c>
      <c r="J557" s="44" t="n">
        <v>4.05</v>
      </c>
      <c r="K557" s="43" t="inlineStr">
        <is>
          <t>Received</t>
        </is>
      </c>
      <c r="L557" s="17">
        <f>INDEX(Items!$C$2:$C$117,MATCH(B557,Items!$A$2:$A$117,0))</f>
        <v/>
      </c>
      <c r="M557" s="49">
        <f>INDEX(Items!$E$2:$E$117,MATCH(B557,Items!$A$2:$A$117,0))</f>
        <v/>
      </c>
      <c r="N557" s="17">
        <f>TEXT(D557,"yyyy-mm")</f>
        <v/>
      </c>
      <c r="O557" s="50">
        <f>G557*J557</f>
        <v/>
      </c>
      <c r="P557" s="50">
        <f>(J557-M557)*G557</f>
        <v/>
      </c>
      <c r="Q557" s="51">
        <f>IF(K557="Received",1,0)</f>
        <v/>
      </c>
      <c r="R557" s="51">
        <f>IF(Q557=1,F557-D557,0)</f>
        <v/>
      </c>
      <c r="S557" s="51">
        <f>IF(Q557=1,IF(F557&lt;=E557,1,0),0)</f>
        <v/>
      </c>
      <c r="T557" s="51">
        <f>IF(Q557=1,IF(H557&gt;=G557,1,0),0)</f>
        <v/>
      </c>
      <c r="U557" s="51">
        <f>S557*T557</f>
        <v/>
      </c>
      <c r="V557" s="51">
        <f>IF(Q557=1,MAX(0,F557-E557),0)</f>
        <v/>
      </c>
    </row>
    <row r="558">
      <c r="A558" s="43" t="inlineStr">
        <is>
          <t>PO100222</t>
        </is>
      </c>
      <c r="B558" s="43" t="inlineStr">
        <is>
          <t>CMD-0010</t>
        </is>
      </c>
      <c r="C558" s="43" t="inlineStr">
        <is>
          <t>S03</t>
        </is>
      </c>
      <c r="D558" s="47" t="n">
        <v>45757</v>
      </c>
      <c r="E558" s="47" t="n">
        <v>45890</v>
      </c>
      <c r="F558" s="47" t="n">
        <v>45890</v>
      </c>
      <c r="G558" s="46" t="n">
        <v>4691</v>
      </c>
      <c r="H558" s="46" t="n">
        <v>4405</v>
      </c>
      <c r="I558" s="46" t="n">
        <v>29</v>
      </c>
      <c r="J558" s="44" t="n">
        <v>4.63</v>
      </c>
      <c r="K558" s="43" t="inlineStr">
        <is>
          <t>Received</t>
        </is>
      </c>
      <c r="L558" s="17">
        <f>INDEX(Items!$C$2:$C$117,MATCH(B558,Items!$A$2:$A$117,0))</f>
        <v/>
      </c>
      <c r="M558" s="49">
        <f>INDEX(Items!$E$2:$E$117,MATCH(B558,Items!$A$2:$A$117,0))</f>
        <v/>
      </c>
      <c r="N558" s="17">
        <f>TEXT(D558,"yyyy-mm")</f>
        <v/>
      </c>
      <c r="O558" s="50">
        <f>G558*J558</f>
        <v/>
      </c>
      <c r="P558" s="50">
        <f>(J558-M558)*G558</f>
        <v/>
      </c>
      <c r="Q558" s="51">
        <f>IF(K558="Received",1,0)</f>
        <v/>
      </c>
      <c r="R558" s="51">
        <f>IF(Q558=1,F558-D558,0)</f>
        <v/>
      </c>
      <c r="S558" s="51">
        <f>IF(Q558=1,IF(F558&lt;=E558,1,0),0)</f>
        <v/>
      </c>
      <c r="T558" s="51">
        <f>IF(Q558=1,IF(H558&gt;=G558,1,0),0)</f>
        <v/>
      </c>
      <c r="U558" s="51">
        <f>S558*T558</f>
        <v/>
      </c>
      <c r="V558" s="51">
        <f>IF(Q558=1,MAX(0,F558-E558),0)</f>
        <v/>
      </c>
    </row>
    <row r="559">
      <c r="A559" s="43" t="inlineStr">
        <is>
          <t>PO100670</t>
        </is>
      </c>
      <c r="B559" s="43" t="inlineStr">
        <is>
          <t>CMD-0030</t>
        </is>
      </c>
      <c r="C559" s="43" t="inlineStr">
        <is>
          <t>S11</t>
        </is>
      </c>
      <c r="D559" s="47" t="n">
        <v>45757</v>
      </c>
      <c r="E559" s="47" t="n">
        <v>45834</v>
      </c>
      <c r="F559" s="47" t="n">
        <v>45831</v>
      </c>
      <c r="G559" s="46" t="n">
        <v>6894</v>
      </c>
      <c r="H559" s="46" t="n">
        <v>6894</v>
      </c>
      <c r="I559" s="46" t="n">
        <v>11</v>
      </c>
      <c r="J559" s="44" t="n">
        <v>23.19</v>
      </c>
      <c r="K559" s="43" t="inlineStr">
        <is>
          <t>Received</t>
        </is>
      </c>
      <c r="L559" s="17">
        <f>INDEX(Items!$C$2:$C$117,MATCH(B559,Items!$A$2:$A$117,0))</f>
        <v/>
      </c>
      <c r="M559" s="49">
        <f>INDEX(Items!$E$2:$E$117,MATCH(B559,Items!$A$2:$A$117,0))</f>
        <v/>
      </c>
      <c r="N559" s="17">
        <f>TEXT(D559,"yyyy-mm")</f>
        <v/>
      </c>
      <c r="O559" s="50">
        <f>G559*J559</f>
        <v/>
      </c>
      <c r="P559" s="50">
        <f>(J559-M559)*G559</f>
        <v/>
      </c>
      <c r="Q559" s="51">
        <f>IF(K559="Received",1,0)</f>
        <v/>
      </c>
      <c r="R559" s="51">
        <f>IF(Q559=1,F559-D559,0)</f>
        <v/>
      </c>
      <c r="S559" s="51">
        <f>IF(Q559=1,IF(F559&lt;=E559,1,0),0)</f>
        <v/>
      </c>
      <c r="T559" s="51">
        <f>IF(Q559=1,IF(H559&gt;=G559,1,0),0)</f>
        <v/>
      </c>
      <c r="U559" s="51">
        <f>S559*T559</f>
        <v/>
      </c>
      <c r="V559" s="51">
        <f>IF(Q559=1,MAX(0,F559-E559),0)</f>
        <v/>
      </c>
    </row>
    <row r="560">
      <c r="A560" s="43" t="inlineStr">
        <is>
          <t>PO100824</t>
        </is>
      </c>
      <c r="B560" s="43" t="inlineStr">
        <is>
          <t>CMD-0037</t>
        </is>
      </c>
      <c r="C560" s="43" t="inlineStr">
        <is>
          <t>S07</t>
        </is>
      </c>
      <c r="D560" s="47" t="n">
        <v>45757</v>
      </c>
      <c r="E560" s="47" t="n">
        <v>45799</v>
      </c>
      <c r="F560" s="47" t="n">
        <v>45796</v>
      </c>
      <c r="G560" s="46" t="n">
        <v>431</v>
      </c>
      <c r="H560" s="46" t="n">
        <v>431</v>
      </c>
      <c r="I560" s="46" t="n">
        <v>3</v>
      </c>
      <c r="J560" s="44" t="n">
        <v>53.62</v>
      </c>
      <c r="K560" s="43" t="inlineStr">
        <is>
          <t>Received</t>
        </is>
      </c>
      <c r="L560" s="17">
        <f>INDEX(Items!$C$2:$C$117,MATCH(B560,Items!$A$2:$A$117,0))</f>
        <v/>
      </c>
      <c r="M560" s="49">
        <f>INDEX(Items!$E$2:$E$117,MATCH(B560,Items!$A$2:$A$117,0))</f>
        <v/>
      </c>
      <c r="N560" s="17">
        <f>TEXT(D560,"yyyy-mm")</f>
        <v/>
      </c>
      <c r="O560" s="50">
        <f>G560*J560</f>
        <v/>
      </c>
      <c r="P560" s="50">
        <f>(J560-M560)*G560</f>
        <v/>
      </c>
      <c r="Q560" s="51">
        <f>IF(K560="Received",1,0)</f>
        <v/>
      </c>
      <c r="R560" s="51">
        <f>IF(Q560=1,F560-D560,0)</f>
        <v/>
      </c>
      <c r="S560" s="51">
        <f>IF(Q560=1,IF(F560&lt;=E560,1,0),0)</f>
        <v/>
      </c>
      <c r="T560" s="51">
        <f>IF(Q560=1,IF(H560&gt;=G560,1,0),0)</f>
        <v/>
      </c>
      <c r="U560" s="51">
        <f>S560*T560</f>
        <v/>
      </c>
      <c r="V560" s="51">
        <f>IF(Q560=1,MAX(0,F560-E560),0)</f>
        <v/>
      </c>
    </row>
    <row r="561">
      <c r="A561" s="43" t="inlineStr">
        <is>
          <t>PO100526</t>
        </is>
      </c>
      <c r="B561" s="43" t="inlineStr">
        <is>
          <t>CMD-0024</t>
        </is>
      </c>
      <c r="C561" s="43" t="inlineStr">
        <is>
          <t>S04</t>
        </is>
      </c>
      <c r="D561" s="47" t="n">
        <v>45757</v>
      </c>
      <c r="E561" s="47" t="n">
        <v>45827</v>
      </c>
      <c r="F561" s="47" t="n">
        <v>45827</v>
      </c>
      <c r="G561" s="46" t="n">
        <v>4560</v>
      </c>
      <c r="H561" s="46" t="n">
        <v>4560</v>
      </c>
      <c r="I561" s="46" t="n">
        <v>28</v>
      </c>
      <c r="J561" s="44" t="n">
        <v>3.31</v>
      </c>
      <c r="K561" s="43" t="inlineStr">
        <is>
          <t>Received</t>
        </is>
      </c>
      <c r="L561" s="17">
        <f>INDEX(Items!$C$2:$C$117,MATCH(B561,Items!$A$2:$A$117,0))</f>
        <v/>
      </c>
      <c r="M561" s="49">
        <f>INDEX(Items!$E$2:$E$117,MATCH(B561,Items!$A$2:$A$117,0))</f>
        <v/>
      </c>
      <c r="N561" s="17">
        <f>TEXT(D561,"yyyy-mm")</f>
        <v/>
      </c>
      <c r="O561" s="50">
        <f>G561*J561</f>
        <v/>
      </c>
      <c r="P561" s="50">
        <f>(J561-M561)*G561</f>
        <v/>
      </c>
      <c r="Q561" s="51">
        <f>IF(K561="Received",1,0)</f>
        <v/>
      </c>
      <c r="R561" s="51">
        <f>IF(Q561=1,F561-D561,0)</f>
        <v/>
      </c>
      <c r="S561" s="51">
        <f>IF(Q561=1,IF(F561&lt;=E561,1,0),0)</f>
        <v/>
      </c>
      <c r="T561" s="51">
        <f>IF(Q561=1,IF(H561&gt;=G561,1,0),0)</f>
        <v/>
      </c>
      <c r="U561" s="51">
        <f>S561*T561</f>
        <v/>
      </c>
      <c r="V561" s="51">
        <f>IF(Q561=1,MAX(0,F561-E561),0)</f>
        <v/>
      </c>
    </row>
    <row r="562">
      <c r="A562" s="43" t="inlineStr">
        <is>
          <t>PO100246</t>
        </is>
      </c>
      <c r="B562" s="43" t="inlineStr">
        <is>
          <t>CMD-0011</t>
        </is>
      </c>
      <c r="C562" s="43" t="inlineStr">
        <is>
          <t>S07</t>
        </is>
      </c>
      <c r="D562" s="47" t="n">
        <v>45757</v>
      </c>
      <c r="E562" s="47" t="n">
        <v>45848</v>
      </c>
      <c r="F562" s="47" t="n">
        <v>45845</v>
      </c>
      <c r="G562" s="46" t="n">
        <v>3511</v>
      </c>
      <c r="H562" s="46" t="n">
        <v>3511</v>
      </c>
      <c r="I562" s="46" t="n">
        <v>28</v>
      </c>
      <c r="J562" s="44" t="n">
        <v>8.08</v>
      </c>
      <c r="K562" s="43" t="inlineStr">
        <is>
          <t>Received</t>
        </is>
      </c>
      <c r="L562" s="17">
        <f>INDEX(Items!$C$2:$C$117,MATCH(B562,Items!$A$2:$A$117,0))</f>
        <v/>
      </c>
      <c r="M562" s="49">
        <f>INDEX(Items!$E$2:$E$117,MATCH(B562,Items!$A$2:$A$117,0))</f>
        <v/>
      </c>
      <c r="N562" s="17">
        <f>TEXT(D562,"yyyy-mm")</f>
        <v/>
      </c>
      <c r="O562" s="50">
        <f>G562*J562</f>
        <v/>
      </c>
      <c r="P562" s="50">
        <f>(J562-M562)*G562</f>
        <v/>
      </c>
      <c r="Q562" s="51">
        <f>IF(K562="Received",1,0)</f>
        <v/>
      </c>
      <c r="R562" s="51">
        <f>IF(Q562=1,F562-D562,0)</f>
        <v/>
      </c>
      <c r="S562" s="51">
        <f>IF(Q562=1,IF(F562&lt;=E562,1,0),0)</f>
        <v/>
      </c>
      <c r="T562" s="51">
        <f>IF(Q562=1,IF(H562&gt;=G562,1,0),0)</f>
        <v/>
      </c>
      <c r="U562" s="51">
        <f>S562*T562</f>
        <v/>
      </c>
      <c r="V562" s="51">
        <f>IF(Q562=1,MAX(0,F562-E562),0)</f>
        <v/>
      </c>
    </row>
    <row r="563">
      <c r="A563" s="43" t="inlineStr">
        <is>
          <t>PO100776</t>
        </is>
      </c>
      <c r="B563" s="43" t="inlineStr">
        <is>
          <t>CMD-0035</t>
        </is>
      </c>
      <c r="C563" s="43" t="inlineStr">
        <is>
          <t>S01</t>
        </is>
      </c>
      <c r="D563" s="47" t="n">
        <v>45758</v>
      </c>
      <c r="E563" s="47" t="n">
        <v>45786</v>
      </c>
      <c r="F563" s="47" t="n">
        <v>45785</v>
      </c>
      <c r="G563" s="46" t="n">
        <v>644</v>
      </c>
      <c r="H563" s="46" t="n">
        <v>644</v>
      </c>
      <c r="I563" s="46" t="n">
        <v>1</v>
      </c>
      <c r="J563" s="44" t="n">
        <v>9.369999999999999</v>
      </c>
      <c r="K563" s="43" t="inlineStr">
        <is>
          <t>Received</t>
        </is>
      </c>
      <c r="L563" s="17">
        <f>INDEX(Items!$C$2:$C$117,MATCH(B563,Items!$A$2:$A$117,0))</f>
        <v/>
      </c>
      <c r="M563" s="49">
        <f>INDEX(Items!$E$2:$E$117,MATCH(B563,Items!$A$2:$A$117,0))</f>
        <v/>
      </c>
      <c r="N563" s="17">
        <f>TEXT(D563,"yyyy-mm")</f>
        <v/>
      </c>
      <c r="O563" s="50">
        <f>G563*J563</f>
        <v/>
      </c>
      <c r="P563" s="50">
        <f>(J563-M563)*G563</f>
        <v/>
      </c>
      <c r="Q563" s="51">
        <f>IF(K563="Received",1,0)</f>
        <v/>
      </c>
      <c r="R563" s="51">
        <f>IF(Q563=1,F563-D563,0)</f>
        <v/>
      </c>
      <c r="S563" s="51">
        <f>IF(Q563=1,IF(F563&lt;=E563,1,0),0)</f>
        <v/>
      </c>
      <c r="T563" s="51">
        <f>IF(Q563=1,IF(H563&gt;=G563,1,0),0)</f>
        <v/>
      </c>
      <c r="U563" s="51">
        <f>S563*T563</f>
        <v/>
      </c>
      <c r="V563" s="51">
        <f>IF(Q563=1,MAX(0,F563-E563),0)</f>
        <v/>
      </c>
    </row>
    <row r="564">
      <c r="A564" s="43" t="inlineStr">
        <is>
          <t>PO100006</t>
        </is>
      </c>
      <c r="B564" s="43" t="inlineStr">
        <is>
          <t>CMD-0001</t>
        </is>
      </c>
      <c r="C564" s="43" t="inlineStr">
        <is>
          <t>S07</t>
        </is>
      </c>
      <c r="D564" s="47" t="n">
        <v>45758</v>
      </c>
      <c r="E564" s="47" t="n">
        <v>45849</v>
      </c>
      <c r="F564" s="47" t="n">
        <v>45847</v>
      </c>
      <c r="G564" s="46" t="n">
        <v>7624</v>
      </c>
      <c r="H564" s="46" t="n">
        <v>7624</v>
      </c>
      <c r="I564" s="46" t="n">
        <v>60</v>
      </c>
      <c r="J564" s="44" t="n">
        <v>14.26</v>
      </c>
      <c r="K564" s="43" t="inlineStr">
        <is>
          <t>Received</t>
        </is>
      </c>
      <c r="L564" s="17">
        <f>INDEX(Items!$C$2:$C$117,MATCH(B564,Items!$A$2:$A$117,0))</f>
        <v/>
      </c>
      <c r="M564" s="49">
        <f>INDEX(Items!$E$2:$E$117,MATCH(B564,Items!$A$2:$A$117,0))</f>
        <v/>
      </c>
      <c r="N564" s="17">
        <f>TEXT(D564,"yyyy-mm")</f>
        <v/>
      </c>
      <c r="O564" s="50">
        <f>G564*J564</f>
        <v/>
      </c>
      <c r="P564" s="50">
        <f>(J564-M564)*G564</f>
        <v/>
      </c>
      <c r="Q564" s="51">
        <f>IF(K564="Received",1,0)</f>
        <v/>
      </c>
      <c r="R564" s="51">
        <f>IF(Q564=1,F564-D564,0)</f>
        <v/>
      </c>
      <c r="S564" s="51">
        <f>IF(Q564=1,IF(F564&lt;=E564,1,0),0)</f>
        <v/>
      </c>
      <c r="T564" s="51">
        <f>IF(Q564=1,IF(H564&gt;=G564,1,0),0)</f>
        <v/>
      </c>
      <c r="U564" s="51">
        <f>S564*T564</f>
        <v/>
      </c>
      <c r="V564" s="51">
        <f>IF(Q564=1,MAX(0,F564-E564),0)</f>
        <v/>
      </c>
    </row>
    <row r="565">
      <c r="A565" s="43" t="inlineStr">
        <is>
          <t>PO101672</t>
        </is>
      </c>
      <c r="B565" s="43" t="inlineStr">
        <is>
          <t>CMD-0092</t>
        </is>
      </c>
      <c r="C565" s="43" t="inlineStr">
        <is>
          <t>S08</t>
        </is>
      </c>
      <c r="D565" s="47" t="n">
        <v>45758</v>
      </c>
      <c r="E565" s="47" t="n">
        <v>45835</v>
      </c>
      <c r="F565" s="47" t="n">
        <v>45845</v>
      </c>
      <c r="G565" s="46" t="n">
        <v>329</v>
      </c>
      <c r="H565" s="46" t="n">
        <v>329</v>
      </c>
      <c r="I565" s="46" t="n">
        <v>3</v>
      </c>
      <c r="J565" s="44" t="n">
        <v>29.47</v>
      </c>
      <c r="K565" s="43" t="inlineStr">
        <is>
          <t>Received</t>
        </is>
      </c>
      <c r="L565" s="17">
        <f>INDEX(Items!$C$2:$C$117,MATCH(B565,Items!$A$2:$A$117,0))</f>
        <v/>
      </c>
      <c r="M565" s="49">
        <f>INDEX(Items!$E$2:$E$117,MATCH(B565,Items!$A$2:$A$117,0))</f>
        <v/>
      </c>
      <c r="N565" s="17">
        <f>TEXT(D565,"yyyy-mm")</f>
        <v/>
      </c>
      <c r="O565" s="50">
        <f>G565*J565</f>
        <v/>
      </c>
      <c r="P565" s="50">
        <f>(J565-M565)*G565</f>
        <v/>
      </c>
      <c r="Q565" s="51">
        <f>IF(K565="Received",1,0)</f>
        <v/>
      </c>
      <c r="R565" s="51">
        <f>IF(Q565=1,F565-D565,0)</f>
        <v/>
      </c>
      <c r="S565" s="51">
        <f>IF(Q565=1,IF(F565&lt;=E565,1,0),0)</f>
        <v/>
      </c>
      <c r="T565" s="51">
        <f>IF(Q565=1,IF(H565&gt;=G565,1,0),0)</f>
        <v/>
      </c>
      <c r="U565" s="51">
        <f>S565*T565</f>
        <v/>
      </c>
      <c r="V565" s="51">
        <f>IF(Q565=1,MAX(0,F565-E565),0)</f>
        <v/>
      </c>
    </row>
    <row r="566">
      <c r="A566" s="43" t="inlineStr">
        <is>
          <t>PO101314</t>
        </is>
      </c>
      <c r="B566" s="43" t="inlineStr">
        <is>
          <t>CMD-0065</t>
        </is>
      </c>
      <c r="C566" s="43" t="inlineStr">
        <is>
          <t>S10</t>
        </is>
      </c>
      <c r="D566" s="47" t="n">
        <v>45758</v>
      </c>
      <c r="E566" s="47" t="n">
        <v>45786</v>
      </c>
      <c r="F566" s="47" t="n">
        <v>45786</v>
      </c>
      <c r="G566" s="46" t="n">
        <v>110504</v>
      </c>
      <c r="H566" s="46" t="n">
        <v>110504</v>
      </c>
      <c r="I566" s="46" t="n">
        <v>104</v>
      </c>
      <c r="J566" s="44" t="n">
        <v>0.1155</v>
      </c>
      <c r="K566" s="43" t="inlineStr">
        <is>
          <t>Received</t>
        </is>
      </c>
      <c r="L566" s="17">
        <f>INDEX(Items!$C$2:$C$117,MATCH(B566,Items!$A$2:$A$117,0))</f>
        <v/>
      </c>
      <c r="M566" s="49">
        <f>INDEX(Items!$E$2:$E$117,MATCH(B566,Items!$A$2:$A$117,0))</f>
        <v/>
      </c>
      <c r="N566" s="17">
        <f>TEXT(D566,"yyyy-mm")</f>
        <v/>
      </c>
      <c r="O566" s="50">
        <f>G566*J566</f>
        <v/>
      </c>
      <c r="P566" s="50">
        <f>(J566-M566)*G566</f>
        <v/>
      </c>
      <c r="Q566" s="51">
        <f>IF(K566="Received",1,0)</f>
        <v/>
      </c>
      <c r="R566" s="51">
        <f>IF(Q566=1,F566-D566,0)</f>
        <v/>
      </c>
      <c r="S566" s="51">
        <f>IF(Q566=1,IF(F566&lt;=E566,1,0),0)</f>
        <v/>
      </c>
      <c r="T566" s="51">
        <f>IF(Q566=1,IF(H566&gt;=G566,1,0),0)</f>
        <v/>
      </c>
      <c r="U566" s="51">
        <f>S566*T566</f>
        <v/>
      </c>
      <c r="V566" s="51">
        <f>IF(Q566=1,MAX(0,F566-E566),0)</f>
        <v/>
      </c>
    </row>
    <row r="567">
      <c r="A567" s="43" t="inlineStr">
        <is>
          <t>PO101347</t>
        </is>
      </c>
      <c r="B567" s="43" t="inlineStr">
        <is>
          <t>CMD-0068</t>
        </is>
      </c>
      <c r="C567" s="43" t="inlineStr">
        <is>
          <t>S01</t>
        </is>
      </c>
      <c r="D567" s="47" t="n">
        <v>45758</v>
      </c>
      <c r="E567" s="47" t="n">
        <v>45779</v>
      </c>
      <c r="F567" s="47" t="n">
        <v>45777</v>
      </c>
      <c r="G567" s="46" t="n">
        <v>38492</v>
      </c>
      <c r="H567" s="46" t="n">
        <v>38492</v>
      </c>
      <c r="I567" s="46" t="n">
        <v>57</v>
      </c>
      <c r="J567" s="44" t="n">
        <v>0.1562</v>
      </c>
      <c r="K567" s="43" t="inlineStr">
        <is>
          <t>Received</t>
        </is>
      </c>
      <c r="L567" s="17">
        <f>INDEX(Items!$C$2:$C$117,MATCH(B567,Items!$A$2:$A$117,0))</f>
        <v/>
      </c>
      <c r="M567" s="49">
        <f>INDEX(Items!$E$2:$E$117,MATCH(B567,Items!$A$2:$A$117,0))</f>
        <v/>
      </c>
      <c r="N567" s="17">
        <f>TEXT(D567,"yyyy-mm")</f>
        <v/>
      </c>
      <c r="O567" s="50">
        <f>G567*J567</f>
        <v/>
      </c>
      <c r="P567" s="50">
        <f>(J567-M567)*G567</f>
        <v/>
      </c>
      <c r="Q567" s="51">
        <f>IF(K567="Received",1,0)</f>
        <v/>
      </c>
      <c r="R567" s="51">
        <f>IF(Q567=1,F567-D567,0)</f>
        <v/>
      </c>
      <c r="S567" s="51">
        <f>IF(Q567=1,IF(F567&lt;=E567,1,0),0)</f>
        <v/>
      </c>
      <c r="T567" s="51">
        <f>IF(Q567=1,IF(H567&gt;=G567,1,0),0)</f>
        <v/>
      </c>
      <c r="U567" s="51">
        <f>S567*T567</f>
        <v/>
      </c>
      <c r="V567" s="51">
        <f>IF(Q567=1,MAX(0,F567-E567),0)</f>
        <v/>
      </c>
    </row>
    <row r="568">
      <c r="A568" s="43" t="inlineStr">
        <is>
          <t>PO100710</t>
        </is>
      </c>
      <c r="B568" s="43" t="inlineStr">
        <is>
          <t>CMD-0032</t>
        </is>
      </c>
      <c r="C568" s="43" t="inlineStr">
        <is>
          <t>S01</t>
        </is>
      </c>
      <c r="D568" s="47" t="n">
        <v>45758</v>
      </c>
      <c r="E568" s="47" t="n">
        <v>45786</v>
      </c>
      <c r="F568" s="47" t="n">
        <v>45786</v>
      </c>
      <c r="G568" s="46" t="n">
        <v>1093</v>
      </c>
      <c r="H568" s="46" t="n">
        <v>1093</v>
      </c>
      <c r="I568" s="46" t="n">
        <v>0</v>
      </c>
      <c r="J568" s="44" t="n">
        <v>5.15</v>
      </c>
      <c r="K568" s="43" t="inlineStr">
        <is>
          <t>Received</t>
        </is>
      </c>
      <c r="L568" s="17">
        <f>INDEX(Items!$C$2:$C$117,MATCH(B568,Items!$A$2:$A$117,0))</f>
        <v/>
      </c>
      <c r="M568" s="49">
        <f>INDEX(Items!$E$2:$E$117,MATCH(B568,Items!$A$2:$A$117,0))</f>
        <v/>
      </c>
      <c r="N568" s="17">
        <f>TEXT(D568,"yyyy-mm")</f>
        <v/>
      </c>
      <c r="O568" s="50">
        <f>G568*J568</f>
        <v/>
      </c>
      <c r="P568" s="50">
        <f>(J568-M568)*G568</f>
        <v/>
      </c>
      <c r="Q568" s="51">
        <f>IF(K568="Received",1,0)</f>
        <v/>
      </c>
      <c r="R568" s="51">
        <f>IF(Q568=1,F568-D568,0)</f>
        <v/>
      </c>
      <c r="S568" s="51">
        <f>IF(Q568=1,IF(F568&lt;=E568,1,0),0)</f>
        <v/>
      </c>
      <c r="T568" s="51">
        <f>IF(Q568=1,IF(H568&gt;=G568,1,0),0)</f>
        <v/>
      </c>
      <c r="U568" s="51">
        <f>S568*T568</f>
        <v/>
      </c>
      <c r="V568" s="51">
        <f>IF(Q568=1,MAX(0,F568-E568),0)</f>
        <v/>
      </c>
    </row>
    <row r="569">
      <c r="A569" s="43" t="inlineStr">
        <is>
          <t>PO101850</t>
        </is>
      </c>
      <c r="B569" s="43" t="inlineStr">
        <is>
          <t>CMD-0101</t>
        </is>
      </c>
      <c r="C569" s="43" t="inlineStr">
        <is>
          <t>S09</t>
        </is>
      </c>
      <c r="D569" s="47" t="n">
        <v>45758</v>
      </c>
      <c r="E569" s="47" t="n">
        <v>45779</v>
      </c>
      <c r="F569" s="47" t="n">
        <v>45777</v>
      </c>
      <c r="G569" s="46" t="n">
        <v>3315</v>
      </c>
      <c r="H569" s="46" t="n">
        <v>3315</v>
      </c>
      <c r="I569" s="46" t="n">
        <v>5</v>
      </c>
      <c r="J569" s="44" t="n">
        <v>3.7</v>
      </c>
      <c r="K569" s="43" t="inlineStr">
        <is>
          <t>Received</t>
        </is>
      </c>
      <c r="L569" s="17">
        <f>INDEX(Items!$C$2:$C$117,MATCH(B569,Items!$A$2:$A$117,0))</f>
        <v/>
      </c>
      <c r="M569" s="49">
        <f>INDEX(Items!$E$2:$E$117,MATCH(B569,Items!$A$2:$A$117,0))</f>
        <v/>
      </c>
      <c r="N569" s="17">
        <f>TEXT(D569,"yyyy-mm")</f>
        <v/>
      </c>
      <c r="O569" s="50">
        <f>G569*J569</f>
        <v/>
      </c>
      <c r="P569" s="50">
        <f>(J569-M569)*G569</f>
        <v/>
      </c>
      <c r="Q569" s="51">
        <f>IF(K569="Received",1,0)</f>
        <v/>
      </c>
      <c r="R569" s="51">
        <f>IF(Q569=1,F569-D569,0)</f>
        <v/>
      </c>
      <c r="S569" s="51">
        <f>IF(Q569=1,IF(F569&lt;=E569,1,0),0)</f>
        <v/>
      </c>
      <c r="T569" s="51">
        <f>IF(Q569=1,IF(H569&gt;=G569,1,0),0)</f>
        <v/>
      </c>
      <c r="U569" s="51">
        <f>S569*T569</f>
        <v/>
      </c>
      <c r="V569" s="51">
        <f>IF(Q569=1,MAX(0,F569-E569),0)</f>
        <v/>
      </c>
    </row>
    <row r="570">
      <c r="A570" s="43" t="inlineStr">
        <is>
          <t>PO100478</t>
        </is>
      </c>
      <c r="B570" s="43" t="inlineStr">
        <is>
          <t>CMD-0022</t>
        </is>
      </c>
      <c r="C570" s="43" t="inlineStr">
        <is>
          <t>S02</t>
        </is>
      </c>
      <c r="D570" s="47" t="n">
        <v>45758</v>
      </c>
      <c r="E570" s="47" t="n">
        <v>45814</v>
      </c>
      <c r="F570" s="47" t="n">
        <v>45811</v>
      </c>
      <c r="G570" s="46" t="n">
        <v>3726</v>
      </c>
      <c r="H570" s="46" t="n">
        <v>3726</v>
      </c>
      <c r="I570" s="46" t="n">
        <v>13</v>
      </c>
      <c r="J570" s="44" t="n">
        <v>17.18</v>
      </c>
      <c r="K570" s="43" t="inlineStr">
        <is>
          <t>Received</t>
        </is>
      </c>
      <c r="L570" s="17">
        <f>INDEX(Items!$C$2:$C$117,MATCH(B570,Items!$A$2:$A$117,0))</f>
        <v/>
      </c>
      <c r="M570" s="49">
        <f>INDEX(Items!$E$2:$E$117,MATCH(B570,Items!$A$2:$A$117,0))</f>
        <v/>
      </c>
      <c r="N570" s="17">
        <f>TEXT(D570,"yyyy-mm")</f>
        <v/>
      </c>
      <c r="O570" s="50">
        <f>G570*J570</f>
        <v/>
      </c>
      <c r="P570" s="50">
        <f>(J570-M570)*G570</f>
        <v/>
      </c>
      <c r="Q570" s="51">
        <f>IF(K570="Received",1,0)</f>
        <v/>
      </c>
      <c r="R570" s="51">
        <f>IF(Q570=1,F570-D570,0)</f>
        <v/>
      </c>
      <c r="S570" s="51">
        <f>IF(Q570=1,IF(F570&lt;=E570,1,0),0)</f>
        <v/>
      </c>
      <c r="T570" s="51">
        <f>IF(Q570=1,IF(H570&gt;=G570,1,0),0)</f>
        <v/>
      </c>
      <c r="U570" s="51">
        <f>S570*T570</f>
        <v/>
      </c>
      <c r="V570" s="51">
        <f>IF(Q570=1,MAX(0,F570-E570),0)</f>
        <v/>
      </c>
    </row>
    <row r="571">
      <c r="A571" s="43" t="inlineStr">
        <is>
          <t>PO101164</t>
        </is>
      </c>
      <c r="B571" s="43" t="inlineStr">
        <is>
          <t>CMD-0054</t>
        </is>
      </c>
      <c r="C571" s="43" t="inlineStr">
        <is>
          <t>S10</t>
        </is>
      </c>
      <c r="D571" s="47" t="n">
        <v>45758</v>
      </c>
      <c r="E571" s="47" t="n">
        <v>45786</v>
      </c>
      <c r="F571" s="47" t="n">
        <v>45785</v>
      </c>
      <c r="G571" s="46" t="n">
        <v>47269</v>
      </c>
      <c r="H571" s="46" t="n">
        <v>47269</v>
      </c>
      <c r="I571" s="46" t="n">
        <v>42</v>
      </c>
      <c r="J571" s="44" t="n">
        <v>0.1687</v>
      </c>
      <c r="K571" s="43" t="inlineStr">
        <is>
          <t>Received</t>
        </is>
      </c>
      <c r="L571" s="17">
        <f>INDEX(Items!$C$2:$C$117,MATCH(B571,Items!$A$2:$A$117,0))</f>
        <v/>
      </c>
      <c r="M571" s="49">
        <f>INDEX(Items!$E$2:$E$117,MATCH(B571,Items!$A$2:$A$117,0))</f>
        <v/>
      </c>
      <c r="N571" s="17">
        <f>TEXT(D571,"yyyy-mm")</f>
        <v/>
      </c>
      <c r="O571" s="50">
        <f>G571*J571</f>
        <v/>
      </c>
      <c r="P571" s="50">
        <f>(J571-M571)*G571</f>
        <v/>
      </c>
      <c r="Q571" s="51">
        <f>IF(K571="Received",1,0)</f>
        <v/>
      </c>
      <c r="R571" s="51">
        <f>IF(Q571=1,F571-D571,0)</f>
        <v/>
      </c>
      <c r="S571" s="51">
        <f>IF(Q571=1,IF(F571&lt;=E571,1,0),0)</f>
        <v/>
      </c>
      <c r="T571" s="51">
        <f>IF(Q571=1,IF(H571&gt;=G571,1,0),0)</f>
        <v/>
      </c>
      <c r="U571" s="51">
        <f>S571*T571</f>
        <v/>
      </c>
      <c r="V571" s="51">
        <f>IF(Q571=1,MAX(0,F571-E571),0)</f>
        <v/>
      </c>
    </row>
    <row r="572">
      <c r="A572" s="43" t="inlineStr">
        <is>
          <t>PO101188</t>
        </is>
      </c>
      <c r="B572" s="43" t="inlineStr">
        <is>
          <t>CMD-0055</t>
        </is>
      </c>
      <c r="C572" s="43" t="inlineStr">
        <is>
          <t>S04</t>
        </is>
      </c>
      <c r="D572" s="47" t="n">
        <v>45758</v>
      </c>
      <c r="E572" s="47" t="n">
        <v>45793</v>
      </c>
      <c r="F572" s="47" t="n">
        <v>45791</v>
      </c>
      <c r="G572" s="46" t="n">
        <v>108253</v>
      </c>
      <c r="H572" s="46" t="n">
        <v>108253</v>
      </c>
      <c r="I572" s="46" t="n">
        <v>1080</v>
      </c>
      <c r="J572" s="44" t="n">
        <v>0.09379999999999999</v>
      </c>
      <c r="K572" s="43" t="inlineStr">
        <is>
          <t>Received</t>
        </is>
      </c>
      <c r="L572" s="17">
        <f>INDEX(Items!$C$2:$C$117,MATCH(B572,Items!$A$2:$A$117,0))</f>
        <v/>
      </c>
      <c r="M572" s="49">
        <f>INDEX(Items!$E$2:$E$117,MATCH(B572,Items!$A$2:$A$117,0))</f>
        <v/>
      </c>
      <c r="N572" s="17">
        <f>TEXT(D572,"yyyy-mm")</f>
        <v/>
      </c>
      <c r="O572" s="50">
        <f>G572*J572</f>
        <v/>
      </c>
      <c r="P572" s="50">
        <f>(J572-M572)*G572</f>
        <v/>
      </c>
      <c r="Q572" s="51">
        <f>IF(K572="Received",1,0)</f>
        <v/>
      </c>
      <c r="R572" s="51">
        <f>IF(Q572=1,F572-D572,0)</f>
        <v/>
      </c>
      <c r="S572" s="51">
        <f>IF(Q572=1,IF(F572&lt;=E572,1,0),0)</f>
        <v/>
      </c>
      <c r="T572" s="51">
        <f>IF(Q572=1,IF(H572&gt;=G572,1,0),0)</f>
        <v/>
      </c>
      <c r="U572" s="51">
        <f>S572*T572</f>
        <v/>
      </c>
      <c r="V572" s="51">
        <f>IF(Q572=1,MAX(0,F572-E572),0)</f>
        <v/>
      </c>
    </row>
    <row r="573">
      <c r="A573" s="43" t="inlineStr">
        <is>
          <t>PO100174</t>
        </is>
      </c>
      <c r="B573" s="43" t="inlineStr">
        <is>
          <t>CMD-0008</t>
        </is>
      </c>
      <c r="C573" s="43" t="inlineStr">
        <is>
          <t>S03</t>
        </is>
      </c>
      <c r="D573" s="47" t="n">
        <v>45759</v>
      </c>
      <c r="E573" s="47" t="n">
        <v>45892</v>
      </c>
      <c r="F573" s="47" t="n">
        <v>45891</v>
      </c>
      <c r="G573" s="46" t="n">
        <v>1136</v>
      </c>
      <c r="H573" s="46" t="n">
        <v>1136</v>
      </c>
      <c r="I573" s="46" t="n">
        <v>2</v>
      </c>
      <c r="J573" s="44" t="n">
        <v>23.66</v>
      </c>
      <c r="K573" s="43" t="inlineStr">
        <is>
          <t>Received</t>
        </is>
      </c>
      <c r="L573" s="17">
        <f>INDEX(Items!$C$2:$C$117,MATCH(B573,Items!$A$2:$A$117,0))</f>
        <v/>
      </c>
      <c r="M573" s="49">
        <f>INDEX(Items!$E$2:$E$117,MATCH(B573,Items!$A$2:$A$117,0))</f>
        <v/>
      </c>
      <c r="N573" s="17">
        <f>TEXT(D573,"yyyy-mm")</f>
        <v/>
      </c>
      <c r="O573" s="50">
        <f>G573*J573</f>
        <v/>
      </c>
      <c r="P573" s="50">
        <f>(J573-M573)*G573</f>
        <v/>
      </c>
      <c r="Q573" s="51">
        <f>IF(K573="Received",1,0)</f>
        <v/>
      </c>
      <c r="R573" s="51">
        <f>IF(Q573=1,F573-D573,0)</f>
        <v/>
      </c>
      <c r="S573" s="51">
        <f>IF(Q573=1,IF(F573&lt;=E573,1,0),0)</f>
        <v/>
      </c>
      <c r="T573" s="51">
        <f>IF(Q573=1,IF(H573&gt;=G573,1,0),0)</f>
        <v/>
      </c>
      <c r="U573" s="51">
        <f>S573*T573</f>
        <v/>
      </c>
      <c r="V573" s="51">
        <f>IF(Q573=1,MAX(0,F573-E573),0)</f>
        <v/>
      </c>
    </row>
    <row r="574">
      <c r="A574" s="43" t="inlineStr">
        <is>
          <t>PO100622</t>
        </is>
      </c>
      <c r="B574" s="43" t="inlineStr">
        <is>
          <t>CMD-0028</t>
        </is>
      </c>
      <c r="C574" s="43" t="inlineStr">
        <is>
          <t>S11</t>
        </is>
      </c>
      <c r="D574" s="47" t="n">
        <v>45759</v>
      </c>
      <c r="E574" s="47" t="n">
        <v>45836</v>
      </c>
      <c r="F574" s="47" t="n">
        <v>45835</v>
      </c>
      <c r="G574" s="46" t="n">
        <v>3501</v>
      </c>
      <c r="H574" s="46" t="n">
        <v>3501</v>
      </c>
      <c r="I574" s="46" t="n">
        <v>7</v>
      </c>
      <c r="J574" s="44" t="n">
        <v>15.84</v>
      </c>
      <c r="K574" s="43" t="inlineStr">
        <is>
          <t>Received</t>
        </is>
      </c>
      <c r="L574" s="17">
        <f>INDEX(Items!$C$2:$C$117,MATCH(B574,Items!$A$2:$A$117,0))</f>
        <v/>
      </c>
      <c r="M574" s="49">
        <f>INDEX(Items!$E$2:$E$117,MATCH(B574,Items!$A$2:$A$117,0))</f>
        <v/>
      </c>
      <c r="N574" s="17">
        <f>TEXT(D574,"yyyy-mm")</f>
        <v/>
      </c>
      <c r="O574" s="50">
        <f>G574*J574</f>
        <v/>
      </c>
      <c r="P574" s="50">
        <f>(J574-M574)*G574</f>
        <v/>
      </c>
      <c r="Q574" s="51">
        <f>IF(K574="Received",1,0)</f>
        <v/>
      </c>
      <c r="R574" s="51">
        <f>IF(Q574=1,F574-D574,0)</f>
        <v/>
      </c>
      <c r="S574" s="51">
        <f>IF(Q574=1,IF(F574&lt;=E574,1,0),0)</f>
        <v/>
      </c>
      <c r="T574" s="51">
        <f>IF(Q574=1,IF(H574&gt;=G574,1,0),0)</f>
        <v/>
      </c>
      <c r="U574" s="51">
        <f>S574*T574</f>
        <v/>
      </c>
      <c r="V574" s="51">
        <f>IF(Q574=1,MAX(0,F574-E574),0)</f>
        <v/>
      </c>
    </row>
    <row r="575">
      <c r="A575" s="43" t="inlineStr">
        <is>
          <t>PO100102</t>
        </is>
      </c>
      <c r="B575" s="43" t="inlineStr">
        <is>
          <t>CMD-0005</t>
        </is>
      </c>
      <c r="C575" s="43" t="inlineStr">
        <is>
          <t>S07</t>
        </is>
      </c>
      <c r="D575" s="47" t="n">
        <v>45759</v>
      </c>
      <c r="E575" s="47" t="n">
        <v>45850</v>
      </c>
      <c r="F575" s="47" t="n">
        <v>45864</v>
      </c>
      <c r="G575" s="46" t="n">
        <v>4613</v>
      </c>
      <c r="H575" s="46" t="n">
        <v>4613</v>
      </c>
      <c r="I575" s="46" t="n">
        <v>35</v>
      </c>
      <c r="J575" s="44" t="n">
        <v>5.63</v>
      </c>
      <c r="K575" s="43" t="inlineStr">
        <is>
          <t>Received</t>
        </is>
      </c>
      <c r="L575" s="17">
        <f>INDEX(Items!$C$2:$C$117,MATCH(B575,Items!$A$2:$A$117,0))</f>
        <v/>
      </c>
      <c r="M575" s="49">
        <f>INDEX(Items!$E$2:$E$117,MATCH(B575,Items!$A$2:$A$117,0))</f>
        <v/>
      </c>
      <c r="N575" s="17">
        <f>TEXT(D575,"yyyy-mm")</f>
        <v/>
      </c>
      <c r="O575" s="50">
        <f>G575*J575</f>
        <v/>
      </c>
      <c r="P575" s="50">
        <f>(J575-M575)*G575</f>
        <v/>
      </c>
      <c r="Q575" s="51">
        <f>IF(K575="Received",1,0)</f>
        <v/>
      </c>
      <c r="R575" s="51">
        <f>IF(Q575=1,F575-D575,0)</f>
        <v/>
      </c>
      <c r="S575" s="51">
        <f>IF(Q575=1,IF(F575&lt;=E575,1,0),0)</f>
        <v/>
      </c>
      <c r="T575" s="51">
        <f>IF(Q575=1,IF(H575&gt;=G575,1,0),0)</f>
        <v/>
      </c>
      <c r="U575" s="51">
        <f>S575*T575</f>
        <v/>
      </c>
      <c r="V575" s="51">
        <f>IF(Q575=1,MAX(0,F575-E575),0)</f>
        <v/>
      </c>
    </row>
    <row r="576">
      <c r="A576" s="43" t="inlineStr">
        <is>
          <t>PO100916</t>
        </is>
      </c>
      <c r="B576" s="43" t="inlineStr">
        <is>
          <t>CMD-0042</t>
        </is>
      </c>
      <c r="C576" s="43" t="inlineStr">
        <is>
          <t>S05</t>
        </is>
      </c>
      <c r="D576" s="47" t="n">
        <v>45759</v>
      </c>
      <c r="E576" s="47" t="n">
        <v>45864</v>
      </c>
      <c r="F576" s="47" t="n">
        <v>45861</v>
      </c>
      <c r="G576" s="46" t="n">
        <v>687</v>
      </c>
      <c r="H576" s="46" t="n">
        <v>687</v>
      </c>
      <c r="I576" s="46" t="n">
        <v>10</v>
      </c>
      <c r="J576" s="44" t="n">
        <v>8.91</v>
      </c>
      <c r="K576" s="43" t="inlineStr">
        <is>
          <t>Received</t>
        </is>
      </c>
      <c r="L576" s="17">
        <f>INDEX(Items!$C$2:$C$117,MATCH(B576,Items!$A$2:$A$117,0))</f>
        <v/>
      </c>
      <c r="M576" s="49">
        <f>INDEX(Items!$E$2:$E$117,MATCH(B576,Items!$A$2:$A$117,0))</f>
        <v/>
      </c>
      <c r="N576" s="17">
        <f>TEXT(D576,"yyyy-mm")</f>
        <v/>
      </c>
      <c r="O576" s="50">
        <f>G576*J576</f>
        <v/>
      </c>
      <c r="P576" s="50">
        <f>(J576-M576)*G576</f>
        <v/>
      </c>
      <c r="Q576" s="51">
        <f>IF(K576="Received",1,0)</f>
        <v/>
      </c>
      <c r="R576" s="51">
        <f>IF(Q576=1,F576-D576,0)</f>
        <v/>
      </c>
      <c r="S576" s="51">
        <f>IF(Q576=1,IF(F576&lt;=E576,1,0),0)</f>
        <v/>
      </c>
      <c r="T576" s="51">
        <f>IF(Q576=1,IF(H576&gt;=G576,1,0),0)</f>
        <v/>
      </c>
      <c r="U576" s="51">
        <f>S576*T576</f>
        <v/>
      </c>
      <c r="V576" s="51">
        <f>IF(Q576=1,MAX(0,F576-E576),0)</f>
        <v/>
      </c>
    </row>
    <row r="577">
      <c r="A577" s="43" t="inlineStr">
        <is>
          <t>PO100150</t>
        </is>
      </c>
      <c r="B577" s="43" t="inlineStr">
        <is>
          <t>CMD-0007</t>
        </is>
      </c>
      <c r="C577" s="43" t="inlineStr">
        <is>
          <t>S03</t>
        </is>
      </c>
      <c r="D577" s="47" t="n">
        <v>45759</v>
      </c>
      <c r="E577" s="47" t="n">
        <v>45892</v>
      </c>
      <c r="F577" s="47" t="n">
        <v>45919</v>
      </c>
      <c r="G577" s="46" t="n">
        <v>4679</v>
      </c>
      <c r="H577" s="46" t="n">
        <v>4679</v>
      </c>
      <c r="I577" s="46" t="n">
        <v>32</v>
      </c>
      <c r="J577" s="44" t="n">
        <v>19.39</v>
      </c>
      <c r="K577" s="43" t="inlineStr">
        <is>
          <t>Received</t>
        </is>
      </c>
      <c r="L577" s="17">
        <f>INDEX(Items!$C$2:$C$117,MATCH(B577,Items!$A$2:$A$117,0))</f>
        <v/>
      </c>
      <c r="M577" s="49">
        <f>INDEX(Items!$E$2:$E$117,MATCH(B577,Items!$A$2:$A$117,0))</f>
        <v/>
      </c>
      <c r="N577" s="17">
        <f>TEXT(D577,"yyyy-mm")</f>
        <v/>
      </c>
      <c r="O577" s="50">
        <f>G577*J577</f>
        <v/>
      </c>
      <c r="P577" s="50">
        <f>(J577-M577)*G577</f>
        <v/>
      </c>
      <c r="Q577" s="51">
        <f>IF(K577="Received",1,0)</f>
        <v/>
      </c>
      <c r="R577" s="51">
        <f>IF(Q577=1,F577-D577,0)</f>
        <v/>
      </c>
      <c r="S577" s="51">
        <f>IF(Q577=1,IF(F577&lt;=E577,1,0),0)</f>
        <v/>
      </c>
      <c r="T577" s="51">
        <f>IF(Q577=1,IF(H577&gt;=G577,1,0),0)</f>
        <v/>
      </c>
      <c r="U577" s="51">
        <f>S577*T577</f>
        <v/>
      </c>
      <c r="V577" s="51">
        <f>IF(Q577=1,MAX(0,F577-E577),0)</f>
        <v/>
      </c>
    </row>
    <row r="578">
      <c r="A578" s="43" t="inlineStr">
        <is>
          <t>PO101234</t>
        </is>
      </c>
      <c r="B578" s="43" t="inlineStr">
        <is>
          <t>CMD-0058</t>
        </is>
      </c>
      <c r="C578" s="43" t="inlineStr">
        <is>
          <t>S04</t>
        </is>
      </c>
      <c r="D578" s="47" t="n">
        <v>45759</v>
      </c>
      <c r="E578" s="47" t="n">
        <v>45794</v>
      </c>
      <c r="F578" s="47" t="n">
        <v>45792</v>
      </c>
      <c r="G578" s="46" t="n">
        <v>66812</v>
      </c>
      <c r="H578" s="46" t="n">
        <v>66812</v>
      </c>
      <c r="I578" s="46" t="n">
        <v>698</v>
      </c>
      <c r="J578" s="44" t="n">
        <v>0.1178</v>
      </c>
      <c r="K578" s="43" t="inlineStr">
        <is>
          <t>Received</t>
        </is>
      </c>
      <c r="L578" s="17">
        <f>INDEX(Items!$C$2:$C$117,MATCH(B578,Items!$A$2:$A$117,0))</f>
        <v/>
      </c>
      <c r="M578" s="49">
        <f>INDEX(Items!$E$2:$E$117,MATCH(B578,Items!$A$2:$A$117,0))</f>
        <v/>
      </c>
      <c r="N578" s="17">
        <f>TEXT(D578,"yyyy-mm")</f>
        <v/>
      </c>
      <c r="O578" s="50">
        <f>G578*J578</f>
        <v/>
      </c>
      <c r="P578" s="50">
        <f>(J578-M578)*G578</f>
        <v/>
      </c>
      <c r="Q578" s="51">
        <f>IF(K578="Received",1,0)</f>
        <v/>
      </c>
      <c r="R578" s="51">
        <f>IF(Q578=1,F578-D578,0)</f>
        <v/>
      </c>
      <c r="S578" s="51">
        <f>IF(Q578=1,IF(F578&lt;=E578,1,0),0)</f>
        <v/>
      </c>
      <c r="T578" s="51">
        <f>IF(Q578=1,IF(H578&gt;=G578,1,0),0)</f>
        <v/>
      </c>
      <c r="U578" s="51">
        <f>S578*T578</f>
        <v/>
      </c>
      <c r="V578" s="51">
        <f>IF(Q578=1,MAX(0,F578-E578),0)</f>
        <v/>
      </c>
    </row>
    <row r="579">
      <c r="A579" s="43" t="inlineStr">
        <is>
          <t>PO100940</t>
        </is>
      </c>
      <c r="B579" s="43" t="inlineStr">
        <is>
          <t>CMD-0043</t>
        </is>
      </c>
      <c r="C579" s="43" t="inlineStr">
        <is>
          <t>S05</t>
        </is>
      </c>
      <c r="D579" s="47" t="n">
        <v>45759</v>
      </c>
      <c r="E579" s="47" t="n">
        <v>45864</v>
      </c>
      <c r="F579" s="47" t="n">
        <v>45864</v>
      </c>
      <c r="G579" s="46" t="n">
        <v>5899</v>
      </c>
      <c r="H579" s="46" t="n">
        <v>5899</v>
      </c>
      <c r="I579" s="46" t="n">
        <v>103</v>
      </c>
      <c r="J579" s="44" t="n">
        <v>3.69</v>
      </c>
      <c r="K579" s="43" t="inlineStr">
        <is>
          <t>Received</t>
        </is>
      </c>
      <c r="L579" s="17">
        <f>INDEX(Items!$C$2:$C$117,MATCH(B579,Items!$A$2:$A$117,0))</f>
        <v/>
      </c>
      <c r="M579" s="49">
        <f>INDEX(Items!$E$2:$E$117,MATCH(B579,Items!$A$2:$A$117,0))</f>
        <v/>
      </c>
      <c r="N579" s="17">
        <f>TEXT(D579,"yyyy-mm")</f>
        <v/>
      </c>
      <c r="O579" s="50">
        <f>G579*J579</f>
        <v/>
      </c>
      <c r="P579" s="50">
        <f>(J579-M579)*G579</f>
        <v/>
      </c>
      <c r="Q579" s="51">
        <f>IF(K579="Received",1,0)</f>
        <v/>
      </c>
      <c r="R579" s="51">
        <f>IF(Q579=1,F579-D579,0)</f>
        <v/>
      </c>
      <c r="S579" s="51">
        <f>IF(Q579=1,IF(F579&lt;=E579,1,0),0)</f>
        <v/>
      </c>
      <c r="T579" s="51">
        <f>IF(Q579=1,IF(H579&gt;=G579,1,0),0)</f>
        <v/>
      </c>
      <c r="U579" s="51">
        <f>S579*T579</f>
        <v/>
      </c>
      <c r="V579" s="51">
        <f>IF(Q579=1,MAX(0,F579-E579),0)</f>
        <v/>
      </c>
    </row>
    <row r="580">
      <c r="A580" s="43" t="inlineStr">
        <is>
          <t>PO101744</t>
        </is>
      </c>
      <c r="B580" s="43" t="inlineStr">
        <is>
          <t>CMD-0095</t>
        </is>
      </c>
      <c r="C580" s="43" t="inlineStr">
        <is>
          <t>S08</t>
        </is>
      </c>
      <c r="D580" s="47" t="n">
        <v>45759</v>
      </c>
      <c r="E580" s="47" t="n">
        <v>45836</v>
      </c>
      <c r="F580" s="47" t="n">
        <v>45836</v>
      </c>
      <c r="G580" s="46" t="n">
        <v>365</v>
      </c>
      <c r="H580" s="46" t="n">
        <v>365</v>
      </c>
      <c r="I580" s="46" t="n">
        <v>6</v>
      </c>
      <c r="J580" s="44" t="n">
        <v>91.83</v>
      </c>
      <c r="K580" s="43" t="inlineStr">
        <is>
          <t>Received</t>
        </is>
      </c>
      <c r="L580" s="17">
        <f>INDEX(Items!$C$2:$C$117,MATCH(B580,Items!$A$2:$A$117,0))</f>
        <v/>
      </c>
      <c r="M580" s="49">
        <f>INDEX(Items!$E$2:$E$117,MATCH(B580,Items!$A$2:$A$117,0))</f>
        <v/>
      </c>
      <c r="N580" s="17">
        <f>TEXT(D580,"yyyy-mm")</f>
        <v/>
      </c>
      <c r="O580" s="50">
        <f>G580*J580</f>
        <v/>
      </c>
      <c r="P580" s="50">
        <f>(J580-M580)*G580</f>
        <v/>
      </c>
      <c r="Q580" s="51">
        <f>IF(K580="Received",1,0)</f>
        <v/>
      </c>
      <c r="R580" s="51">
        <f>IF(Q580=1,F580-D580,0)</f>
        <v/>
      </c>
      <c r="S580" s="51">
        <f>IF(Q580=1,IF(F580&lt;=E580,1,0),0)</f>
        <v/>
      </c>
      <c r="T580" s="51">
        <f>IF(Q580=1,IF(H580&gt;=G580,1,0),0)</f>
        <v/>
      </c>
      <c r="U580" s="51">
        <f>S580*T580</f>
        <v/>
      </c>
      <c r="V580" s="51">
        <f>IF(Q580=1,MAX(0,F580-E580),0)</f>
        <v/>
      </c>
    </row>
    <row r="581">
      <c r="A581" s="43" t="inlineStr">
        <is>
          <t>PO101570</t>
        </is>
      </c>
      <c r="B581" s="43" t="inlineStr">
        <is>
          <t>CMD-0085</t>
        </is>
      </c>
      <c r="C581" s="43" t="inlineStr">
        <is>
          <t>S06</t>
        </is>
      </c>
      <c r="D581" s="47" t="n">
        <v>45759</v>
      </c>
      <c r="E581" s="47" t="n">
        <v>45780</v>
      </c>
      <c r="F581" s="47" t="n">
        <v>45778</v>
      </c>
      <c r="G581" s="46" t="n">
        <v>845</v>
      </c>
      <c r="H581" s="46" t="n">
        <v>845</v>
      </c>
      <c r="I581" s="46" t="n">
        <v>6</v>
      </c>
      <c r="J581" s="44" t="n">
        <v>10.56</v>
      </c>
      <c r="K581" s="43" t="inlineStr">
        <is>
          <t>Received</t>
        </is>
      </c>
      <c r="L581" s="17">
        <f>INDEX(Items!$C$2:$C$117,MATCH(B581,Items!$A$2:$A$117,0))</f>
        <v/>
      </c>
      <c r="M581" s="49">
        <f>INDEX(Items!$E$2:$E$117,MATCH(B581,Items!$A$2:$A$117,0))</f>
        <v/>
      </c>
      <c r="N581" s="17">
        <f>TEXT(D581,"yyyy-mm")</f>
        <v/>
      </c>
      <c r="O581" s="50">
        <f>G581*J581</f>
        <v/>
      </c>
      <c r="P581" s="50">
        <f>(J581-M581)*G581</f>
        <v/>
      </c>
      <c r="Q581" s="51">
        <f>IF(K581="Received",1,0)</f>
        <v/>
      </c>
      <c r="R581" s="51">
        <f>IF(Q581=1,F581-D581,0)</f>
        <v/>
      </c>
      <c r="S581" s="51">
        <f>IF(Q581=1,IF(F581&lt;=E581,1,0),0)</f>
        <v/>
      </c>
      <c r="T581" s="51">
        <f>IF(Q581=1,IF(H581&gt;=G581,1,0),0)</f>
        <v/>
      </c>
      <c r="U581" s="51">
        <f>S581*T581</f>
        <v/>
      </c>
      <c r="V581" s="51">
        <f>IF(Q581=1,MAX(0,F581-E581),0)</f>
        <v/>
      </c>
    </row>
    <row r="582">
      <c r="A582" s="43" t="inlineStr">
        <is>
          <t>PO100574</t>
        </is>
      </c>
      <c r="B582" s="43" t="inlineStr">
        <is>
          <t>CMD-0026</t>
        </is>
      </c>
      <c r="C582" s="43" t="inlineStr">
        <is>
          <t>S04</t>
        </is>
      </c>
      <c r="D582" s="47" t="n">
        <v>45760</v>
      </c>
      <c r="E582" s="47" t="n">
        <v>45830</v>
      </c>
      <c r="F582" s="47" t="n">
        <v>45828</v>
      </c>
      <c r="G582" s="46" t="n">
        <v>9392</v>
      </c>
      <c r="H582" s="46" t="n">
        <v>9392</v>
      </c>
      <c r="I582" s="46" t="n">
        <v>88</v>
      </c>
      <c r="J582" s="44" t="n">
        <v>5.96</v>
      </c>
      <c r="K582" s="43" t="inlineStr">
        <is>
          <t>Received</t>
        </is>
      </c>
      <c r="L582" s="17">
        <f>INDEX(Items!$C$2:$C$117,MATCH(B582,Items!$A$2:$A$117,0))</f>
        <v/>
      </c>
      <c r="M582" s="49">
        <f>INDEX(Items!$E$2:$E$117,MATCH(B582,Items!$A$2:$A$117,0))</f>
        <v/>
      </c>
      <c r="N582" s="17">
        <f>TEXT(D582,"yyyy-mm")</f>
        <v/>
      </c>
      <c r="O582" s="50">
        <f>G582*J582</f>
        <v/>
      </c>
      <c r="P582" s="50">
        <f>(J582-M582)*G582</f>
        <v/>
      </c>
      <c r="Q582" s="51">
        <f>IF(K582="Received",1,0)</f>
        <v/>
      </c>
      <c r="R582" s="51">
        <f>IF(Q582=1,F582-D582,0)</f>
        <v/>
      </c>
      <c r="S582" s="51">
        <f>IF(Q582=1,IF(F582&lt;=E582,1,0),0)</f>
        <v/>
      </c>
      <c r="T582" s="51">
        <f>IF(Q582=1,IF(H582&gt;=G582,1,0),0)</f>
        <v/>
      </c>
      <c r="U582" s="51">
        <f>S582*T582</f>
        <v/>
      </c>
      <c r="V582" s="51">
        <f>IF(Q582=1,MAX(0,F582-E582),0)</f>
        <v/>
      </c>
    </row>
    <row r="583">
      <c r="A583" s="43" t="inlineStr">
        <is>
          <t>PO101462</t>
        </is>
      </c>
      <c r="B583" s="43" t="inlineStr">
        <is>
          <t>CMD-0078</t>
        </is>
      </c>
      <c r="C583" s="43" t="inlineStr">
        <is>
          <t>S06</t>
        </is>
      </c>
      <c r="D583" s="47" t="n">
        <v>45760</v>
      </c>
      <c r="E583" s="47" t="n">
        <v>45781</v>
      </c>
      <c r="F583" s="47" t="n">
        <v>45781</v>
      </c>
      <c r="G583" s="46" t="n">
        <v>5529</v>
      </c>
      <c r="H583" s="46" t="n">
        <v>5529</v>
      </c>
      <c r="I583" s="46" t="n">
        <v>21</v>
      </c>
      <c r="J583" s="44" t="n">
        <v>2.6</v>
      </c>
      <c r="K583" s="43" t="inlineStr">
        <is>
          <t>Received</t>
        </is>
      </c>
      <c r="L583" s="17">
        <f>INDEX(Items!$C$2:$C$117,MATCH(B583,Items!$A$2:$A$117,0))</f>
        <v/>
      </c>
      <c r="M583" s="49">
        <f>INDEX(Items!$E$2:$E$117,MATCH(B583,Items!$A$2:$A$117,0))</f>
        <v/>
      </c>
      <c r="N583" s="17">
        <f>TEXT(D583,"yyyy-mm")</f>
        <v/>
      </c>
      <c r="O583" s="50">
        <f>G583*J583</f>
        <v/>
      </c>
      <c r="P583" s="50">
        <f>(J583-M583)*G583</f>
        <v/>
      </c>
      <c r="Q583" s="51">
        <f>IF(K583="Received",1,0)</f>
        <v/>
      </c>
      <c r="R583" s="51">
        <f>IF(Q583=1,F583-D583,0)</f>
        <v/>
      </c>
      <c r="S583" s="51">
        <f>IF(Q583=1,IF(F583&lt;=E583,1,0),0)</f>
        <v/>
      </c>
      <c r="T583" s="51">
        <f>IF(Q583=1,IF(H583&gt;=G583,1,0),0)</f>
        <v/>
      </c>
      <c r="U583" s="51">
        <f>S583*T583</f>
        <v/>
      </c>
      <c r="V583" s="51">
        <f>IF(Q583=1,MAX(0,F583-E583),0)</f>
        <v/>
      </c>
    </row>
    <row r="584">
      <c r="A584" s="43" t="inlineStr">
        <is>
          <t>PO101768</t>
        </is>
      </c>
      <c r="B584" s="43" t="inlineStr">
        <is>
          <t>CMD-0096</t>
        </is>
      </c>
      <c r="C584" s="43" t="inlineStr">
        <is>
          <t>S09</t>
        </is>
      </c>
      <c r="D584" s="47" t="n">
        <v>45760</v>
      </c>
      <c r="E584" s="47" t="n">
        <v>45781</v>
      </c>
      <c r="F584" s="47" t="n">
        <v>45778</v>
      </c>
      <c r="G584" s="46" t="n">
        <v>992</v>
      </c>
      <c r="H584" s="46" t="n">
        <v>992</v>
      </c>
      <c r="I584" s="46" t="n">
        <v>4</v>
      </c>
      <c r="J584" s="44" t="n">
        <v>6.42</v>
      </c>
      <c r="K584" s="43" t="inlineStr">
        <is>
          <t>Received</t>
        </is>
      </c>
      <c r="L584" s="17">
        <f>INDEX(Items!$C$2:$C$117,MATCH(B584,Items!$A$2:$A$117,0))</f>
        <v/>
      </c>
      <c r="M584" s="49">
        <f>INDEX(Items!$E$2:$E$117,MATCH(B584,Items!$A$2:$A$117,0))</f>
        <v/>
      </c>
      <c r="N584" s="17">
        <f>TEXT(D584,"yyyy-mm")</f>
        <v/>
      </c>
      <c r="O584" s="50">
        <f>G584*J584</f>
        <v/>
      </c>
      <c r="P584" s="50">
        <f>(J584-M584)*G584</f>
        <v/>
      </c>
      <c r="Q584" s="51">
        <f>IF(K584="Received",1,0)</f>
        <v/>
      </c>
      <c r="R584" s="51">
        <f>IF(Q584=1,F584-D584,0)</f>
        <v/>
      </c>
      <c r="S584" s="51">
        <f>IF(Q584=1,IF(F584&lt;=E584,1,0),0)</f>
        <v/>
      </c>
      <c r="T584" s="51">
        <f>IF(Q584=1,IF(H584&gt;=G584,1,0),0)</f>
        <v/>
      </c>
      <c r="U584" s="51">
        <f>S584*T584</f>
        <v/>
      </c>
      <c r="V584" s="51">
        <f>IF(Q584=1,MAX(0,F584-E584),0)</f>
        <v/>
      </c>
    </row>
    <row r="585">
      <c r="A585" s="43" t="inlineStr">
        <is>
          <t>PO101510</t>
        </is>
      </c>
      <c r="B585" s="43" t="inlineStr">
        <is>
          <t>CMD-0080</t>
        </is>
      </c>
      <c r="C585" s="43" t="inlineStr">
        <is>
          <t>S06</t>
        </is>
      </c>
      <c r="D585" s="47" t="n">
        <v>45760</v>
      </c>
      <c r="E585" s="47" t="n">
        <v>45781</v>
      </c>
      <c r="F585" s="47" t="n">
        <v>45781</v>
      </c>
      <c r="G585" s="46" t="n">
        <v>4531</v>
      </c>
      <c r="H585" s="46" t="n">
        <v>4531</v>
      </c>
      <c r="I585" s="46" t="n">
        <v>25</v>
      </c>
      <c r="J585" s="44" t="n">
        <v>5.53</v>
      </c>
      <c r="K585" s="43" t="inlineStr">
        <is>
          <t>Received</t>
        </is>
      </c>
      <c r="L585" s="17">
        <f>INDEX(Items!$C$2:$C$117,MATCH(B585,Items!$A$2:$A$117,0))</f>
        <v/>
      </c>
      <c r="M585" s="49">
        <f>INDEX(Items!$E$2:$E$117,MATCH(B585,Items!$A$2:$A$117,0))</f>
        <v/>
      </c>
      <c r="N585" s="17">
        <f>TEXT(D585,"yyyy-mm")</f>
        <v/>
      </c>
      <c r="O585" s="50">
        <f>G585*J585</f>
        <v/>
      </c>
      <c r="P585" s="50">
        <f>(J585-M585)*G585</f>
        <v/>
      </c>
      <c r="Q585" s="51">
        <f>IF(K585="Received",1,0)</f>
        <v/>
      </c>
      <c r="R585" s="51">
        <f>IF(Q585=1,F585-D585,0)</f>
        <v/>
      </c>
      <c r="S585" s="51">
        <f>IF(Q585=1,IF(F585&lt;=E585,1,0),0)</f>
        <v/>
      </c>
      <c r="T585" s="51">
        <f>IF(Q585=1,IF(H585&gt;=G585,1,0),0)</f>
        <v/>
      </c>
      <c r="U585" s="51">
        <f>S585*T585</f>
        <v/>
      </c>
      <c r="V585" s="51">
        <f>IF(Q585=1,MAX(0,F585-E585),0)</f>
        <v/>
      </c>
    </row>
    <row r="586">
      <c r="A586" s="43" t="inlineStr">
        <is>
          <t>PO101088</t>
        </is>
      </c>
      <c r="B586" s="43" t="inlineStr">
        <is>
          <t>CMD-0050</t>
        </is>
      </c>
      <c r="C586" s="43" t="inlineStr">
        <is>
          <t>S10</t>
        </is>
      </c>
      <c r="D586" s="47" t="n">
        <v>45760</v>
      </c>
      <c r="E586" s="47" t="n">
        <v>45788</v>
      </c>
      <c r="F586" s="47" t="n">
        <v>45785</v>
      </c>
      <c r="G586" s="46" t="n">
        <v>81689</v>
      </c>
      <c r="H586" s="46" t="n">
        <v>81689</v>
      </c>
      <c r="I586" s="46" t="n">
        <v>81</v>
      </c>
      <c r="J586" s="44" t="n">
        <v>0.075</v>
      </c>
      <c r="K586" s="43" t="inlineStr">
        <is>
          <t>Received</t>
        </is>
      </c>
      <c r="L586" s="17">
        <f>INDEX(Items!$C$2:$C$117,MATCH(B586,Items!$A$2:$A$117,0))</f>
        <v/>
      </c>
      <c r="M586" s="49">
        <f>INDEX(Items!$E$2:$E$117,MATCH(B586,Items!$A$2:$A$117,0))</f>
        <v/>
      </c>
      <c r="N586" s="17">
        <f>TEXT(D586,"yyyy-mm")</f>
        <v/>
      </c>
      <c r="O586" s="50">
        <f>G586*J586</f>
        <v/>
      </c>
      <c r="P586" s="50">
        <f>(J586-M586)*G586</f>
        <v/>
      </c>
      <c r="Q586" s="51">
        <f>IF(K586="Received",1,0)</f>
        <v/>
      </c>
      <c r="R586" s="51">
        <f>IF(Q586=1,F586-D586,0)</f>
        <v/>
      </c>
      <c r="S586" s="51">
        <f>IF(Q586=1,IF(F586&lt;=E586,1,0),0)</f>
        <v/>
      </c>
      <c r="T586" s="51">
        <f>IF(Q586=1,IF(H586&gt;=G586,1,0),0)</f>
        <v/>
      </c>
      <c r="U586" s="51">
        <f>S586*T586</f>
        <v/>
      </c>
      <c r="V586" s="51">
        <f>IF(Q586=1,MAX(0,F586-E586),0)</f>
        <v/>
      </c>
    </row>
    <row r="587">
      <c r="A587" s="43" t="inlineStr">
        <is>
          <t>PO100274</t>
        </is>
      </c>
      <c r="B587" s="43" t="inlineStr">
        <is>
          <t>CMD-0013</t>
        </is>
      </c>
      <c r="C587" s="43" t="inlineStr">
        <is>
          <t>S11</t>
        </is>
      </c>
      <c r="D587" s="47" t="n">
        <v>45760</v>
      </c>
      <c r="E587" s="47" t="n">
        <v>45879</v>
      </c>
      <c r="F587" s="47" t="n">
        <v>45878</v>
      </c>
      <c r="G587" s="46" t="n">
        <v>699</v>
      </c>
      <c r="H587" s="46" t="n">
        <v>699</v>
      </c>
      <c r="I587" s="46" t="n">
        <v>1</v>
      </c>
      <c r="J587" s="44" t="n">
        <v>6.75</v>
      </c>
      <c r="K587" s="43" t="inlineStr">
        <is>
          <t>Received</t>
        </is>
      </c>
      <c r="L587" s="17">
        <f>INDEX(Items!$C$2:$C$117,MATCH(B587,Items!$A$2:$A$117,0))</f>
        <v/>
      </c>
      <c r="M587" s="49">
        <f>INDEX(Items!$E$2:$E$117,MATCH(B587,Items!$A$2:$A$117,0))</f>
        <v/>
      </c>
      <c r="N587" s="17">
        <f>TEXT(D587,"yyyy-mm")</f>
        <v/>
      </c>
      <c r="O587" s="50">
        <f>G587*J587</f>
        <v/>
      </c>
      <c r="P587" s="50">
        <f>(J587-M587)*G587</f>
        <v/>
      </c>
      <c r="Q587" s="51">
        <f>IF(K587="Received",1,0)</f>
        <v/>
      </c>
      <c r="R587" s="51">
        <f>IF(Q587=1,F587-D587,0)</f>
        <v/>
      </c>
      <c r="S587" s="51">
        <f>IF(Q587=1,IF(F587&lt;=E587,1,0),0)</f>
        <v/>
      </c>
      <c r="T587" s="51">
        <f>IF(Q587=1,IF(H587&gt;=G587,1,0),0)</f>
        <v/>
      </c>
      <c r="U587" s="51">
        <f>S587*T587</f>
        <v/>
      </c>
      <c r="V587" s="51">
        <f>IF(Q587=1,MAX(0,F587-E587),0)</f>
        <v/>
      </c>
    </row>
    <row r="588">
      <c r="A588" s="43" t="inlineStr">
        <is>
          <t>PO100322</t>
        </is>
      </c>
      <c r="B588" s="43" t="inlineStr">
        <is>
          <t>CMD-0015</t>
        </is>
      </c>
      <c r="C588" s="43" t="inlineStr">
        <is>
          <t>S03</t>
        </is>
      </c>
      <c r="D588" s="47" t="n">
        <v>45760</v>
      </c>
      <c r="E588" s="47" t="n">
        <v>45893</v>
      </c>
      <c r="F588" s="47" t="n">
        <v>45892</v>
      </c>
      <c r="G588" s="46" t="n">
        <v>3864</v>
      </c>
      <c r="H588" s="46" t="n">
        <v>2844</v>
      </c>
      <c r="I588" s="46" t="n">
        <v>19</v>
      </c>
      <c r="J588" s="44" t="n">
        <v>5.66</v>
      </c>
      <c r="K588" s="43" t="inlineStr">
        <is>
          <t>Received</t>
        </is>
      </c>
      <c r="L588" s="17">
        <f>INDEX(Items!$C$2:$C$117,MATCH(B588,Items!$A$2:$A$117,0))</f>
        <v/>
      </c>
      <c r="M588" s="49">
        <f>INDEX(Items!$E$2:$E$117,MATCH(B588,Items!$A$2:$A$117,0))</f>
        <v/>
      </c>
      <c r="N588" s="17">
        <f>TEXT(D588,"yyyy-mm")</f>
        <v/>
      </c>
      <c r="O588" s="50">
        <f>G588*J588</f>
        <v/>
      </c>
      <c r="P588" s="50">
        <f>(J588-M588)*G588</f>
        <v/>
      </c>
      <c r="Q588" s="51">
        <f>IF(K588="Received",1,0)</f>
        <v/>
      </c>
      <c r="R588" s="51">
        <f>IF(Q588=1,F588-D588,0)</f>
        <v/>
      </c>
      <c r="S588" s="51">
        <f>IF(Q588=1,IF(F588&lt;=E588,1,0),0)</f>
        <v/>
      </c>
      <c r="T588" s="51">
        <f>IF(Q588=1,IF(H588&gt;=G588,1,0),0)</f>
        <v/>
      </c>
      <c r="U588" s="51">
        <f>S588*T588</f>
        <v/>
      </c>
      <c r="V588" s="51">
        <f>IF(Q588=1,MAX(0,F588-E588),0)</f>
        <v/>
      </c>
    </row>
    <row r="589">
      <c r="A589" s="43" t="inlineStr">
        <is>
          <t>PO102007</t>
        </is>
      </c>
      <c r="B589" s="43" t="inlineStr">
        <is>
          <t>CMD-0114</t>
        </is>
      </c>
      <c r="C589" s="43" t="inlineStr">
        <is>
          <t>S12</t>
        </is>
      </c>
      <c r="D589" s="47" t="n">
        <v>45765</v>
      </c>
      <c r="E589" s="47" t="n">
        <v>45772</v>
      </c>
      <c r="F589" s="47" t="n">
        <v>45771</v>
      </c>
      <c r="G589" s="46" t="n">
        <v>15521</v>
      </c>
      <c r="H589" s="46" t="n">
        <v>15521</v>
      </c>
      <c r="I589" s="46" t="n">
        <v>14</v>
      </c>
      <c r="J589" s="44" t="n">
        <v>0.3431</v>
      </c>
      <c r="K589" s="43" t="inlineStr">
        <is>
          <t>Received</t>
        </is>
      </c>
      <c r="L589" s="17">
        <f>INDEX(Items!$C$2:$C$117,MATCH(B589,Items!$A$2:$A$117,0))</f>
        <v/>
      </c>
      <c r="M589" s="49">
        <f>INDEX(Items!$E$2:$E$117,MATCH(B589,Items!$A$2:$A$117,0))</f>
        <v/>
      </c>
      <c r="N589" s="17">
        <f>TEXT(D589,"yyyy-mm")</f>
        <v/>
      </c>
      <c r="O589" s="50">
        <f>G589*J589</f>
        <v/>
      </c>
      <c r="P589" s="50">
        <f>(J589-M589)*G589</f>
        <v/>
      </c>
      <c r="Q589" s="51">
        <f>IF(K589="Received",1,0)</f>
        <v/>
      </c>
      <c r="R589" s="51">
        <f>IF(Q589=1,F589-D589,0)</f>
        <v/>
      </c>
      <c r="S589" s="51">
        <f>IF(Q589=1,IF(F589&lt;=E589,1,0),0)</f>
        <v/>
      </c>
      <c r="T589" s="51">
        <f>IF(Q589=1,IF(H589&gt;=G589,1,0),0)</f>
        <v/>
      </c>
      <c r="U589" s="51">
        <f>S589*T589</f>
        <v/>
      </c>
      <c r="V589" s="51">
        <f>IF(Q589=1,MAX(0,F589-E589),0)</f>
        <v/>
      </c>
    </row>
    <row r="590">
      <c r="A590" s="43" t="inlineStr">
        <is>
          <t>PO101036</t>
        </is>
      </c>
      <c r="B590" s="43" t="inlineStr">
        <is>
          <t>CMD-0047</t>
        </is>
      </c>
      <c r="C590" s="43" t="inlineStr">
        <is>
          <t>S04</t>
        </is>
      </c>
      <c r="D590" s="47" t="n">
        <v>45770</v>
      </c>
      <c r="E590" s="47" t="n">
        <v>45805</v>
      </c>
      <c r="F590" s="47" t="n">
        <v>45803</v>
      </c>
      <c r="G590" s="46" t="n">
        <v>20904</v>
      </c>
      <c r="H590" s="46" t="n">
        <v>20904</v>
      </c>
      <c r="I590" s="46" t="n">
        <v>196</v>
      </c>
      <c r="J590" s="44" t="n">
        <v>0.296</v>
      </c>
      <c r="K590" s="43" t="inlineStr">
        <is>
          <t>Received</t>
        </is>
      </c>
      <c r="L590" s="17">
        <f>INDEX(Items!$C$2:$C$117,MATCH(B590,Items!$A$2:$A$117,0))</f>
        <v/>
      </c>
      <c r="M590" s="49">
        <f>INDEX(Items!$E$2:$E$117,MATCH(B590,Items!$A$2:$A$117,0))</f>
        <v/>
      </c>
      <c r="N590" s="17">
        <f>TEXT(D590,"yyyy-mm")</f>
        <v/>
      </c>
      <c r="O590" s="50">
        <f>G590*J590</f>
        <v/>
      </c>
      <c r="P590" s="50">
        <f>(J590-M590)*G590</f>
        <v/>
      </c>
      <c r="Q590" s="51">
        <f>IF(K590="Received",1,0)</f>
        <v/>
      </c>
      <c r="R590" s="51">
        <f>IF(Q590=1,F590-D590,0)</f>
        <v/>
      </c>
      <c r="S590" s="51">
        <f>IF(Q590=1,IF(F590&lt;=E590,1,0),0)</f>
        <v/>
      </c>
      <c r="T590" s="51">
        <f>IF(Q590=1,IF(H590&gt;=G590,1,0),0)</f>
        <v/>
      </c>
      <c r="U590" s="51">
        <f>S590*T590</f>
        <v/>
      </c>
      <c r="V590" s="51">
        <f>IF(Q590=1,MAX(0,F590-E590),0)</f>
        <v/>
      </c>
    </row>
    <row r="591">
      <c r="A591" s="43" t="inlineStr">
        <is>
          <t>PO101222</t>
        </is>
      </c>
      <c r="B591" s="43" t="inlineStr">
        <is>
          <t>CMD-0057</t>
        </is>
      </c>
      <c r="C591" s="43" t="inlineStr">
        <is>
          <t>S01</t>
        </is>
      </c>
      <c r="D591" s="47" t="n">
        <v>45771</v>
      </c>
      <c r="E591" s="47" t="n">
        <v>45792</v>
      </c>
      <c r="F591" s="47" t="n">
        <v>45791</v>
      </c>
      <c r="G591" s="46" t="n">
        <v>49387</v>
      </c>
      <c r="H591" s="46" t="n">
        <v>49387</v>
      </c>
      <c r="I591" s="46" t="n">
        <v>107</v>
      </c>
      <c r="J591" s="44" t="n">
        <v>0.1124</v>
      </c>
      <c r="K591" s="43" t="inlineStr">
        <is>
          <t>Received</t>
        </is>
      </c>
      <c r="L591" s="17">
        <f>INDEX(Items!$C$2:$C$117,MATCH(B591,Items!$A$2:$A$117,0))</f>
        <v/>
      </c>
      <c r="M591" s="49">
        <f>INDEX(Items!$E$2:$E$117,MATCH(B591,Items!$A$2:$A$117,0))</f>
        <v/>
      </c>
      <c r="N591" s="17">
        <f>TEXT(D591,"yyyy-mm")</f>
        <v/>
      </c>
      <c r="O591" s="50">
        <f>G591*J591</f>
        <v/>
      </c>
      <c r="P591" s="50">
        <f>(J591-M591)*G591</f>
        <v/>
      </c>
      <c r="Q591" s="51">
        <f>IF(K591="Received",1,0)</f>
        <v/>
      </c>
      <c r="R591" s="51">
        <f>IF(Q591=1,F591-D591,0)</f>
        <v/>
      </c>
      <c r="S591" s="51">
        <f>IF(Q591=1,IF(F591&lt;=E591,1,0),0)</f>
        <v/>
      </c>
      <c r="T591" s="51">
        <f>IF(Q591=1,IF(H591&gt;=G591,1,0),0)</f>
        <v/>
      </c>
      <c r="U591" s="51">
        <f>S591*T591</f>
        <v/>
      </c>
      <c r="V591" s="51">
        <f>IF(Q591=1,MAX(0,F591-E591),0)</f>
        <v/>
      </c>
    </row>
    <row r="592">
      <c r="A592" s="43" t="inlineStr">
        <is>
          <t>PO100459</t>
        </is>
      </c>
      <c r="B592" s="43" t="inlineStr">
        <is>
          <t>CMD-0021</t>
        </is>
      </c>
      <c r="C592" s="43" t="inlineStr">
        <is>
          <t>S04</t>
        </is>
      </c>
      <c r="D592" s="47" t="n">
        <v>45777</v>
      </c>
      <c r="E592" s="47" t="n">
        <v>45847</v>
      </c>
      <c r="F592" s="47" t="n">
        <v>45845</v>
      </c>
      <c r="G592" s="46" t="n">
        <v>1161</v>
      </c>
      <c r="H592" s="46" t="n">
        <v>1161</v>
      </c>
      <c r="I592" s="46" t="n">
        <v>13</v>
      </c>
      <c r="J592" s="44" t="n">
        <v>4.94</v>
      </c>
      <c r="K592" s="43" t="inlineStr">
        <is>
          <t>Received</t>
        </is>
      </c>
      <c r="L592" s="17">
        <f>INDEX(Items!$C$2:$C$117,MATCH(B592,Items!$A$2:$A$117,0))</f>
        <v/>
      </c>
      <c r="M592" s="49">
        <f>INDEX(Items!$E$2:$E$117,MATCH(B592,Items!$A$2:$A$117,0))</f>
        <v/>
      </c>
      <c r="N592" s="17">
        <f>TEXT(D592,"yyyy-mm")</f>
        <v/>
      </c>
      <c r="O592" s="50">
        <f>G592*J592</f>
        <v/>
      </c>
      <c r="P592" s="50">
        <f>(J592-M592)*G592</f>
        <v/>
      </c>
      <c r="Q592" s="51">
        <f>IF(K592="Received",1,0)</f>
        <v/>
      </c>
      <c r="R592" s="51">
        <f>IF(Q592=1,F592-D592,0)</f>
        <v/>
      </c>
      <c r="S592" s="51">
        <f>IF(Q592=1,IF(F592&lt;=E592,1,0),0)</f>
        <v/>
      </c>
      <c r="T592" s="51">
        <f>IF(Q592=1,IF(H592&gt;=G592,1,0),0)</f>
        <v/>
      </c>
      <c r="U592" s="51">
        <f>S592*T592</f>
        <v/>
      </c>
      <c r="V592" s="51">
        <f>IF(Q592=1,MAX(0,F592-E592),0)</f>
        <v/>
      </c>
    </row>
    <row r="593">
      <c r="A593" s="43" t="inlineStr">
        <is>
          <t>PO101371</t>
        </is>
      </c>
      <c r="B593" s="43" t="inlineStr">
        <is>
          <t>CMD-0070</t>
        </is>
      </c>
      <c r="C593" s="43" t="inlineStr">
        <is>
          <t>S04</t>
        </is>
      </c>
      <c r="D593" s="47" t="n">
        <v>45778</v>
      </c>
      <c r="E593" s="47" t="n">
        <v>45813</v>
      </c>
      <c r="F593" s="47" t="n">
        <v>45812</v>
      </c>
      <c r="G593" s="46" t="n">
        <v>48285</v>
      </c>
      <c r="H593" s="46" t="n">
        <v>48285</v>
      </c>
      <c r="I593" s="46" t="n">
        <v>520</v>
      </c>
      <c r="J593" s="44" t="n">
        <v>0.141</v>
      </c>
      <c r="K593" s="43" t="inlineStr">
        <is>
          <t>Received</t>
        </is>
      </c>
      <c r="L593" s="17">
        <f>INDEX(Items!$C$2:$C$117,MATCH(B593,Items!$A$2:$A$117,0))</f>
        <v/>
      </c>
      <c r="M593" s="49">
        <f>INDEX(Items!$E$2:$E$117,MATCH(B593,Items!$A$2:$A$117,0))</f>
        <v/>
      </c>
      <c r="N593" s="17">
        <f>TEXT(D593,"yyyy-mm")</f>
        <v/>
      </c>
      <c r="O593" s="50">
        <f>G593*J593</f>
        <v/>
      </c>
      <c r="P593" s="50">
        <f>(J593-M593)*G593</f>
        <v/>
      </c>
      <c r="Q593" s="51">
        <f>IF(K593="Received",1,0)</f>
        <v/>
      </c>
      <c r="R593" s="51">
        <f>IF(Q593=1,F593-D593,0)</f>
        <v/>
      </c>
      <c r="S593" s="51">
        <f>IF(Q593=1,IF(F593&lt;=E593,1,0),0)</f>
        <v/>
      </c>
      <c r="T593" s="51">
        <f>IF(Q593=1,IF(H593&gt;=G593,1,0),0)</f>
        <v/>
      </c>
      <c r="U593" s="51">
        <f>S593*T593</f>
        <v/>
      </c>
      <c r="V593" s="51">
        <f>IF(Q593=1,MAX(0,F593-E593),0)</f>
        <v/>
      </c>
    </row>
    <row r="594">
      <c r="A594" s="43" t="inlineStr">
        <is>
          <t>PO100693</t>
        </is>
      </c>
      <c r="B594" s="43" t="inlineStr">
        <is>
          <t>CMD-0031</t>
        </is>
      </c>
      <c r="C594" s="43" t="inlineStr">
        <is>
          <t>S01</t>
        </is>
      </c>
      <c r="D594" s="47" t="n">
        <v>45780</v>
      </c>
      <c r="E594" s="47" t="n">
        <v>45808</v>
      </c>
      <c r="F594" s="47" t="n">
        <v>45812</v>
      </c>
      <c r="G594" s="46" t="n">
        <v>574</v>
      </c>
      <c r="H594" s="46" t="n">
        <v>574</v>
      </c>
      <c r="I594" s="46" t="n">
        <v>1</v>
      </c>
      <c r="J594" s="44" t="n">
        <v>9.69</v>
      </c>
      <c r="K594" s="43" t="inlineStr">
        <is>
          <t>Received</t>
        </is>
      </c>
      <c r="L594" s="17">
        <f>INDEX(Items!$C$2:$C$117,MATCH(B594,Items!$A$2:$A$117,0))</f>
        <v/>
      </c>
      <c r="M594" s="49">
        <f>INDEX(Items!$E$2:$E$117,MATCH(B594,Items!$A$2:$A$117,0))</f>
        <v/>
      </c>
      <c r="N594" s="17">
        <f>TEXT(D594,"yyyy-mm")</f>
        <v/>
      </c>
      <c r="O594" s="50">
        <f>G594*J594</f>
        <v/>
      </c>
      <c r="P594" s="50">
        <f>(J594-M594)*G594</f>
        <v/>
      </c>
      <c r="Q594" s="51">
        <f>IF(K594="Received",1,0)</f>
        <v/>
      </c>
      <c r="R594" s="51">
        <f>IF(Q594=1,F594-D594,0)</f>
        <v/>
      </c>
      <c r="S594" s="51">
        <f>IF(Q594=1,IF(F594&lt;=E594,1,0),0)</f>
        <v/>
      </c>
      <c r="T594" s="51">
        <f>IF(Q594=1,IF(H594&gt;=G594,1,0),0)</f>
        <v/>
      </c>
      <c r="U594" s="51">
        <f>S594*T594</f>
        <v/>
      </c>
      <c r="V594" s="51">
        <f>IF(Q594=1,MAX(0,F594-E594),0)</f>
        <v/>
      </c>
    </row>
    <row r="595">
      <c r="A595" s="43" t="inlineStr">
        <is>
          <t>PO100417</t>
        </is>
      </c>
      <c r="B595" s="43" t="inlineStr">
        <is>
          <t>CMD-0019</t>
        </is>
      </c>
      <c r="C595" s="43" t="inlineStr">
        <is>
          <t>S11</t>
        </is>
      </c>
      <c r="D595" s="47" t="n">
        <v>45780</v>
      </c>
      <c r="E595" s="47" t="n">
        <v>45857</v>
      </c>
      <c r="F595" s="47" t="n">
        <v>45855</v>
      </c>
      <c r="G595" s="46" t="n">
        <v>711</v>
      </c>
      <c r="H595" s="46" t="n">
        <v>711</v>
      </c>
      <c r="I595" s="46" t="n">
        <v>2</v>
      </c>
      <c r="J595" s="44" t="n">
        <v>7.25</v>
      </c>
      <c r="K595" s="43" t="inlineStr">
        <is>
          <t>Received</t>
        </is>
      </c>
      <c r="L595" s="17">
        <f>INDEX(Items!$C$2:$C$117,MATCH(B595,Items!$A$2:$A$117,0))</f>
        <v/>
      </c>
      <c r="M595" s="49">
        <f>INDEX(Items!$E$2:$E$117,MATCH(B595,Items!$A$2:$A$117,0))</f>
        <v/>
      </c>
      <c r="N595" s="17">
        <f>TEXT(D595,"yyyy-mm")</f>
        <v/>
      </c>
      <c r="O595" s="50">
        <f>G595*J595</f>
        <v/>
      </c>
      <c r="P595" s="50">
        <f>(J595-M595)*G595</f>
        <v/>
      </c>
      <c r="Q595" s="51">
        <f>IF(K595="Received",1,0)</f>
        <v/>
      </c>
      <c r="R595" s="51">
        <f>IF(Q595=1,F595-D595,0)</f>
        <v/>
      </c>
      <c r="S595" s="51">
        <f>IF(Q595=1,IF(F595&lt;=E595,1,0),0)</f>
        <v/>
      </c>
      <c r="T595" s="51">
        <f>IF(Q595=1,IF(H595&gt;=G595,1,0),0)</f>
        <v/>
      </c>
      <c r="U595" s="51">
        <f>S595*T595</f>
        <v/>
      </c>
      <c r="V595" s="51">
        <f>IF(Q595=1,MAX(0,F595-E595),0)</f>
        <v/>
      </c>
    </row>
    <row r="596">
      <c r="A596" s="43" t="inlineStr">
        <is>
          <t>PO101791</t>
        </is>
      </c>
      <c r="B596" s="43" t="inlineStr">
        <is>
          <t>CMD-0097</t>
        </is>
      </c>
      <c r="C596" s="43" t="inlineStr">
        <is>
          <t>S09</t>
        </is>
      </c>
      <c r="D596" s="47" t="n">
        <v>45781</v>
      </c>
      <c r="E596" s="47" t="n">
        <v>45802</v>
      </c>
      <c r="F596" s="47" t="n">
        <v>45801</v>
      </c>
      <c r="G596" s="46" t="n">
        <v>605</v>
      </c>
      <c r="H596" s="46" t="n">
        <v>605</v>
      </c>
      <c r="I596" s="46" t="n">
        <v>1</v>
      </c>
      <c r="J596" s="44" t="n">
        <v>9.27</v>
      </c>
      <c r="K596" s="43" t="inlineStr">
        <is>
          <t>Received</t>
        </is>
      </c>
      <c r="L596" s="17">
        <f>INDEX(Items!$C$2:$C$117,MATCH(B596,Items!$A$2:$A$117,0))</f>
        <v/>
      </c>
      <c r="M596" s="49">
        <f>INDEX(Items!$E$2:$E$117,MATCH(B596,Items!$A$2:$A$117,0))</f>
        <v/>
      </c>
      <c r="N596" s="17">
        <f>TEXT(D596,"yyyy-mm")</f>
        <v/>
      </c>
      <c r="O596" s="50">
        <f>G596*J596</f>
        <v/>
      </c>
      <c r="P596" s="50">
        <f>(J596-M596)*G596</f>
        <v/>
      </c>
      <c r="Q596" s="51">
        <f>IF(K596="Received",1,0)</f>
        <v/>
      </c>
      <c r="R596" s="51">
        <f>IF(Q596=1,F596-D596,0)</f>
        <v/>
      </c>
      <c r="S596" s="51">
        <f>IF(Q596=1,IF(F596&lt;=E596,1,0),0)</f>
        <v/>
      </c>
      <c r="T596" s="51">
        <f>IF(Q596=1,IF(H596&gt;=G596,1,0),0)</f>
        <v/>
      </c>
      <c r="U596" s="51">
        <f>S596*T596</f>
        <v/>
      </c>
      <c r="V596" s="51">
        <f>IF(Q596=1,MAX(0,F596-E596),0)</f>
        <v/>
      </c>
    </row>
    <row r="597">
      <c r="A597" s="43" t="inlineStr">
        <is>
          <t>PO101605</t>
        </is>
      </c>
      <c r="B597" s="43" t="inlineStr">
        <is>
          <t>CMD-0089</t>
        </is>
      </c>
      <c r="C597" s="43" t="inlineStr">
        <is>
          <t>S01</t>
        </is>
      </c>
      <c r="D597" s="47" t="n">
        <v>45782</v>
      </c>
      <c r="E597" s="47" t="n">
        <v>45796</v>
      </c>
      <c r="F597" s="47" t="n">
        <v>45793</v>
      </c>
      <c r="G597" s="46" t="n">
        <v>656</v>
      </c>
      <c r="H597" s="46" t="n">
        <v>656</v>
      </c>
      <c r="I597" s="46" t="n">
        <v>0</v>
      </c>
      <c r="J597" s="44" t="n">
        <v>9.49</v>
      </c>
      <c r="K597" s="43" t="inlineStr">
        <is>
          <t>Received</t>
        </is>
      </c>
      <c r="L597" s="17">
        <f>INDEX(Items!$C$2:$C$117,MATCH(B597,Items!$A$2:$A$117,0))</f>
        <v/>
      </c>
      <c r="M597" s="49">
        <f>INDEX(Items!$E$2:$E$117,MATCH(B597,Items!$A$2:$A$117,0))</f>
        <v/>
      </c>
      <c r="N597" s="17">
        <f>TEXT(D597,"yyyy-mm")</f>
        <v/>
      </c>
      <c r="O597" s="50">
        <f>G597*J597</f>
        <v/>
      </c>
      <c r="P597" s="50">
        <f>(J597-M597)*G597</f>
        <v/>
      </c>
      <c r="Q597" s="51">
        <f>IF(K597="Received",1,0)</f>
        <v/>
      </c>
      <c r="R597" s="51">
        <f>IF(Q597=1,F597-D597,0)</f>
        <v/>
      </c>
      <c r="S597" s="51">
        <f>IF(Q597=1,IF(F597&lt;=E597,1,0),0)</f>
        <v/>
      </c>
      <c r="T597" s="51">
        <f>IF(Q597=1,IF(H597&gt;=G597,1,0),0)</f>
        <v/>
      </c>
      <c r="U597" s="51">
        <f>S597*T597</f>
        <v/>
      </c>
      <c r="V597" s="51">
        <f>IF(Q597=1,MAX(0,F597-E597),0)</f>
        <v/>
      </c>
    </row>
    <row r="598">
      <c r="A598" s="43" t="inlineStr">
        <is>
          <t>PO100623</t>
        </is>
      </c>
      <c r="B598" s="43" t="inlineStr">
        <is>
          <t>CMD-0028</t>
        </is>
      </c>
      <c r="C598" s="43" t="inlineStr">
        <is>
          <t>S11</t>
        </is>
      </c>
      <c r="D598" s="47" t="n">
        <v>45783</v>
      </c>
      <c r="E598" s="47" t="n">
        <v>45860</v>
      </c>
      <c r="F598" s="47" t="n">
        <v>45859</v>
      </c>
      <c r="G598" s="46" t="n">
        <v>3747</v>
      </c>
      <c r="H598" s="46" t="n">
        <v>3747</v>
      </c>
      <c r="I598" s="46" t="n">
        <v>9</v>
      </c>
      <c r="J598" s="44" t="n">
        <v>15.84</v>
      </c>
      <c r="K598" s="43" t="inlineStr">
        <is>
          <t>Received</t>
        </is>
      </c>
      <c r="L598" s="17">
        <f>INDEX(Items!$C$2:$C$117,MATCH(B598,Items!$A$2:$A$117,0))</f>
        <v/>
      </c>
      <c r="M598" s="49">
        <f>INDEX(Items!$E$2:$E$117,MATCH(B598,Items!$A$2:$A$117,0))</f>
        <v/>
      </c>
      <c r="N598" s="17">
        <f>TEXT(D598,"yyyy-mm")</f>
        <v/>
      </c>
      <c r="O598" s="50">
        <f>G598*J598</f>
        <v/>
      </c>
      <c r="P598" s="50">
        <f>(J598-M598)*G598</f>
        <v/>
      </c>
      <c r="Q598" s="51">
        <f>IF(K598="Received",1,0)</f>
        <v/>
      </c>
      <c r="R598" s="51">
        <f>IF(Q598=1,F598-D598,0)</f>
        <v/>
      </c>
      <c r="S598" s="51">
        <f>IF(Q598=1,IF(F598&lt;=E598,1,0),0)</f>
        <v/>
      </c>
      <c r="T598" s="51">
        <f>IF(Q598=1,IF(H598&gt;=G598,1,0),0)</f>
        <v/>
      </c>
      <c r="U598" s="51">
        <f>S598*T598</f>
        <v/>
      </c>
      <c r="V598" s="51">
        <f>IF(Q598=1,MAX(0,F598-E598),0)</f>
        <v/>
      </c>
    </row>
    <row r="599">
      <c r="A599" s="43" t="inlineStr">
        <is>
          <t>PO101649</t>
        </is>
      </c>
      <c r="B599" s="43" t="inlineStr">
        <is>
          <t>CMD-0091</t>
        </is>
      </c>
      <c r="C599" s="43" t="inlineStr">
        <is>
          <t>S08</t>
        </is>
      </c>
      <c r="D599" s="47" t="n">
        <v>45783</v>
      </c>
      <c r="E599" s="47" t="n">
        <v>45860</v>
      </c>
      <c r="F599" s="47" t="n">
        <v>45859</v>
      </c>
      <c r="G599" s="46" t="n">
        <v>925</v>
      </c>
      <c r="H599" s="46" t="n">
        <v>925</v>
      </c>
      <c r="I599" s="46" t="n">
        <v>20</v>
      </c>
      <c r="J599" s="44" t="n">
        <v>23.8</v>
      </c>
      <c r="K599" s="43" t="inlineStr">
        <is>
          <t>Received</t>
        </is>
      </c>
      <c r="L599" s="17">
        <f>INDEX(Items!$C$2:$C$117,MATCH(B599,Items!$A$2:$A$117,0))</f>
        <v/>
      </c>
      <c r="M599" s="49">
        <f>INDEX(Items!$E$2:$E$117,MATCH(B599,Items!$A$2:$A$117,0))</f>
        <v/>
      </c>
      <c r="N599" s="17">
        <f>TEXT(D599,"yyyy-mm")</f>
        <v/>
      </c>
      <c r="O599" s="50">
        <f>G599*J599</f>
        <v/>
      </c>
      <c r="P599" s="50">
        <f>(J599-M599)*G599</f>
        <v/>
      </c>
      <c r="Q599" s="51">
        <f>IF(K599="Received",1,0)</f>
        <v/>
      </c>
      <c r="R599" s="51">
        <f>IF(Q599=1,F599-D599,0)</f>
        <v/>
      </c>
      <c r="S599" s="51">
        <f>IF(Q599=1,IF(F599&lt;=E599,1,0),0)</f>
        <v/>
      </c>
      <c r="T599" s="51">
        <f>IF(Q599=1,IF(H599&gt;=G599,1,0),0)</f>
        <v/>
      </c>
      <c r="U599" s="51">
        <f>S599*T599</f>
        <v/>
      </c>
      <c r="V599" s="51">
        <f>IF(Q599=1,MAX(0,F599-E599),0)</f>
        <v/>
      </c>
    </row>
    <row r="600">
      <c r="A600" s="43" t="inlineStr">
        <is>
          <t>PO100395</t>
        </is>
      </c>
      <c r="B600" s="43" t="inlineStr">
        <is>
          <t>CMD-0018</t>
        </is>
      </c>
      <c r="C600" s="43" t="inlineStr">
        <is>
          <t>S02</t>
        </is>
      </c>
      <c r="D600" s="47" t="n">
        <v>45783</v>
      </c>
      <c r="E600" s="47" t="n">
        <v>45839</v>
      </c>
      <c r="F600" s="47" t="n">
        <v>45836</v>
      </c>
      <c r="G600" s="46" t="n">
        <v>8317</v>
      </c>
      <c r="H600" s="46" t="n">
        <v>8317</v>
      </c>
      <c r="I600" s="46" t="n">
        <v>33</v>
      </c>
      <c r="J600" s="44" t="n">
        <v>37.92</v>
      </c>
      <c r="K600" s="43" t="inlineStr">
        <is>
          <t>Received</t>
        </is>
      </c>
      <c r="L600" s="17">
        <f>INDEX(Items!$C$2:$C$117,MATCH(B600,Items!$A$2:$A$117,0))</f>
        <v/>
      </c>
      <c r="M600" s="49">
        <f>INDEX(Items!$E$2:$E$117,MATCH(B600,Items!$A$2:$A$117,0))</f>
        <v/>
      </c>
      <c r="N600" s="17">
        <f>TEXT(D600,"yyyy-mm")</f>
        <v/>
      </c>
      <c r="O600" s="50">
        <f>G600*J600</f>
        <v/>
      </c>
      <c r="P600" s="50">
        <f>(J600-M600)*G600</f>
        <v/>
      </c>
      <c r="Q600" s="51">
        <f>IF(K600="Received",1,0)</f>
        <v/>
      </c>
      <c r="R600" s="51">
        <f>IF(Q600=1,F600-D600,0)</f>
        <v/>
      </c>
      <c r="S600" s="51">
        <f>IF(Q600=1,IF(F600&lt;=E600,1,0),0)</f>
        <v/>
      </c>
      <c r="T600" s="51">
        <f>IF(Q600=1,IF(H600&gt;=G600,1,0),0)</f>
        <v/>
      </c>
      <c r="U600" s="51">
        <f>S600*T600</f>
        <v/>
      </c>
      <c r="V600" s="51">
        <f>IF(Q600=1,MAX(0,F600-E600),0)</f>
        <v/>
      </c>
    </row>
    <row r="601">
      <c r="A601" s="43" t="inlineStr">
        <is>
          <t>PO100989</t>
        </is>
      </c>
      <c r="B601" s="43" t="inlineStr">
        <is>
          <t>CMD-0045</t>
        </is>
      </c>
      <c r="C601" s="43" t="inlineStr">
        <is>
          <t>S05</t>
        </is>
      </c>
      <c r="D601" s="47" t="n">
        <v>45783</v>
      </c>
      <c r="E601" s="47" t="n">
        <v>45888</v>
      </c>
      <c r="F601" s="47" t="n">
        <v>45885</v>
      </c>
      <c r="G601" s="46" t="n">
        <v>3541</v>
      </c>
      <c r="H601" s="46" t="n">
        <v>3541</v>
      </c>
      <c r="I601" s="46" t="n">
        <v>68</v>
      </c>
      <c r="J601" s="44" t="n">
        <v>8.99</v>
      </c>
      <c r="K601" s="43" t="inlineStr">
        <is>
          <t>Received</t>
        </is>
      </c>
      <c r="L601" s="17">
        <f>INDEX(Items!$C$2:$C$117,MATCH(B601,Items!$A$2:$A$117,0))</f>
        <v/>
      </c>
      <c r="M601" s="49">
        <f>INDEX(Items!$E$2:$E$117,MATCH(B601,Items!$A$2:$A$117,0))</f>
        <v/>
      </c>
      <c r="N601" s="17">
        <f>TEXT(D601,"yyyy-mm")</f>
        <v/>
      </c>
      <c r="O601" s="50">
        <f>G601*J601</f>
        <v/>
      </c>
      <c r="P601" s="50">
        <f>(J601-M601)*G601</f>
        <v/>
      </c>
      <c r="Q601" s="51">
        <f>IF(K601="Received",1,0)</f>
        <v/>
      </c>
      <c r="R601" s="51">
        <f>IF(Q601=1,F601-D601,0)</f>
        <v/>
      </c>
      <c r="S601" s="51">
        <f>IF(Q601=1,IF(F601&lt;=E601,1,0),0)</f>
        <v/>
      </c>
      <c r="T601" s="51">
        <f>IF(Q601=1,IF(H601&gt;=G601,1,0),0)</f>
        <v/>
      </c>
      <c r="U601" s="51">
        <f>S601*T601</f>
        <v/>
      </c>
      <c r="V601" s="51">
        <f>IF(Q601=1,MAX(0,F601-E601),0)</f>
        <v/>
      </c>
    </row>
    <row r="602">
      <c r="A602" s="43" t="inlineStr">
        <is>
          <t>PO100825</t>
        </is>
      </c>
      <c r="B602" s="43" t="inlineStr">
        <is>
          <t>CMD-0037</t>
        </is>
      </c>
      <c r="C602" s="43" t="inlineStr">
        <is>
          <t>S07</t>
        </is>
      </c>
      <c r="D602" s="47" t="n">
        <v>45783</v>
      </c>
      <c r="E602" s="47" t="n">
        <v>45825</v>
      </c>
      <c r="F602" s="47" t="n">
        <v>45825</v>
      </c>
      <c r="G602" s="46" t="n">
        <v>400</v>
      </c>
      <c r="H602" s="46" t="n">
        <v>400</v>
      </c>
      <c r="I602" s="46" t="n">
        <v>3</v>
      </c>
      <c r="J602" s="44" t="n">
        <v>53.62</v>
      </c>
      <c r="K602" s="43" t="inlineStr">
        <is>
          <t>Received</t>
        </is>
      </c>
      <c r="L602" s="17">
        <f>INDEX(Items!$C$2:$C$117,MATCH(B602,Items!$A$2:$A$117,0))</f>
        <v/>
      </c>
      <c r="M602" s="49">
        <f>INDEX(Items!$E$2:$E$117,MATCH(B602,Items!$A$2:$A$117,0))</f>
        <v/>
      </c>
      <c r="N602" s="17">
        <f>TEXT(D602,"yyyy-mm")</f>
        <v/>
      </c>
      <c r="O602" s="50">
        <f>G602*J602</f>
        <v/>
      </c>
      <c r="P602" s="50">
        <f>(J602-M602)*G602</f>
        <v/>
      </c>
      <c r="Q602" s="51">
        <f>IF(K602="Received",1,0)</f>
        <v/>
      </c>
      <c r="R602" s="51">
        <f>IF(Q602=1,F602-D602,0)</f>
        <v/>
      </c>
      <c r="S602" s="51">
        <f>IF(Q602=1,IF(F602&lt;=E602,1,0),0)</f>
        <v/>
      </c>
      <c r="T602" s="51">
        <f>IF(Q602=1,IF(H602&gt;=G602,1,0),0)</f>
        <v/>
      </c>
      <c r="U602" s="51">
        <f>S602*T602</f>
        <v/>
      </c>
      <c r="V602" s="51">
        <f>IF(Q602=1,MAX(0,F602-E602),0)</f>
        <v/>
      </c>
    </row>
    <row r="603">
      <c r="A603" s="43" t="inlineStr">
        <is>
          <t>PO100777</t>
        </is>
      </c>
      <c r="B603" s="43" t="inlineStr">
        <is>
          <t>CMD-0035</t>
        </is>
      </c>
      <c r="C603" s="43" t="inlineStr">
        <is>
          <t>S01</t>
        </is>
      </c>
      <c r="D603" s="47" t="n">
        <v>45783</v>
      </c>
      <c r="E603" s="47" t="n">
        <v>45811</v>
      </c>
      <c r="F603" s="47" t="n">
        <v>45810</v>
      </c>
      <c r="G603" s="46" t="n">
        <v>576</v>
      </c>
      <c r="H603" s="46" t="n">
        <v>576</v>
      </c>
      <c r="I603" s="46" t="n">
        <v>2</v>
      </c>
      <c r="J603" s="44" t="n">
        <v>9.369999999999999</v>
      </c>
      <c r="K603" s="43" t="inlineStr">
        <is>
          <t>Received</t>
        </is>
      </c>
      <c r="L603" s="17">
        <f>INDEX(Items!$C$2:$C$117,MATCH(B603,Items!$A$2:$A$117,0))</f>
        <v/>
      </c>
      <c r="M603" s="49">
        <f>INDEX(Items!$E$2:$E$117,MATCH(B603,Items!$A$2:$A$117,0))</f>
        <v/>
      </c>
      <c r="N603" s="17">
        <f>TEXT(D603,"yyyy-mm")</f>
        <v/>
      </c>
      <c r="O603" s="50">
        <f>G603*J603</f>
        <v/>
      </c>
      <c r="P603" s="50">
        <f>(J603-M603)*G603</f>
        <v/>
      </c>
      <c r="Q603" s="51">
        <f>IF(K603="Received",1,0)</f>
        <v/>
      </c>
      <c r="R603" s="51">
        <f>IF(Q603=1,F603-D603,0)</f>
        <v/>
      </c>
      <c r="S603" s="51">
        <f>IF(Q603=1,IF(F603&lt;=E603,1,0),0)</f>
        <v/>
      </c>
      <c r="T603" s="51">
        <f>IF(Q603=1,IF(H603&gt;=G603,1,0),0)</f>
        <v/>
      </c>
      <c r="U603" s="51">
        <f>S603*T603</f>
        <v/>
      </c>
      <c r="V603" s="51">
        <f>IF(Q603=1,MAX(0,F603-E603),0)</f>
        <v/>
      </c>
    </row>
    <row r="604">
      <c r="A604" s="43" t="inlineStr">
        <is>
          <t>PO100371</t>
        </is>
      </c>
      <c r="B604" s="43" t="inlineStr">
        <is>
          <t>CMD-0017</t>
        </is>
      </c>
      <c r="C604" s="43" t="inlineStr">
        <is>
          <t>S11</t>
        </is>
      </c>
      <c r="D604" s="47" t="n">
        <v>45784</v>
      </c>
      <c r="E604" s="47" t="n">
        <v>45861</v>
      </c>
      <c r="F604" s="47" t="n">
        <v>45859</v>
      </c>
      <c r="G604" s="46" t="n">
        <v>6432</v>
      </c>
      <c r="H604" s="46" t="n">
        <v>6432</v>
      </c>
      <c r="I604" s="46" t="n">
        <v>13</v>
      </c>
      <c r="J604" s="44" t="n">
        <v>12.69</v>
      </c>
      <c r="K604" s="43" t="inlineStr">
        <is>
          <t>Received</t>
        </is>
      </c>
      <c r="L604" s="17">
        <f>INDEX(Items!$C$2:$C$117,MATCH(B604,Items!$A$2:$A$117,0))</f>
        <v/>
      </c>
      <c r="M604" s="49">
        <f>INDEX(Items!$E$2:$E$117,MATCH(B604,Items!$A$2:$A$117,0))</f>
        <v/>
      </c>
      <c r="N604" s="17">
        <f>TEXT(D604,"yyyy-mm")</f>
        <v/>
      </c>
      <c r="O604" s="50">
        <f>G604*J604</f>
        <v/>
      </c>
      <c r="P604" s="50">
        <f>(J604-M604)*G604</f>
        <v/>
      </c>
      <c r="Q604" s="51">
        <f>IF(K604="Received",1,0)</f>
        <v/>
      </c>
      <c r="R604" s="51">
        <f>IF(Q604=1,F604-D604,0)</f>
        <v/>
      </c>
      <c r="S604" s="51">
        <f>IF(Q604=1,IF(F604&lt;=E604,1,0),0)</f>
        <v/>
      </c>
      <c r="T604" s="51">
        <f>IF(Q604=1,IF(H604&gt;=G604,1,0),0)</f>
        <v/>
      </c>
      <c r="U604" s="51">
        <f>S604*T604</f>
        <v/>
      </c>
      <c r="V604" s="51">
        <f>IF(Q604=1,MAX(0,F604-E604),0)</f>
        <v/>
      </c>
    </row>
    <row r="605">
      <c r="A605" s="43" t="inlineStr">
        <is>
          <t>PO101539</t>
        </is>
      </c>
      <c r="B605" s="43" t="inlineStr">
        <is>
          <t>CMD-0082</t>
        </is>
      </c>
      <c r="C605" s="43" t="inlineStr">
        <is>
          <t>S01</t>
        </is>
      </c>
      <c r="D605" s="47" t="n">
        <v>45784</v>
      </c>
      <c r="E605" s="47" t="n">
        <v>45798</v>
      </c>
      <c r="F605" s="47" t="n">
        <v>45798</v>
      </c>
      <c r="G605" s="46" t="n">
        <v>7418</v>
      </c>
      <c r="H605" s="46" t="n">
        <v>7418</v>
      </c>
      <c r="I605" s="46" t="n">
        <v>20</v>
      </c>
      <c r="J605" s="44" t="n">
        <v>2.32</v>
      </c>
      <c r="K605" s="43" t="inlineStr">
        <is>
          <t>Received</t>
        </is>
      </c>
      <c r="L605" s="17">
        <f>INDEX(Items!$C$2:$C$117,MATCH(B605,Items!$A$2:$A$117,0))</f>
        <v/>
      </c>
      <c r="M605" s="49">
        <f>INDEX(Items!$E$2:$E$117,MATCH(B605,Items!$A$2:$A$117,0))</f>
        <v/>
      </c>
      <c r="N605" s="17">
        <f>TEXT(D605,"yyyy-mm")</f>
        <v/>
      </c>
      <c r="O605" s="50">
        <f>G605*J605</f>
        <v/>
      </c>
      <c r="P605" s="50">
        <f>(J605-M605)*G605</f>
        <v/>
      </c>
      <c r="Q605" s="51">
        <f>IF(K605="Received",1,0)</f>
        <v/>
      </c>
      <c r="R605" s="51">
        <f>IF(Q605=1,F605-D605,0)</f>
        <v/>
      </c>
      <c r="S605" s="51">
        <f>IF(Q605=1,IF(F605&lt;=E605,1,0),0)</f>
        <v/>
      </c>
      <c r="T605" s="51">
        <f>IF(Q605=1,IF(H605&gt;=G605,1,0),0)</f>
        <v/>
      </c>
      <c r="U605" s="51">
        <f>S605*T605</f>
        <v/>
      </c>
      <c r="V605" s="51">
        <f>IF(Q605=1,MAX(0,F605-E605),0)</f>
        <v/>
      </c>
    </row>
    <row r="606">
      <c r="A606" s="43" t="inlineStr">
        <is>
          <t>PO101511</t>
        </is>
      </c>
      <c r="B606" s="43" t="inlineStr">
        <is>
          <t>CMD-0080</t>
        </is>
      </c>
      <c r="C606" s="43" t="inlineStr">
        <is>
          <t>S06</t>
        </is>
      </c>
      <c r="D606" s="47" t="n">
        <v>45784</v>
      </c>
      <c r="E606" s="47" t="n">
        <v>45805</v>
      </c>
      <c r="F606" s="47" t="n">
        <v>45803</v>
      </c>
      <c r="G606" s="46" t="n">
        <v>4884</v>
      </c>
      <c r="H606" s="46" t="n">
        <v>4884</v>
      </c>
      <c r="I606" s="46" t="n">
        <v>25</v>
      </c>
      <c r="J606" s="44" t="n">
        <v>5.53</v>
      </c>
      <c r="K606" s="43" t="inlineStr">
        <is>
          <t>Received</t>
        </is>
      </c>
      <c r="L606" s="17">
        <f>INDEX(Items!$C$2:$C$117,MATCH(B606,Items!$A$2:$A$117,0))</f>
        <v/>
      </c>
      <c r="M606" s="49">
        <f>INDEX(Items!$E$2:$E$117,MATCH(B606,Items!$A$2:$A$117,0))</f>
        <v/>
      </c>
      <c r="N606" s="17">
        <f>TEXT(D606,"yyyy-mm")</f>
        <v/>
      </c>
      <c r="O606" s="50">
        <f>G606*J606</f>
        <v/>
      </c>
      <c r="P606" s="50">
        <f>(J606-M606)*G606</f>
        <v/>
      </c>
      <c r="Q606" s="51">
        <f>IF(K606="Received",1,0)</f>
        <v/>
      </c>
      <c r="R606" s="51">
        <f>IF(Q606=1,F606-D606,0)</f>
        <v/>
      </c>
      <c r="S606" s="51">
        <f>IF(Q606=1,IF(F606&lt;=E606,1,0),0)</f>
        <v/>
      </c>
      <c r="T606" s="51">
        <f>IF(Q606=1,IF(H606&gt;=G606,1,0),0)</f>
        <v/>
      </c>
      <c r="U606" s="51">
        <f>S606*T606</f>
        <v/>
      </c>
      <c r="V606" s="51">
        <f>IF(Q606=1,MAX(0,F606-E606),0)</f>
        <v/>
      </c>
    </row>
    <row r="607">
      <c r="A607" s="43" t="inlineStr">
        <is>
          <t>PO101673</t>
        </is>
      </c>
      <c r="B607" s="43" t="inlineStr">
        <is>
          <t>CMD-0092</t>
        </is>
      </c>
      <c r="C607" s="43" t="inlineStr">
        <is>
          <t>S08</t>
        </is>
      </c>
      <c r="D607" s="47" t="n">
        <v>45784</v>
      </c>
      <c r="E607" s="47" t="n">
        <v>45861</v>
      </c>
      <c r="F607" s="47" t="n">
        <v>45860</v>
      </c>
      <c r="G607" s="46" t="n">
        <v>355</v>
      </c>
      <c r="H607" s="46" t="n">
        <v>355</v>
      </c>
      <c r="I607" s="46" t="n">
        <v>5</v>
      </c>
      <c r="J607" s="44" t="n">
        <v>29.47</v>
      </c>
      <c r="K607" s="43" t="inlineStr">
        <is>
          <t>Received</t>
        </is>
      </c>
      <c r="L607" s="17">
        <f>INDEX(Items!$C$2:$C$117,MATCH(B607,Items!$A$2:$A$117,0))</f>
        <v/>
      </c>
      <c r="M607" s="49">
        <f>INDEX(Items!$E$2:$E$117,MATCH(B607,Items!$A$2:$A$117,0))</f>
        <v/>
      </c>
      <c r="N607" s="17">
        <f>TEXT(D607,"yyyy-mm")</f>
        <v/>
      </c>
      <c r="O607" s="50">
        <f>G607*J607</f>
        <v/>
      </c>
      <c r="P607" s="50">
        <f>(J607-M607)*G607</f>
        <v/>
      </c>
      <c r="Q607" s="51">
        <f>IF(K607="Received",1,0)</f>
        <v/>
      </c>
      <c r="R607" s="51">
        <f>IF(Q607=1,F607-D607,0)</f>
        <v/>
      </c>
      <c r="S607" s="51">
        <f>IF(Q607=1,IF(F607&lt;=E607,1,0),0)</f>
        <v/>
      </c>
      <c r="T607" s="51">
        <f>IF(Q607=1,IF(H607&gt;=G607,1,0),0)</f>
        <v/>
      </c>
      <c r="U607" s="51">
        <f>S607*T607</f>
        <v/>
      </c>
      <c r="V607" s="51">
        <f>IF(Q607=1,MAX(0,F607-E607),0)</f>
        <v/>
      </c>
    </row>
    <row r="608">
      <c r="A608" s="43" t="inlineStr">
        <is>
          <t>PO100247</t>
        </is>
      </c>
      <c r="B608" s="43" t="inlineStr">
        <is>
          <t>CMD-0011</t>
        </is>
      </c>
      <c r="C608" s="43" t="inlineStr">
        <is>
          <t>S07</t>
        </is>
      </c>
      <c r="D608" s="47" t="n">
        <v>45784</v>
      </c>
      <c r="E608" s="47" t="n">
        <v>45875</v>
      </c>
      <c r="F608" s="47" t="n">
        <v>45872</v>
      </c>
      <c r="G608" s="46" t="n">
        <v>3826</v>
      </c>
      <c r="H608" s="46" t="n">
        <v>3826</v>
      </c>
      <c r="I608" s="46" t="n">
        <v>37</v>
      </c>
      <c r="J608" s="44" t="n">
        <v>8.08</v>
      </c>
      <c r="K608" s="43" t="inlineStr">
        <is>
          <t>Received</t>
        </is>
      </c>
      <c r="L608" s="17">
        <f>INDEX(Items!$C$2:$C$117,MATCH(B608,Items!$A$2:$A$117,0))</f>
        <v/>
      </c>
      <c r="M608" s="49">
        <f>INDEX(Items!$E$2:$E$117,MATCH(B608,Items!$A$2:$A$117,0))</f>
        <v/>
      </c>
      <c r="N608" s="17">
        <f>TEXT(D608,"yyyy-mm")</f>
        <v/>
      </c>
      <c r="O608" s="50">
        <f>G608*J608</f>
        <v/>
      </c>
      <c r="P608" s="50">
        <f>(J608-M608)*G608</f>
        <v/>
      </c>
      <c r="Q608" s="51">
        <f>IF(K608="Received",1,0)</f>
        <v/>
      </c>
      <c r="R608" s="51">
        <f>IF(Q608=1,F608-D608,0)</f>
        <v/>
      </c>
      <c r="S608" s="51">
        <f>IF(Q608=1,IF(F608&lt;=E608,1,0),0)</f>
        <v/>
      </c>
      <c r="T608" s="51">
        <f>IF(Q608=1,IF(H608&gt;=G608,1,0),0)</f>
        <v/>
      </c>
      <c r="U608" s="51">
        <f>S608*T608</f>
        <v/>
      </c>
      <c r="V608" s="51">
        <f>IF(Q608=1,MAX(0,F608-E608),0)</f>
        <v/>
      </c>
    </row>
    <row r="609">
      <c r="A609" s="43" t="inlineStr">
        <is>
          <t>PO100275</t>
        </is>
      </c>
      <c r="B609" s="43" t="inlineStr">
        <is>
          <t>CMD-0013</t>
        </is>
      </c>
      <c r="C609" s="43" t="inlineStr">
        <is>
          <t>S11</t>
        </is>
      </c>
      <c r="D609" s="47" t="n">
        <v>45784</v>
      </c>
      <c r="E609" s="47" t="n">
        <v>45903</v>
      </c>
      <c r="F609" s="47" t="n">
        <v>45902</v>
      </c>
      <c r="G609" s="46" t="n">
        <v>1081</v>
      </c>
      <c r="H609" s="46" t="n">
        <v>1081</v>
      </c>
      <c r="I609" s="46" t="n">
        <v>3</v>
      </c>
      <c r="J609" s="44" t="n">
        <v>6.75</v>
      </c>
      <c r="K609" s="43" t="inlineStr">
        <is>
          <t>Received</t>
        </is>
      </c>
      <c r="L609" s="17">
        <f>INDEX(Items!$C$2:$C$117,MATCH(B609,Items!$A$2:$A$117,0))</f>
        <v/>
      </c>
      <c r="M609" s="49">
        <f>INDEX(Items!$E$2:$E$117,MATCH(B609,Items!$A$2:$A$117,0))</f>
        <v/>
      </c>
      <c r="N609" s="17">
        <f>TEXT(D609,"yyyy-mm")</f>
        <v/>
      </c>
      <c r="O609" s="50">
        <f>G609*J609</f>
        <v/>
      </c>
      <c r="P609" s="50">
        <f>(J609-M609)*G609</f>
        <v/>
      </c>
      <c r="Q609" s="51">
        <f>IF(K609="Received",1,0)</f>
        <v/>
      </c>
      <c r="R609" s="51">
        <f>IF(Q609=1,F609-D609,0)</f>
        <v/>
      </c>
      <c r="S609" s="51">
        <f>IF(Q609=1,IF(F609&lt;=E609,1,0),0)</f>
        <v/>
      </c>
      <c r="T609" s="51">
        <f>IF(Q609=1,IF(H609&gt;=G609,1,0),0)</f>
        <v/>
      </c>
      <c r="U609" s="51">
        <f>S609*T609</f>
        <v/>
      </c>
      <c r="V609" s="51">
        <f>IF(Q609=1,MAX(0,F609-E609),0)</f>
        <v/>
      </c>
    </row>
    <row r="610">
      <c r="A610" s="43" t="inlineStr">
        <is>
          <t>PO100103</t>
        </is>
      </c>
      <c r="B610" s="43" t="inlineStr">
        <is>
          <t>CMD-0005</t>
        </is>
      </c>
      <c r="C610" s="43" t="inlineStr">
        <is>
          <t>S07</t>
        </is>
      </c>
      <c r="D610" s="47" t="n">
        <v>45784</v>
      </c>
      <c r="E610" s="47" t="n">
        <v>45875</v>
      </c>
      <c r="F610" s="47" t="n">
        <v>45874</v>
      </c>
      <c r="G610" s="46" t="n">
        <v>5032</v>
      </c>
      <c r="H610" s="46" t="n">
        <v>3734</v>
      </c>
      <c r="I610" s="46" t="n">
        <v>32</v>
      </c>
      <c r="J610" s="44" t="n">
        <v>5.63</v>
      </c>
      <c r="K610" s="43" t="inlineStr">
        <is>
          <t>Received</t>
        </is>
      </c>
      <c r="L610" s="17">
        <f>INDEX(Items!$C$2:$C$117,MATCH(B610,Items!$A$2:$A$117,0))</f>
        <v/>
      </c>
      <c r="M610" s="49">
        <f>INDEX(Items!$E$2:$E$117,MATCH(B610,Items!$A$2:$A$117,0))</f>
        <v/>
      </c>
      <c r="N610" s="17">
        <f>TEXT(D610,"yyyy-mm")</f>
        <v/>
      </c>
      <c r="O610" s="50">
        <f>G610*J610</f>
        <v/>
      </c>
      <c r="P610" s="50">
        <f>(J610-M610)*G610</f>
        <v/>
      </c>
      <c r="Q610" s="51">
        <f>IF(K610="Received",1,0)</f>
        <v/>
      </c>
      <c r="R610" s="51">
        <f>IF(Q610=1,F610-D610,0)</f>
        <v/>
      </c>
      <c r="S610" s="51">
        <f>IF(Q610=1,IF(F610&lt;=E610,1,0),0)</f>
        <v/>
      </c>
      <c r="T610" s="51">
        <f>IF(Q610=1,IF(H610&gt;=G610,1,0),0)</f>
        <v/>
      </c>
      <c r="U610" s="51">
        <f>S610*T610</f>
        <v/>
      </c>
      <c r="V610" s="51">
        <f>IF(Q610=1,MAX(0,F610-E610),0)</f>
        <v/>
      </c>
    </row>
    <row r="611">
      <c r="A611" s="43" t="inlineStr">
        <is>
          <t>PO100551</t>
        </is>
      </c>
      <c r="B611" s="43" t="inlineStr">
        <is>
          <t>CMD-0025</t>
        </is>
      </c>
      <c r="C611" s="43" t="inlineStr">
        <is>
          <t>S02</t>
        </is>
      </c>
      <c r="D611" s="47" t="n">
        <v>45784</v>
      </c>
      <c r="E611" s="47" t="n">
        <v>45840</v>
      </c>
      <c r="F611" s="47" t="n">
        <v>45839</v>
      </c>
      <c r="G611" s="46" t="n">
        <v>1210</v>
      </c>
      <c r="H611" s="46" t="n">
        <v>1210</v>
      </c>
      <c r="I611" s="46" t="n">
        <v>4</v>
      </c>
      <c r="J611" s="44" t="n">
        <v>10.52</v>
      </c>
      <c r="K611" s="43" t="inlineStr">
        <is>
          <t>Received</t>
        </is>
      </c>
      <c r="L611" s="17">
        <f>INDEX(Items!$C$2:$C$117,MATCH(B611,Items!$A$2:$A$117,0))</f>
        <v/>
      </c>
      <c r="M611" s="49">
        <f>INDEX(Items!$E$2:$E$117,MATCH(B611,Items!$A$2:$A$117,0))</f>
        <v/>
      </c>
      <c r="N611" s="17">
        <f>TEXT(D611,"yyyy-mm")</f>
        <v/>
      </c>
      <c r="O611" s="50">
        <f>G611*J611</f>
        <v/>
      </c>
      <c r="P611" s="50">
        <f>(J611-M611)*G611</f>
        <v/>
      </c>
      <c r="Q611" s="51">
        <f>IF(K611="Received",1,0)</f>
        <v/>
      </c>
      <c r="R611" s="51">
        <f>IF(Q611=1,F611-D611,0)</f>
        <v/>
      </c>
      <c r="S611" s="51">
        <f>IF(Q611=1,IF(F611&lt;=E611,1,0),0)</f>
        <v/>
      </c>
      <c r="T611" s="51">
        <f>IF(Q611=1,IF(H611&gt;=G611,1,0),0)</f>
        <v/>
      </c>
      <c r="U611" s="51">
        <f>S611*T611</f>
        <v/>
      </c>
      <c r="V611" s="51">
        <f>IF(Q611=1,MAX(0,F611-E611),0)</f>
        <v/>
      </c>
    </row>
    <row r="612">
      <c r="A612" s="43" t="inlineStr">
        <is>
          <t>PO101127</t>
        </is>
      </c>
      <c r="B612" s="43" t="inlineStr">
        <is>
          <t>CMD-0052</t>
        </is>
      </c>
      <c r="C612" s="43" t="inlineStr">
        <is>
          <t>S01</t>
        </is>
      </c>
      <c r="D612" s="47" t="n">
        <v>45784</v>
      </c>
      <c r="E612" s="47" t="n">
        <v>45805</v>
      </c>
      <c r="F612" s="47" t="n">
        <v>45805</v>
      </c>
      <c r="G612" s="46" t="n">
        <v>123229</v>
      </c>
      <c r="H612" s="46" t="n">
        <v>123229</v>
      </c>
      <c r="I612" s="46" t="n">
        <v>235</v>
      </c>
      <c r="J612" s="44" t="n">
        <v>0.2016</v>
      </c>
      <c r="K612" s="43" t="inlineStr">
        <is>
          <t>Received</t>
        </is>
      </c>
      <c r="L612" s="17">
        <f>INDEX(Items!$C$2:$C$117,MATCH(B612,Items!$A$2:$A$117,0))</f>
        <v/>
      </c>
      <c r="M612" s="49">
        <f>INDEX(Items!$E$2:$E$117,MATCH(B612,Items!$A$2:$A$117,0))</f>
        <v/>
      </c>
      <c r="N612" s="17">
        <f>TEXT(D612,"yyyy-mm")</f>
        <v/>
      </c>
      <c r="O612" s="50">
        <f>G612*J612</f>
        <v/>
      </c>
      <c r="P612" s="50">
        <f>(J612-M612)*G612</f>
        <v/>
      </c>
      <c r="Q612" s="51">
        <f>IF(K612="Received",1,0)</f>
        <v/>
      </c>
      <c r="R612" s="51">
        <f>IF(Q612=1,F612-D612,0)</f>
        <v/>
      </c>
      <c r="S612" s="51">
        <f>IF(Q612=1,IF(F612&lt;=E612,1,0),0)</f>
        <v/>
      </c>
      <c r="T612" s="51">
        <f>IF(Q612=1,IF(H612&gt;=G612,1,0),0)</f>
        <v/>
      </c>
      <c r="U612" s="51">
        <f>S612*T612</f>
        <v/>
      </c>
      <c r="V612" s="51">
        <f>IF(Q612=1,MAX(0,F612-E612),0)</f>
        <v/>
      </c>
    </row>
    <row r="613">
      <c r="A613" s="43" t="inlineStr">
        <is>
          <t>PO100323</t>
        </is>
      </c>
      <c r="B613" s="43" t="inlineStr">
        <is>
          <t>CMD-0015</t>
        </is>
      </c>
      <c r="C613" s="43" t="inlineStr">
        <is>
          <t>S03</t>
        </is>
      </c>
      <c r="D613" s="47" t="n">
        <v>45785</v>
      </c>
      <c r="E613" s="47" t="n">
        <v>45918</v>
      </c>
      <c r="F613" s="47" t="n">
        <v>45915</v>
      </c>
      <c r="G613" s="46" t="n">
        <v>3566</v>
      </c>
      <c r="H613" s="46" t="n">
        <v>3566</v>
      </c>
      <c r="I613" s="46" t="n">
        <v>27</v>
      </c>
      <c r="J613" s="44" t="n">
        <v>5.66</v>
      </c>
      <c r="K613" s="43" t="inlineStr">
        <is>
          <t>Received</t>
        </is>
      </c>
      <c r="L613" s="17">
        <f>INDEX(Items!$C$2:$C$117,MATCH(B613,Items!$A$2:$A$117,0))</f>
        <v/>
      </c>
      <c r="M613" s="49">
        <f>INDEX(Items!$E$2:$E$117,MATCH(B613,Items!$A$2:$A$117,0))</f>
        <v/>
      </c>
      <c r="N613" s="17">
        <f>TEXT(D613,"yyyy-mm")</f>
        <v/>
      </c>
      <c r="O613" s="50">
        <f>G613*J613</f>
        <v/>
      </c>
      <c r="P613" s="50">
        <f>(J613-M613)*G613</f>
        <v/>
      </c>
      <c r="Q613" s="51">
        <f>IF(K613="Received",1,0)</f>
        <v/>
      </c>
      <c r="R613" s="51">
        <f>IF(Q613=1,F613-D613,0)</f>
        <v/>
      </c>
      <c r="S613" s="51">
        <f>IF(Q613=1,IF(F613&lt;=E613,1,0),0)</f>
        <v/>
      </c>
      <c r="T613" s="51">
        <f>IF(Q613=1,IF(H613&gt;=G613,1,0),0)</f>
        <v/>
      </c>
      <c r="U613" s="51">
        <f>S613*T613</f>
        <v/>
      </c>
      <c r="V613" s="51">
        <f>IF(Q613=1,MAX(0,F613-E613),0)</f>
        <v/>
      </c>
    </row>
    <row r="614">
      <c r="A614" s="43" t="inlineStr">
        <is>
          <t>PO101403</t>
        </is>
      </c>
      <c r="B614" s="43" t="inlineStr">
        <is>
          <t>CMD-0074</t>
        </is>
      </c>
      <c r="C614" s="43" t="inlineStr">
        <is>
          <t>S10</t>
        </is>
      </c>
      <c r="D614" s="47" t="n">
        <v>45785</v>
      </c>
      <c r="E614" s="47" t="n">
        <v>45813</v>
      </c>
      <c r="F614" s="47" t="n">
        <v>45813</v>
      </c>
      <c r="G614" s="46" t="n">
        <v>62198</v>
      </c>
      <c r="H614" s="46" t="n">
        <v>62198</v>
      </c>
      <c r="I614" s="46" t="n">
        <v>65</v>
      </c>
      <c r="J614" s="44" t="n">
        <v>0.3496</v>
      </c>
      <c r="K614" s="43" t="inlineStr">
        <is>
          <t>Received</t>
        </is>
      </c>
      <c r="L614" s="17">
        <f>INDEX(Items!$C$2:$C$117,MATCH(B614,Items!$A$2:$A$117,0))</f>
        <v/>
      </c>
      <c r="M614" s="49">
        <f>INDEX(Items!$E$2:$E$117,MATCH(B614,Items!$A$2:$A$117,0))</f>
        <v/>
      </c>
      <c r="N614" s="17">
        <f>TEXT(D614,"yyyy-mm")</f>
        <v/>
      </c>
      <c r="O614" s="50">
        <f>G614*J614</f>
        <v/>
      </c>
      <c r="P614" s="50">
        <f>(J614-M614)*G614</f>
        <v/>
      </c>
      <c r="Q614" s="51">
        <f>IF(K614="Received",1,0)</f>
        <v/>
      </c>
      <c r="R614" s="51">
        <f>IF(Q614=1,F614-D614,0)</f>
        <v/>
      </c>
      <c r="S614" s="51">
        <f>IF(Q614=1,IF(F614&lt;=E614,1,0),0)</f>
        <v/>
      </c>
      <c r="T614" s="51">
        <f>IF(Q614=1,IF(H614&gt;=G614,1,0),0)</f>
        <v/>
      </c>
      <c r="U614" s="51">
        <f>S614*T614</f>
        <v/>
      </c>
      <c r="V614" s="51">
        <f>IF(Q614=1,MAX(0,F614-E614),0)</f>
        <v/>
      </c>
    </row>
    <row r="615">
      <c r="A615" s="43" t="inlineStr">
        <is>
          <t>PO101769</t>
        </is>
      </c>
      <c r="B615" s="43" t="inlineStr">
        <is>
          <t>CMD-0096</t>
        </is>
      </c>
      <c r="C615" s="43" t="inlineStr">
        <is>
          <t>S09</t>
        </is>
      </c>
      <c r="D615" s="47" t="n">
        <v>45785</v>
      </c>
      <c r="E615" s="47" t="n">
        <v>45806</v>
      </c>
      <c r="F615" s="47" t="n">
        <v>45806</v>
      </c>
      <c r="G615" s="46" t="n">
        <v>868</v>
      </c>
      <c r="H615" s="46" t="n">
        <v>868</v>
      </c>
      <c r="I615" s="46" t="n">
        <v>2</v>
      </c>
      <c r="J615" s="44" t="n">
        <v>6.42</v>
      </c>
      <c r="K615" s="43" t="inlineStr">
        <is>
          <t>Received</t>
        </is>
      </c>
      <c r="L615" s="17">
        <f>INDEX(Items!$C$2:$C$117,MATCH(B615,Items!$A$2:$A$117,0))</f>
        <v/>
      </c>
      <c r="M615" s="49">
        <f>INDEX(Items!$E$2:$E$117,MATCH(B615,Items!$A$2:$A$117,0))</f>
        <v/>
      </c>
      <c r="N615" s="17">
        <f>TEXT(D615,"yyyy-mm")</f>
        <v/>
      </c>
      <c r="O615" s="50">
        <f>G615*J615</f>
        <v/>
      </c>
      <c r="P615" s="50">
        <f>(J615-M615)*G615</f>
        <v/>
      </c>
      <c r="Q615" s="51">
        <f>IF(K615="Received",1,0)</f>
        <v/>
      </c>
      <c r="R615" s="51">
        <f>IF(Q615=1,F615-D615,0)</f>
        <v/>
      </c>
      <c r="S615" s="51">
        <f>IF(Q615=1,IF(F615&lt;=E615,1,0),0)</f>
        <v/>
      </c>
      <c r="T615" s="51">
        <f>IF(Q615=1,IF(H615&gt;=G615,1,0),0)</f>
        <v/>
      </c>
      <c r="U615" s="51">
        <f>S615*T615</f>
        <v/>
      </c>
      <c r="V615" s="51">
        <f>IF(Q615=1,MAX(0,F615-E615),0)</f>
        <v/>
      </c>
    </row>
    <row r="616">
      <c r="A616" s="43" t="inlineStr">
        <is>
          <t>PO100079</t>
        </is>
      </c>
      <c r="B616" s="43" t="inlineStr">
        <is>
          <t>CMD-0004</t>
        </is>
      </c>
      <c r="C616" s="43" t="inlineStr">
        <is>
          <t>S07</t>
        </is>
      </c>
      <c r="D616" s="47" t="n">
        <v>45785</v>
      </c>
      <c r="E616" s="47" t="n">
        <v>45876</v>
      </c>
      <c r="F616" s="47" t="n">
        <v>45874</v>
      </c>
      <c r="G616" s="46" t="n">
        <v>3558</v>
      </c>
      <c r="H616" s="46" t="n">
        <v>3558</v>
      </c>
      <c r="I616" s="46" t="n">
        <v>22</v>
      </c>
      <c r="J616" s="44" t="n">
        <v>4.05</v>
      </c>
      <c r="K616" s="43" t="inlineStr">
        <is>
          <t>Received</t>
        </is>
      </c>
      <c r="L616" s="17">
        <f>INDEX(Items!$C$2:$C$117,MATCH(B616,Items!$A$2:$A$117,0))</f>
        <v/>
      </c>
      <c r="M616" s="49">
        <f>INDEX(Items!$E$2:$E$117,MATCH(B616,Items!$A$2:$A$117,0))</f>
        <v/>
      </c>
      <c r="N616" s="17">
        <f>TEXT(D616,"yyyy-mm")</f>
        <v/>
      </c>
      <c r="O616" s="50">
        <f>G616*J616</f>
        <v/>
      </c>
      <c r="P616" s="50">
        <f>(J616-M616)*G616</f>
        <v/>
      </c>
      <c r="Q616" s="51">
        <f>IF(K616="Received",1,0)</f>
        <v/>
      </c>
      <c r="R616" s="51">
        <f>IF(Q616=1,F616-D616,0)</f>
        <v/>
      </c>
      <c r="S616" s="51">
        <f>IF(Q616=1,IF(F616&lt;=E616,1,0),0)</f>
        <v/>
      </c>
      <c r="T616" s="51">
        <f>IF(Q616=1,IF(H616&gt;=G616,1,0),0)</f>
        <v/>
      </c>
      <c r="U616" s="51">
        <f>S616*T616</f>
        <v/>
      </c>
      <c r="V616" s="51">
        <f>IF(Q616=1,MAX(0,F616-E616),0)</f>
        <v/>
      </c>
    </row>
    <row r="617">
      <c r="A617" s="43" t="inlineStr">
        <is>
          <t>PO100031</t>
        </is>
      </c>
      <c r="B617" s="43" t="inlineStr">
        <is>
          <t>CMD-0002</t>
        </is>
      </c>
      <c r="C617" s="43" t="inlineStr">
        <is>
          <t>S11</t>
        </is>
      </c>
      <c r="D617" s="47" t="n">
        <v>45786</v>
      </c>
      <c r="E617" s="47" t="n">
        <v>45905</v>
      </c>
      <c r="F617" s="47" t="n">
        <v>45902</v>
      </c>
      <c r="G617" s="46" t="n">
        <v>7502</v>
      </c>
      <c r="H617" s="46" t="n">
        <v>7502</v>
      </c>
      <c r="I617" s="46" t="n">
        <v>8</v>
      </c>
      <c r="J617" s="44" t="n">
        <v>6.85</v>
      </c>
      <c r="K617" s="43" t="inlineStr">
        <is>
          <t>Received</t>
        </is>
      </c>
      <c r="L617" s="17">
        <f>INDEX(Items!$C$2:$C$117,MATCH(B617,Items!$A$2:$A$117,0))</f>
        <v/>
      </c>
      <c r="M617" s="49">
        <f>INDEX(Items!$E$2:$E$117,MATCH(B617,Items!$A$2:$A$117,0))</f>
        <v/>
      </c>
      <c r="N617" s="17">
        <f>TEXT(D617,"yyyy-mm")</f>
        <v/>
      </c>
      <c r="O617" s="50">
        <f>G617*J617</f>
        <v/>
      </c>
      <c r="P617" s="50">
        <f>(J617-M617)*G617</f>
        <v/>
      </c>
      <c r="Q617" s="51">
        <f>IF(K617="Received",1,0)</f>
        <v/>
      </c>
      <c r="R617" s="51">
        <f>IF(Q617=1,F617-D617,0)</f>
        <v/>
      </c>
      <c r="S617" s="51">
        <f>IF(Q617=1,IF(F617&lt;=E617,1,0),0)</f>
        <v/>
      </c>
      <c r="T617" s="51">
        <f>IF(Q617=1,IF(H617&gt;=G617,1,0),0)</f>
        <v/>
      </c>
      <c r="U617" s="51">
        <f>S617*T617</f>
        <v/>
      </c>
      <c r="V617" s="51">
        <f>IF(Q617=1,MAX(0,F617-E617),0)</f>
        <v/>
      </c>
    </row>
    <row r="618">
      <c r="A618" s="43" t="inlineStr">
        <is>
          <t>PO100007</t>
        </is>
      </c>
      <c r="B618" s="43" t="inlineStr">
        <is>
          <t>CMD-0001</t>
        </is>
      </c>
      <c r="C618" s="43" t="inlineStr">
        <is>
          <t>S07</t>
        </is>
      </c>
      <c r="D618" s="47" t="n">
        <v>45786</v>
      </c>
      <c r="E618" s="47" t="n">
        <v>45877</v>
      </c>
      <c r="F618" s="47" t="n">
        <v>45874</v>
      </c>
      <c r="G618" s="46" t="n">
        <v>7661</v>
      </c>
      <c r="H618" s="46" t="n">
        <v>7661</v>
      </c>
      <c r="I618" s="46" t="n">
        <v>49</v>
      </c>
      <c r="J618" s="44" t="n">
        <v>14.26</v>
      </c>
      <c r="K618" s="43" t="inlineStr">
        <is>
          <t>Received</t>
        </is>
      </c>
      <c r="L618" s="17">
        <f>INDEX(Items!$C$2:$C$117,MATCH(B618,Items!$A$2:$A$117,0))</f>
        <v/>
      </c>
      <c r="M618" s="49">
        <f>INDEX(Items!$E$2:$E$117,MATCH(B618,Items!$A$2:$A$117,0))</f>
        <v/>
      </c>
      <c r="N618" s="17">
        <f>TEXT(D618,"yyyy-mm")</f>
        <v/>
      </c>
      <c r="O618" s="50">
        <f>G618*J618</f>
        <v/>
      </c>
      <c r="P618" s="50">
        <f>(J618-M618)*G618</f>
        <v/>
      </c>
      <c r="Q618" s="51">
        <f>IF(K618="Received",1,0)</f>
        <v/>
      </c>
      <c r="R618" s="51">
        <f>IF(Q618=1,F618-D618,0)</f>
        <v/>
      </c>
      <c r="S618" s="51">
        <f>IF(Q618=1,IF(F618&lt;=E618,1,0),0)</f>
        <v/>
      </c>
      <c r="T618" s="51">
        <f>IF(Q618=1,IF(H618&gt;=G618,1,0),0)</f>
        <v/>
      </c>
      <c r="U618" s="51">
        <f>S618*T618</f>
        <v/>
      </c>
      <c r="V618" s="51">
        <f>IF(Q618=1,MAX(0,F618-E618),0)</f>
        <v/>
      </c>
    </row>
    <row r="619">
      <c r="A619" s="43" t="inlineStr">
        <is>
          <t>PO100965</t>
        </is>
      </c>
      <c r="B619" s="43" t="inlineStr">
        <is>
          <t>CMD-0044</t>
        </is>
      </c>
      <c r="C619" s="43" t="inlineStr">
        <is>
          <t>S05</t>
        </is>
      </c>
      <c r="D619" s="47" t="n">
        <v>45786</v>
      </c>
      <c r="E619" s="47" t="n">
        <v>45891</v>
      </c>
      <c r="F619" s="47" t="n">
        <v>45888</v>
      </c>
      <c r="G619" s="46" t="n">
        <v>5977</v>
      </c>
      <c r="H619" s="46" t="n">
        <v>5977</v>
      </c>
      <c r="I619" s="46" t="n">
        <v>93</v>
      </c>
      <c r="J619" s="44" t="n">
        <v>11.57</v>
      </c>
      <c r="K619" s="43" t="inlineStr">
        <is>
          <t>Received</t>
        </is>
      </c>
      <c r="L619" s="17">
        <f>INDEX(Items!$C$2:$C$117,MATCH(B619,Items!$A$2:$A$117,0))</f>
        <v/>
      </c>
      <c r="M619" s="49">
        <f>INDEX(Items!$E$2:$E$117,MATCH(B619,Items!$A$2:$A$117,0))</f>
        <v/>
      </c>
      <c r="N619" s="17">
        <f>TEXT(D619,"yyyy-mm")</f>
        <v/>
      </c>
      <c r="O619" s="50">
        <f>G619*J619</f>
        <v/>
      </c>
      <c r="P619" s="50">
        <f>(J619-M619)*G619</f>
        <v/>
      </c>
      <c r="Q619" s="51">
        <f>IF(K619="Received",1,0)</f>
        <v/>
      </c>
      <c r="R619" s="51">
        <f>IF(Q619=1,F619-D619,0)</f>
        <v/>
      </c>
      <c r="S619" s="51">
        <f>IF(Q619=1,IF(F619&lt;=E619,1,0),0)</f>
        <v/>
      </c>
      <c r="T619" s="51">
        <f>IF(Q619=1,IF(H619&gt;=G619,1,0),0)</f>
        <v/>
      </c>
      <c r="U619" s="51">
        <f>S619*T619</f>
        <v/>
      </c>
      <c r="V619" s="51">
        <f>IF(Q619=1,MAX(0,F619-E619),0)</f>
        <v/>
      </c>
    </row>
    <row r="620">
      <c r="A620" s="43" t="inlineStr">
        <is>
          <t>PO100647</t>
        </is>
      </c>
      <c r="B620" s="43" t="inlineStr">
        <is>
          <t>CMD-0029</t>
        </is>
      </c>
      <c r="C620" s="43" t="inlineStr">
        <is>
          <t>S11</t>
        </is>
      </c>
      <c r="D620" s="47" t="n">
        <v>45786</v>
      </c>
      <c r="E620" s="47" t="n">
        <v>45863</v>
      </c>
      <c r="F620" s="47" t="n">
        <v>45863</v>
      </c>
      <c r="G620" s="46" t="n">
        <v>3937</v>
      </c>
      <c r="H620" s="46" t="n">
        <v>3937</v>
      </c>
      <c r="I620" s="46" t="n">
        <v>8</v>
      </c>
      <c r="J620" s="44" t="n">
        <v>6.87</v>
      </c>
      <c r="K620" s="43" t="inlineStr">
        <is>
          <t>Received</t>
        </is>
      </c>
      <c r="L620" s="17">
        <f>INDEX(Items!$C$2:$C$117,MATCH(B620,Items!$A$2:$A$117,0))</f>
        <v/>
      </c>
      <c r="M620" s="49">
        <f>INDEX(Items!$E$2:$E$117,MATCH(B620,Items!$A$2:$A$117,0))</f>
        <v/>
      </c>
      <c r="N620" s="17">
        <f>TEXT(D620,"yyyy-mm")</f>
        <v/>
      </c>
      <c r="O620" s="50">
        <f>G620*J620</f>
        <v/>
      </c>
      <c r="P620" s="50">
        <f>(J620-M620)*G620</f>
        <v/>
      </c>
      <c r="Q620" s="51">
        <f>IF(K620="Received",1,0)</f>
        <v/>
      </c>
      <c r="R620" s="51">
        <f>IF(Q620=1,F620-D620,0)</f>
        <v/>
      </c>
      <c r="S620" s="51">
        <f>IF(Q620=1,IF(F620&lt;=E620,1,0),0)</f>
        <v/>
      </c>
      <c r="T620" s="51">
        <f>IF(Q620=1,IF(H620&gt;=G620,1,0),0)</f>
        <v/>
      </c>
      <c r="U620" s="51">
        <f>S620*T620</f>
        <v/>
      </c>
      <c r="V620" s="51">
        <f>IF(Q620=1,MAX(0,F620-E620),0)</f>
        <v/>
      </c>
    </row>
    <row r="621">
      <c r="A621" s="43" t="inlineStr">
        <is>
          <t>PO100575</t>
        </is>
      </c>
      <c r="B621" s="43" t="inlineStr">
        <is>
          <t>CMD-0026</t>
        </is>
      </c>
      <c r="C621" s="43" t="inlineStr">
        <is>
          <t>S04</t>
        </is>
      </c>
      <c r="D621" s="47" t="n">
        <v>45786</v>
      </c>
      <c r="E621" s="47" t="n">
        <v>45856</v>
      </c>
      <c r="F621" s="47" t="n">
        <v>45856</v>
      </c>
      <c r="G621" s="46" t="n">
        <v>8883</v>
      </c>
      <c r="H621" s="46" t="n">
        <v>8883</v>
      </c>
      <c r="I621" s="46" t="n">
        <v>90</v>
      </c>
      <c r="J621" s="44" t="n">
        <v>5.96</v>
      </c>
      <c r="K621" s="43" t="inlineStr">
        <is>
          <t>Received</t>
        </is>
      </c>
      <c r="L621" s="17">
        <f>INDEX(Items!$C$2:$C$117,MATCH(B621,Items!$A$2:$A$117,0))</f>
        <v/>
      </c>
      <c r="M621" s="49">
        <f>INDEX(Items!$E$2:$E$117,MATCH(B621,Items!$A$2:$A$117,0))</f>
        <v/>
      </c>
      <c r="N621" s="17">
        <f>TEXT(D621,"yyyy-mm")</f>
        <v/>
      </c>
      <c r="O621" s="50">
        <f>G621*J621</f>
        <v/>
      </c>
      <c r="P621" s="50">
        <f>(J621-M621)*G621</f>
        <v/>
      </c>
      <c r="Q621" s="51">
        <f>IF(K621="Received",1,0)</f>
        <v/>
      </c>
      <c r="R621" s="51">
        <f>IF(Q621=1,F621-D621,0)</f>
        <v/>
      </c>
      <c r="S621" s="51">
        <f>IF(Q621=1,IF(F621&lt;=E621,1,0),0)</f>
        <v/>
      </c>
      <c r="T621" s="51">
        <f>IF(Q621=1,IF(H621&gt;=G621,1,0),0)</f>
        <v/>
      </c>
      <c r="U621" s="51">
        <f>S621*T621</f>
        <v/>
      </c>
      <c r="V621" s="51">
        <f>IF(Q621=1,MAX(0,F621-E621),0)</f>
        <v/>
      </c>
    </row>
    <row r="622">
      <c r="A622" s="43" t="inlineStr">
        <is>
          <t>PO101875</t>
        </is>
      </c>
      <c r="B622" s="43" t="inlineStr">
        <is>
          <t>CMD-0102</t>
        </is>
      </c>
      <c r="C622" s="43" t="inlineStr">
        <is>
          <t>S09</t>
        </is>
      </c>
      <c r="D622" s="47" t="n">
        <v>45786</v>
      </c>
      <c r="E622" s="47" t="n">
        <v>45807</v>
      </c>
      <c r="F622" s="47" t="n">
        <v>45804</v>
      </c>
      <c r="G622" s="46" t="n">
        <v>2211</v>
      </c>
      <c r="H622" s="46" t="n">
        <v>2211</v>
      </c>
      <c r="I622" s="46" t="n">
        <v>4</v>
      </c>
      <c r="J622" s="44" t="n">
        <v>6.71</v>
      </c>
      <c r="K622" s="43" t="inlineStr">
        <is>
          <t>Received</t>
        </is>
      </c>
      <c r="L622" s="17">
        <f>INDEX(Items!$C$2:$C$117,MATCH(B622,Items!$A$2:$A$117,0))</f>
        <v/>
      </c>
      <c r="M622" s="49">
        <f>INDEX(Items!$E$2:$E$117,MATCH(B622,Items!$A$2:$A$117,0))</f>
        <v/>
      </c>
      <c r="N622" s="17">
        <f>TEXT(D622,"yyyy-mm")</f>
        <v/>
      </c>
      <c r="O622" s="50">
        <f>G622*J622</f>
        <v/>
      </c>
      <c r="P622" s="50">
        <f>(J622-M622)*G622</f>
        <v/>
      </c>
      <c r="Q622" s="51">
        <f>IF(K622="Received",1,0)</f>
        <v/>
      </c>
      <c r="R622" s="51">
        <f>IF(Q622=1,F622-D622,0)</f>
        <v/>
      </c>
      <c r="S622" s="51">
        <f>IF(Q622=1,IF(F622&lt;=E622,1,0),0)</f>
        <v/>
      </c>
      <c r="T622" s="51">
        <f>IF(Q622=1,IF(H622&gt;=G622,1,0),0)</f>
        <v/>
      </c>
      <c r="U622" s="51">
        <f>S622*T622</f>
        <v/>
      </c>
      <c r="V622" s="51">
        <f>IF(Q622=1,MAX(0,F622-E622),0)</f>
        <v/>
      </c>
    </row>
    <row r="623">
      <c r="A623" s="43" t="inlineStr">
        <is>
          <t>PO100127</t>
        </is>
      </c>
      <c r="B623" s="43" t="inlineStr">
        <is>
          <t>CMD-0006</t>
        </is>
      </c>
      <c r="C623" s="43" t="inlineStr">
        <is>
          <t>S03</t>
        </is>
      </c>
      <c r="D623" s="47" t="n">
        <v>45786</v>
      </c>
      <c r="E623" s="47" t="n">
        <v>45919</v>
      </c>
      <c r="F623" s="47" t="n">
        <v>45928</v>
      </c>
      <c r="G623" s="46" t="n">
        <v>736</v>
      </c>
      <c r="H623" s="46" t="n">
        <v>736</v>
      </c>
      <c r="I623" s="46" t="n">
        <v>6</v>
      </c>
      <c r="J623" s="44" t="n">
        <v>30.55</v>
      </c>
      <c r="K623" s="43" t="inlineStr">
        <is>
          <t>Received</t>
        </is>
      </c>
      <c r="L623" s="17">
        <f>INDEX(Items!$C$2:$C$117,MATCH(B623,Items!$A$2:$A$117,0))</f>
        <v/>
      </c>
      <c r="M623" s="49">
        <f>INDEX(Items!$E$2:$E$117,MATCH(B623,Items!$A$2:$A$117,0))</f>
        <v/>
      </c>
      <c r="N623" s="17">
        <f>TEXT(D623,"yyyy-mm")</f>
        <v/>
      </c>
      <c r="O623" s="50">
        <f>G623*J623</f>
        <v/>
      </c>
      <c r="P623" s="50">
        <f>(J623-M623)*G623</f>
        <v/>
      </c>
      <c r="Q623" s="51">
        <f>IF(K623="Received",1,0)</f>
        <v/>
      </c>
      <c r="R623" s="51">
        <f>IF(Q623=1,F623-D623,0)</f>
        <v/>
      </c>
      <c r="S623" s="51">
        <f>IF(Q623=1,IF(F623&lt;=E623,1,0),0)</f>
        <v/>
      </c>
      <c r="T623" s="51">
        <f>IF(Q623=1,IF(H623&gt;=G623,1,0),0)</f>
        <v/>
      </c>
      <c r="U623" s="51">
        <f>S623*T623</f>
        <v/>
      </c>
      <c r="V623" s="51">
        <f>IF(Q623=1,MAX(0,F623-E623),0)</f>
        <v/>
      </c>
    </row>
    <row r="624">
      <c r="A624" s="43" t="inlineStr">
        <is>
          <t>PO101745</t>
        </is>
      </c>
      <c r="B624" s="43" t="inlineStr">
        <is>
          <t>CMD-0095</t>
        </is>
      </c>
      <c r="C624" s="43" t="inlineStr">
        <is>
          <t>S08</t>
        </is>
      </c>
      <c r="D624" s="47" t="n">
        <v>45786</v>
      </c>
      <c r="E624" s="47" t="n">
        <v>45863</v>
      </c>
      <c r="F624" s="47" t="n">
        <v>45861</v>
      </c>
      <c r="G624" s="46" t="n">
        <v>391</v>
      </c>
      <c r="H624" s="46" t="n">
        <v>391</v>
      </c>
      <c r="I624" s="46" t="n">
        <v>5</v>
      </c>
      <c r="J624" s="44" t="n">
        <v>91.83</v>
      </c>
      <c r="K624" s="43" t="inlineStr">
        <is>
          <t>Received</t>
        </is>
      </c>
      <c r="L624" s="17">
        <f>INDEX(Items!$C$2:$C$117,MATCH(B624,Items!$A$2:$A$117,0))</f>
        <v/>
      </c>
      <c r="M624" s="49">
        <f>INDEX(Items!$E$2:$E$117,MATCH(B624,Items!$A$2:$A$117,0))</f>
        <v/>
      </c>
      <c r="N624" s="17">
        <f>TEXT(D624,"yyyy-mm")</f>
        <v/>
      </c>
      <c r="O624" s="50">
        <f>G624*J624</f>
        <v/>
      </c>
      <c r="P624" s="50">
        <f>(J624-M624)*G624</f>
        <v/>
      </c>
      <c r="Q624" s="51">
        <f>IF(K624="Received",1,0)</f>
        <v/>
      </c>
      <c r="R624" s="51">
        <f>IF(Q624=1,F624-D624,0)</f>
        <v/>
      </c>
      <c r="S624" s="51">
        <f>IF(Q624=1,IF(F624&lt;=E624,1,0),0)</f>
        <v/>
      </c>
      <c r="T624" s="51">
        <f>IF(Q624=1,IF(H624&gt;=G624,1,0),0)</f>
        <v/>
      </c>
      <c r="U624" s="51">
        <f>S624*T624</f>
        <v/>
      </c>
      <c r="V624" s="51">
        <f>IF(Q624=1,MAX(0,F624-E624),0)</f>
        <v/>
      </c>
    </row>
    <row r="625">
      <c r="A625" s="43" t="inlineStr">
        <is>
          <t>PO101463</t>
        </is>
      </c>
      <c r="B625" s="43" t="inlineStr">
        <is>
          <t>CMD-0078</t>
        </is>
      </c>
      <c r="C625" s="43" t="inlineStr">
        <is>
          <t>S06</t>
        </is>
      </c>
      <c r="D625" s="47" t="n">
        <v>45786</v>
      </c>
      <c r="E625" s="47" t="n">
        <v>45807</v>
      </c>
      <c r="F625" s="47" t="n">
        <v>45805</v>
      </c>
      <c r="G625" s="46" t="n">
        <v>5202</v>
      </c>
      <c r="H625" s="46" t="n">
        <v>4347</v>
      </c>
      <c r="I625" s="46" t="n">
        <v>16</v>
      </c>
      <c r="J625" s="44" t="n">
        <v>2.6</v>
      </c>
      <c r="K625" s="43" t="inlineStr">
        <is>
          <t>Received</t>
        </is>
      </c>
      <c r="L625" s="17">
        <f>INDEX(Items!$C$2:$C$117,MATCH(B625,Items!$A$2:$A$117,0))</f>
        <v/>
      </c>
      <c r="M625" s="49">
        <f>INDEX(Items!$E$2:$E$117,MATCH(B625,Items!$A$2:$A$117,0))</f>
        <v/>
      </c>
      <c r="N625" s="17">
        <f>TEXT(D625,"yyyy-mm")</f>
        <v/>
      </c>
      <c r="O625" s="50">
        <f>G625*J625</f>
        <v/>
      </c>
      <c r="P625" s="50">
        <f>(J625-M625)*G625</f>
        <v/>
      </c>
      <c r="Q625" s="51">
        <f>IF(K625="Received",1,0)</f>
        <v/>
      </c>
      <c r="R625" s="51">
        <f>IF(Q625=1,F625-D625,0)</f>
        <v/>
      </c>
      <c r="S625" s="51">
        <f>IF(Q625=1,IF(F625&lt;=E625,1,0),0)</f>
        <v/>
      </c>
      <c r="T625" s="51">
        <f>IF(Q625=1,IF(H625&gt;=G625,1,0),0)</f>
        <v/>
      </c>
      <c r="U625" s="51">
        <f>S625*T625</f>
        <v/>
      </c>
      <c r="V625" s="51">
        <f>IF(Q625=1,MAX(0,F625-E625),0)</f>
        <v/>
      </c>
    </row>
    <row r="626">
      <c r="A626" s="43" t="inlineStr">
        <is>
          <t>PO100437</t>
        </is>
      </c>
      <c r="B626" s="43" t="inlineStr">
        <is>
          <t>CMD-0020</t>
        </is>
      </c>
      <c r="C626" s="43" t="inlineStr">
        <is>
          <t>S04</t>
        </is>
      </c>
      <c r="D626" s="47" t="n">
        <v>45787</v>
      </c>
      <c r="E626" s="47" t="n">
        <v>45857</v>
      </c>
      <c r="F626" s="47" t="n">
        <v>45854</v>
      </c>
      <c r="G626" s="46" t="n">
        <v>3981</v>
      </c>
      <c r="H626" s="46" t="n">
        <v>3981</v>
      </c>
      <c r="I626" s="46" t="n">
        <v>35</v>
      </c>
      <c r="J626" s="44" t="n">
        <v>5.03</v>
      </c>
      <c r="K626" s="43" t="inlineStr">
        <is>
          <t>Received</t>
        </is>
      </c>
      <c r="L626" s="17">
        <f>INDEX(Items!$C$2:$C$117,MATCH(B626,Items!$A$2:$A$117,0))</f>
        <v/>
      </c>
      <c r="M626" s="49">
        <f>INDEX(Items!$E$2:$E$117,MATCH(B626,Items!$A$2:$A$117,0))</f>
        <v/>
      </c>
      <c r="N626" s="17">
        <f>TEXT(D626,"yyyy-mm")</f>
        <v/>
      </c>
      <c r="O626" s="50">
        <f>G626*J626</f>
        <v/>
      </c>
      <c r="P626" s="50">
        <f>(J626-M626)*G626</f>
        <v/>
      </c>
      <c r="Q626" s="51">
        <f>IF(K626="Received",1,0)</f>
        <v/>
      </c>
      <c r="R626" s="51">
        <f>IF(Q626=1,F626-D626,0)</f>
        <v/>
      </c>
      <c r="S626" s="51">
        <f>IF(Q626=1,IF(F626&lt;=E626,1,0),0)</f>
        <v/>
      </c>
      <c r="T626" s="51">
        <f>IF(Q626=1,IF(H626&gt;=G626,1,0),0)</f>
        <v/>
      </c>
      <c r="U626" s="51">
        <f>S626*T626</f>
        <v/>
      </c>
      <c r="V626" s="51">
        <f>IF(Q626=1,MAX(0,F626-E626),0)</f>
        <v/>
      </c>
    </row>
    <row r="627">
      <c r="A627" s="43" t="inlineStr">
        <is>
          <t>PO101922</t>
        </is>
      </c>
      <c r="B627" s="43" t="inlineStr">
        <is>
          <t>CMD-0106</t>
        </is>
      </c>
      <c r="C627" s="43" t="inlineStr">
        <is>
          <t>S09</t>
        </is>
      </c>
      <c r="D627" s="47" t="n">
        <v>45787</v>
      </c>
      <c r="E627" s="47" t="n">
        <v>45808</v>
      </c>
      <c r="F627" s="47" t="n">
        <v>45805</v>
      </c>
      <c r="G627" s="46" t="n">
        <v>588</v>
      </c>
      <c r="H627" s="46" t="n">
        <v>588</v>
      </c>
      <c r="I627" s="46" t="n">
        <v>1</v>
      </c>
      <c r="J627" s="44" t="n">
        <v>10.42</v>
      </c>
      <c r="K627" s="43" t="inlineStr">
        <is>
          <t>Received</t>
        </is>
      </c>
      <c r="L627" s="17">
        <f>INDEX(Items!$C$2:$C$117,MATCH(B627,Items!$A$2:$A$117,0))</f>
        <v/>
      </c>
      <c r="M627" s="49">
        <f>INDEX(Items!$E$2:$E$117,MATCH(B627,Items!$A$2:$A$117,0))</f>
        <v/>
      </c>
      <c r="N627" s="17">
        <f>TEXT(D627,"yyyy-mm")</f>
        <v/>
      </c>
      <c r="O627" s="50">
        <f>G627*J627</f>
        <v/>
      </c>
      <c r="P627" s="50">
        <f>(J627-M627)*G627</f>
        <v/>
      </c>
      <c r="Q627" s="51">
        <f>IF(K627="Received",1,0)</f>
        <v/>
      </c>
      <c r="R627" s="51">
        <f>IF(Q627=1,F627-D627,0)</f>
        <v/>
      </c>
      <c r="S627" s="51">
        <f>IF(Q627=1,IF(F627&lt;=E627,1,0),0)</f>
        <v/>
      </c>
      <c r="T627" s="51">
        <f>IF(Q627=1,IF(H627&gt;=G627,1,0),0)</f>
        <v/>
      </c>
      <c r="U627" s="51">
        <f>S627*T627</f>
        <v/>
      </c>
      <c r="V627" s="51">
        <f>IF(Q627=1,MAX(0,F627-E627),0)</f>
        <v/>
      </c>
    </row>
    <row r="628">
      <c r="A628" s="43" t="inlineStr">
        <is>
          <t>PO101189</t>
        </is>
      </c>
      <c r="B628" s="43" t="inlineStr">
        <is>
          <t>CMD-0055</t>
        </is>
      </c>
      <c r="C628" s="43" t="inlineStr">
        <is>
          <t>S04</t>
        </is>
      </c>
      <c r="D628" s="47" t="n">
        <v>45787</v>
      </c>
      <c r="E628" s="47" t="n">
        <v>45822</v>
      </c>
      <c r="F628" s="47" t="n">
        <v>45820</v>
      </c>
      <c r="G628" s="46" t="n">
        <v>123334</v>
      </c>
      <c r="H628" s="46" t="n">
        <v>123334</v>
      </c>
      <c r="I628" s="46" t="n">
        <v>1171</v>
      </c>
      <c r="J628" s="44" t="n">
        <v>0.09379999999999999</v>
      </c>
      <c r="K628" s="43" t="inlineStr">
        <is>
          <t>Received</t>
        </is>
      </c>
      <c r="L628" s="17">
        <f>INDEX(Items!$C$2:$C$117,MATCH(B628,Items!$A$2:$A$117,0))</f>
        <v/>
      </c>
      <c r="M628" s="49">
        <f>INDEX(Items!$E$2:$E$117,MATCH(B628,Items!$A$2:$A$117,0))</f>
        <v/>
      </c>
      <c r="N628" s="17">
        <f>TEXT(D628,"yyyy-mm")</f>
        <v/>
      </c>
      <c r="O628" s="50">
        <f>G628*J628</f>
        <v/>
      </c>
      <c r="P628" s="50">
        <f>(J628-M628)*G628</f>
        <v/>
      </c>
      <c r="Q628" s="51">
        <f>IF(K628="Received",1,0)</f>
        <v/>
      </c>
      <c r="R628" s="51">
        <f>IF(Q628=1,F628-D628,0)</f>
        <v/>
      </c>
      <c r="S628" s="51">
        <f>IF(Q628=1,IF(F628&lt;=E628,1,0),0)</f>
        <v/>
      </c>
      <c r="T628" s="51">
        <f>IF(Q628=1,IF(H628&gt;=G628,1,0),0)</f>
        <v/>
      </c>
      <c r="U628" s="51">
        <f>S628*T628</f>
        <v/>
      </c>
      <c r="V628" s="51">
        <f>IF(Q628=1,MAX(0,F628-E628),0)</f>
        <v/>
      </c>
    </row>
    <row r="629">
      <c r="A629" s="43" t="inlineStr">
        <is>
          <t>PO100599</t>
        </is>
      </c>
      <c r="B629" s="43" t="inlineStr">
        <is>
          <t>CMD-0027</t>
        </is>
      </c>
      <c r="C629" s="43" t="inlineStr">
        <is>
          <t>S04</t>
        </is>
      </c>
      <c r="D629" s="47" t="n">
        <v>45787</v>
      </c>
      <c r="E629" s="47" t="n">
        <v>45857</v>
      </c>
      <c r="F629" s="47" t="n">
        <v>45855</v>
      </c>
      <c r="G629" s="46" t="n">
        <v>6358</v>
      </c>
      <c r="H629" s="46" t="n">
        <v>6358</v>
      </c>
      <c r="I629" s="46" t="n">
        <v>59</v>
      </c>
      <c r="J629" s="44" t="n">
        <v>8.85</v>
      </c>
      <c r="K629" s="43" t="inlineStr">
        <is>
          <t>Received</t>
        </is>
      </c>
      <c r="L629" s="17">
        <f>INDEX(Items!$C$2:$C$117,MATCH(B629,Items!$A$2:$A$117,0))</f>
        <v/>
      </c>
      <c r="M629" s="49">
        <f>INDEX(Items!$E$2:$E$117,MATCH(B629,Items!$A$2:$A$117,0))</f>
        <v/>
      </c>
      <c r="N629" s="17">
        <f>TEXT(D629,"yyyy-mm")</f>
        <v/>
      </c>
      <c r="O629" s="50">
        <f>G629*J629</f>
        <v/>
      </c>
      <c r="P629" s="50">
        <f>(J629-M629)*G629</f>
        <v/>
      </c>
      <c r="Q629" s="51">
        <f>IF(K629="Received",1,0)</f>
        <v/>
      </c>
      <c r="R629" s="51">
        <f>IF(Q629=1,F629-D629,0)</f>
        <v/>
      </c>
      <c r="S629" s="51">
        <f>IF(Q629=1,IF(F629&lt;=E629,1,0),0)</f>
        <v/>
      </c>
      <c r="T629" s="51">
        <f>IF(Q629=1,IF(H629&gt;=G629,1,0),0)</f>
        <v/>
      </c>
      <c r="U629" s="51">
        <f>S629*T629</f>
        <v/>
      </c>
      <c r="V629" s="51">
        <f>IF(Q629=1,MAX(0,F629-E629),0)</f>
        <v/>
      </c>
    </row>
    <row r="630">
      <c r="A630" s="43" t="inlineStr">
        <is>
          <t>PO101697</t>
        </is>
      </c>
      <c r="B630" s="43" t="inlineStr">
        <is>
          <t>CMD-0093</t>
        </is>
      </c>
      <c r="C630" s="43" t="inlineStr">
        <is>
          <t>S08</t>
        </is>
      </c>
      <c r="D630" s="47" t="n">
        <v>45787</v>
      </c>
      <c r="E630" s="47" t="n">
        <v>45864</v>
      </c>
      <c r="F630" s="47" t="n">
        <v>45862</v>
      </c>
      <c r="G630" s="46" t="n">
        <v>684</v>
      </c>
      <c r="H630" s="46" t="n">
        <v>684</v>
      </c>
      <c r="I630" s="46" t="n">
        <v>11</v>
      </c>
      <c r="J630" s="44" t="n">
        <v>59.41</v>
      </c>
      <c r="K630" s="43" t="inlineStr">
        <is>
          <t>Received</t>
        </is>
      </c>
      <c r="L630" s="17">
        <f>INDEX(Items!$C$2:$C$117,MATCH(B630,Items!$A$2:$A$117,0))</f>
        <v/>
      </c>
      <c r="M630" s="49">
        <f>INDEX(Items!$E$2:$E$117,MATCH(B630,Items!$A$2:$A$117,0))</f>
        <v/>
      </c>
      <c r="N630" s="17">
        <f>TEXT(D630,"yyyy-mm")</f>
        <v/>
      </c>
      <c r="O630" s="50">
        <f>G630*J630</f>
        <v/>
      </c>
      <c r="P630" s="50">
        <f>(J630-M630)*G630</f>
        <v/>
      </c>
      <c r="Q630" s="51">
        <f>IF(K630="Received",1,0)</f>
        <v/>
      </c>
      <c r="R630" s="51">
        <f>IF(Q630=1,F630-D630,0)</f>
        <v/>
      </c>
      <c r="S630" s="51">
        <f>IF(Q630=1,IF(F630&lt;=E630,1,0),0)</f>
        <v/>
      </c>
      <c r="T630" s="51">
        <f>IF(Q630=1,IF(H630&gt;=G630,1,0),0)</f>
        <v/>
      </c>
      <c r="U630" s="51">
        <f>S630*T630</f>
        <v/>
      </c>
      <c r="V630" s="51">
        <f>IF(Q630=1,MAX(0,F630-E630),0)</f>
        <v/>
      </c>
    </row>
    <row r="631">
      <c r="A631" s="43" t="inlineStr">
        <is>
          <t>PO100917</t>
        </is>
      </c>
      <c r="B631" s="43" t="inlineStr">
        <is>
          <t>CMD-0042</t>
        </is>
      </c>
      <c r="C631" s="43" t="inlineStr">
        <is>
          <t>S05</t>
        </is>
      </c>
      <c r="D631" s="47" t="n">
        <v>45787</v>
      </c>
      <c r="E631" s="47" t="n">
        <v>45892</v>
      </c>
      <c r="F631" s="47" t="n">
        <v>45931</v>
      </c>
      <c r="G631" s="46" t="n">
        <v>768</v>
      </c>
      <c r="H631" s="46" t="n">
        <v>768</v>
      </c>
      <c r="I631" s="46" t="n">
        <v>10</v>
      </c>
      <c r="J631" s="44" t="n">
        <v>8.91</v>
      </c>
      <c r="K631" s="43" t="inlineStr">
        <is>
          <t>Received</t>
        </is>
      </c>
      <c r="L631" s="17">
        <f>INDEX(Items!$C$2:$C$117,MATCH(B631,Items!$A$2:$A$117,0))</f>
        <v/>
      </c>
      <c r="M631" s="49">
        <f>INDEX(Items!$E$2:$E$117,MATCH(B631,Items!$A$2:$A$117,0))</f>
        <v/>
      </c>
      <c r="N631" s="17">
        <f>TEXT(D631,"yyyy-mm")</f>
        <v/>
      </c>
      <c r="O631" s="50">
        <f>G631*J631</f>
        <v/>
      </c>
      <c r="P631" s="50">
        <f>(J631-M631)*G631</f>
        <v/>
      </c>
      <c r="Q631" s="51">
        <f>IF(K631="Received",1,0)</f>
        <v/>
      </c>
      <c r="R631" s="51">
        <f>IF(Q631=1,F631-D631,0)</f>
        <v/>
      </c>
      <c r="S631" s="51">
        <f>IF(Q631=1,IF(F631&lt;=E631,1,0),0)</f>
        <v/>
      </c>
      <c r="T631" s="51">
        <f>IF(Q631=1,IF(H631&gt;=G631,1,0),0)</f>
        <v/>
      </c>
      <c r="U631" s="51">
        <f>S631*T631</f>
        <v/>
      </c>
      <c r="V631" s="51">
        <f>IF(Q631=1,MAX(0,F631-E631),0)</f>
        <v/>
      </c>
    </row>
    <row r="632">
      <c r="A632" s="43" t="inlineStr">
        <is>
          <t>PO101148</t>
        </is>
      </c>
      <c r="B632" s="43" t="inlineStr">
        <is>
          <t>CMD-0053</t>
        </is>
      </c>
      <c r="C632" s="43" t="inlineStr">
        <is>
          <t>S04</t>
        </is>
      </c>
      <c r="D632" s="47" t="n">
        <v>45788</v>
      </c>
      <c r="E632" s="47" t="n">
        <v>45823</v>
      </c>
      <c r="F632" s="47" t="n">
        <v>45822</v>
      </c>
      <c r="G632" s="46" t="n">
        <v>57035</v>
      </c>
      <c r="H632" s="46" t="n">
        <v>57035</v>
      </c>
      <c r="I632" s="46" t="n">
        <v>540</v>
      </c>
      <c r="J632" s="44" t="n">
        <v>0.0968</v>
      </c>
      <c r="K632" s="43" t="inlineStr">
        <is>
          <t>Received</t>
        </is>
      </c>
      <c r="L632" s="17">
        <f>INDEX(Items!$C$2:$C$117,MATCH(B632,Items!$A$2:$A$117,0))</f>
        <v/>
      </c>
      <c r="M632" s="49">
        <f>INDEX(Items!$E$2:$E$117,MATCH(B632,Items!$A$2:$A$117,0))</f>
        <v/>
      </c>
      <c r="N632" s="17">
        <f>TEXT(D632,"yyyy-mm")</f>
        <v/>
      </c>
      <c r="O632" s="50">
        <f>G632*J632</f>
        <v/>
      </c>
      <c r="P632" s="50">
        <f>(J632-M632)*G632</f>
        <v/>
      </c>
      <c r="Q632" s="51">
        <f>IF(K632="Received",1,0)</f>
        <v/>
      </c>
      <c r="R632" s="51">
        <f>IF(Q632=1,F632-D632,0)</f>
        <v/>
      </c>
      <c r="S632" s="51">
        <f>IF(Q632=1,IF(F632&lt;=E632,1,0),0)</f>
        <v/>
      </c>
      <c r="T632" s="51">
        <f>IF(Q632=1,IF(H632&gt;=G632,1,0),0)</f>
        <v/>
      </c>
      <c r="U632" s="51">
        <f>S632*T632</f>
        <v/>
      </c>
      <c r="V632" s="51">
        <f>IF(Q632=1,MAX(0,F632-E632),0)</f>
        <v/>
      </c>
    </row>
    <row r="633">
      <c r="A633" s="43" t="inlineStr">
        <is>
          <t>PO100479</t>
        </is>
      </c>
      <c r="B633" s="43" t="inlineStr">
        <is>
          <t>CMD-0022</t>
        </is>
      </c>
      <c r="C633" s="43" t="inlineStr">
        <is>
          <t>S02</t>
        </is>
      </c>
      <c r="D633" s="47" t="n">
        <v>45788</v>
      </c>
      <c r="E633" s="47" t="n">
        <v>45844</v>
      </c>
      <c r="F633" s="47" t="n">
        <v>45843</v>
      </c>
      <c r="G633" s="46" t="n">
        <v>3639</v>
      </c>
      <c r="H633" s="46" t="n">
        <v>3639</v>
      </c>
      <c r="I633" s="46" t="n">
        <v>20</v>
      </c>
      <c r="J633" s="44" t="n">
        <v>17.18</v>
      </c>
      <c r="K633" s="43" t="inlineStr">
        <is>
          <t>Received</t>
        </is>
      </c>
      <c r="L633" s="17">
        <f>INDEX(Items!$C$2:$C$117,MATCH(B633,Items!$A$2:$A$117,0))</f>
        <v/>
      </c>
      <c r="M633" s="49">
        <f>INDEX(Items!$E$2:$E$117,MATCH(B633,Items!$A$2:$A$117,0))</f>
        <v/>
      </c>
      <c r="N633" s="17">
        <f>TEXT(D633,"yyyy-mm")</f>
        <v/>
      </c>
      <c r="O633" s="50">
        <f>G633*J633</f>
        <v/>
      </c>
      <c r="P633" s="50">
        <f>(J633-M633)*G633</f>
        <v/>
      </c>
      <c r="Q633" s="51">
        <f>IF(K633="Received",1,0)</f>
        <v/>
      </c>
      <c r="R633" s="51">
        <f>IF(Q633=1,F633-D633,0)</f>
        <v/>
      </c>
      <c r="S633" s="51">
        <f>IF(Q633=1,IF(F633&lt;=E633,1,0),0)</f>
        <v/>
      </c>
      <c r="T633" s="51">
        <f>IF(Q633=1,IF(H633&gt;=G633,1,0),0)</f>
        <v/>
      </c>
      <c r="U633" s="51">
        <f>S633*T633</f>
        <v/>
      </c>
      <c r="V633" s="51">
        <f>IF(Q633=1,MAX(0,F633-E633),0)</f>
        <v/>
      </c>
    </row>
    <row r="634">
      <c r="A634" s="43" t="inlineStr">
        <is>
          <t>PO100055</t>
        </is>
      </c>
      <c r="B634" s="43" t="inlineStr">
        <is>
          <t>CMD-0003</t>
        </is>
      </c>
      <c r="C634" s="43" t="inlineStr">
        <is>
          <t>S11</t>
        </is>
      </c>
      <c r="D634" s="47" t="n">
        <v>45788</v>
      </c>
      <c r="E634" s="47" t="n">
        <v>45907</v>
      </c>
      <c r="F634" s="47" t="n">
        <v>45905</v>
      </c>
      <c r="G634" s="46" t="n">
        <v>7636</v>
      </c>
      <c r="H634" s="46" t="n">
        <v>7636</v>
      </c>
      <c r="I634" s="46" t="n">
        <v>8</v>
      </c>
      <c r="J634" s="44" t="n">
        <v>21.49</v>
      </c>
      <c r="K634" s="43" t="inlineStr">
        <is>
          <t>Received</t>
        </is>
      </c>
      <c r="L634" s="17">
        <f>INDEX(Items!$C$2:$C$117,MATCH(B634,Items!$A$2:$A$117,0))</f>
        <v/>
      </c>
      <c r="M634" s="49">
        <f>INDEX(Items!$E$2:$E$117,MATCH(B634,Items!$A$2:$A$117,0))</f>
        <v/>
      </c>
      <c r="N634" s="17">
        <f>TEXT(D634,"yyyy-mm")</f>
        <v/>
      </c>
      <c r="O634" s="50">
        <f>G634*J634</f>
        <v/>
      </c>
      <c r="P634" s="50">
        <f>(J634-M634)*G634</f>
        <v/>
      </c>
      <c r="Q634" s="51">
        <f>IF(K634="Received",1,0)</f>
        <v/>
      </c>
      <c r="R634" s="51">
        <f>IF(Q634=1,F634-D634,0)</f>
        <v/>
      </c>
      <c r="S634" s="51">
        <f>IF(Q634=1,IF(F634&lt;=E634,1,0),0)</f>
        <v/>
      </c>
      <c r="T634" s="51">
        <f>IF(Q634=1,IF(H634&gt;=G634,1,0),0)</f>
        <v/>
      </c>
      <c r="U634" s="51">
        <f>S634*T634</f>
        <v/>
      </c>
      <c r="V634" s="51">
        <f>IF(Q634=1,MAX(0,F634-E634),0)</f>
        <v/>
      </c>
    </row>
    <row r="635">
      <c r="A635" s="43" t="inlineStr">
        <is>
          <t>PO101625</t>
        </is>
      </c>
      <c r="B635" s="43" t="inlineStr">
        <is>
          <t>CMD-0090</t>
        </is>
      </c>
      <c r="C635" s="43" t="inlineStr">
        <is>
          <t>S01</t>
        </is>
      </c>
      <c r="D635" s="47" t="n">
        <v>45788</v>
      </c>
      <c r="E635" s="47" t="n">
        <v>45802</v>
      </c>
      <c r="F635" s="47" t="n">
        <v>45801</v>
      </c>
      <c r="G635" s="46" t="n">
        <v>3806</v>
      </c>
      <c r="H635" s="46" t="n">
        <v>3806</v>
      </c>
      <c r="I635" s="46" t="n">
        <v>13</v>
      </c>
      <c r="J635" s="44" t="n">
        <v>6.99</v>
      </c>
      <c r="K635" s="43" t="inlineStr">
        <is>
          <t>Received</t>
        </is>
      </c>
      <c r="L635" s="17">
        <f>INDEX(Items!$C$2:$C$117,MATCH(B635,Items!$A$2:$A$117,0))</f>
        <v/>
      </c>
      <c r="M635" s="49">
        <f>INDEX(Items!$E$2:$E$117,MATCH(B635,Items!$A$2:$A$117,0))</f>
        <v/>
      </c>
      <c r="N635" s="17">
        <f>TEXT(D635,"yyyy-mm")</f>
        <v/>
      </c>
      <c r="O635" s="50">
        <f>G635*J635</f>
        <v/>
      </c>
      <c r="P635" s="50">
        <f>(J635-M635)*G635</f>
        <v/>
      </c>
      <c r="Q635" s="51">
        <f>IF(K635="Received",1,0)</f>
        <v/>
      </c>
      <c r="R635" s="51">
        <f>IF(Q635=1,F635-D635,0)</f>
        <v/>
      </c>
      <c r="S635" s="51">
        <f>IF(Q635=1,IF(F635&lt;=E635,1,0),0)</f>
        <v/>
      </c>
      <c r="T635" s="51">
        <f>IF(Q635=1,IF(H635&gt;=G635,1,0),0)</f>
        <v/>
      </c>
      <c r="U635" s="51">
        <f>S635*T635</f>
        <v/>
      </c>
      <c r="V635" s="51">
        <f>IF(Q635=1,MAX(0,F635-E635),0)</f>
        <v/>
      </c>
    </row>
    <row r="636">
      <c r="A636" s="43" t="inlineStr">
        <is>
          <t>PO100849</t>
        </is>
      </c>
      <c r="B636" s="43" t="inlineStr">
        <is>
          <t>CMD-0038</t>
        </is>
      </c>
      <c r="C636" s="43" t="inlineStr">
        <is>
          <t>S01</t>
        </is>
      </c>
      <c r="D636" s="47" t="n">
        <v>45788</v>
      </c>
      <c r="E636" s="47" t="n">
        <v>45816</v>
      </c>
      <c r="F636" s="47" t="n">
        <v>45815</v>
      </c>
      <c r="G636" s="46" t="n">
        <v>1027</v>
      </c>
      <c r="H636" s="46" t="n">
        <v>1027</v>
      </c>
      <c r="I636" s="46" t="n">
        <v>1</v>
      </c>
      <c r="J636" s="44" t="n">
        <v>21.49</v>
      </c>
      <c r="K636" s="43" t="inlineStr">
        <is>
          <t>Received</t>
        </is>
      </c>
      <c r="L636" s="17">
        <f>INDEX(Items!$C$2:$C$117,MATCH(B636,Items!$A$2:$A$117,0))</f>
        <v/>
      </c>
      <c r="M636" s="49">
        <f>INDEX(Items!$E$2:$E$117,MATCH(B636,Items!$A$2:$A$117,0))</f>
        <v/>
      </c>
      <c r="N636" s="17">
        <f>TEXT(D636,"yyyy-mm")</f>
        <v/>
      </c>
      <c r="O636" s="50">
        <f>G636*J636</f>
        <v/>
      </c>
      <c r="P636" s="50">
        <f>(J636-M636)*G636</f>
        <v/>
      </c>
      <c r="Q636" s="51">
        <f>IF(K636="Received",1,0)</f>
        <v/>
      </c>
      <c r="R636" s="51">
        <f>IF(Q636=1,F636-D636,0)</f>
        <v/>
      </c>
      <c r="S636" s="51">
        <f>IF(Q636=1,IF(F636&lt;=E636,1,0),0)</f>
        <v/>
      </c>
      <c r="T636" s="51">
        <f>IF(Q636=1,IF(H636&gt;=G636,1,0),0)</f>
        <v/>
      </c>
      <c r="U636" s="51">
        <f>S636*T636</f>
        <v/>
      </c>
      <c r="V636" s="51">
        <f>IF(Q636=1,MAX(0,F636-E636),0)</f>
        <v/>
      </c>
    </row>
    <row r="637">
      <c r="A637" s="43" t="inlineStr">
        <is>
          <t>PO101967</t>
        </is>
      </c>
      <c r="B637" s="43" t="inlineStr">
        <is>
          <t>CMD-0109</t>
        </is>
      </c>
      <c r="C637" s="43" t="inlineStr">
        <is>
          <t>S12</t>
        </is>
      </c>
      <c r="D637" s="47" t="n">
        <v>45788</v>
      </c>
      <c r="E637" s="47" t="n">
        <v>45795</v>
      </c>
      <c r="F637" s="47" t="n">
        <v>45794</v>
      </c>
      <c r="G637" s="46" t="n">
        <v>4820</v>
      </c>
      <c r="H637" s="46" t="n">
        <v>4820</v>
      </c>
      <c r="I637" s="46" t="n">
        <v>8</v>
      </c>
      <c r="J637" s="44" t="n">
        <v>1.7</v>
      </c>
      <c r="K637" s="43" t="inlineStr">
        <is>
          <t>Received</t>
        </is>
      </c>
      <c r="L637" s="17">
        <f>INDEX(Items!$C$2:$C$117,MATCH(B637,Items!$A$2:$A$117,0))</f>
        <v/>
      </c>
      <c r="M637" s="49">
        <f>INDEX(Items!$E$2:$E$117,MATCH(B637,Items!$A$2:$A$117,0))</f>
        <v/>
      </c>
      <c r="N637" s="17">
        <f>TEXT(D637,"yyyy-mm")</f>
        <v/>
      </c>
      <c r="O637" s="50">
        <f>G637*J637</f>
        <v/>
      </c>
      <c r="P637" s="50">
        <f>(J637-M637)*G637</f>
        <v/>
      </c>
      <c r="Q637" s="51">
        <f>IF(K637="Received",1,0)</f>
        <v/>
      </c>
      <c r="R637" s="51">
        <f>IF(Q637=1,F637-D637,0)</f>
        <v/>
      </c>
      <c r="S637" s="51">
        <f>IF(Q637=1,IF(F637&lt;=E637,1,0),0)</f>
        <v/>
      </c>
      <c r="T637" s="51">
        <f>IF(Q637=1,IF(H637&gt;=G637,1,0),0)</f>
        <v/>
      </c>
      <c r="U637" s="51">
        <f>S637*T637</f>
        <v/>
      </c>
      <c r="V637" s="51">
        <f>IF(Q637=1,MAX(0,F637-E637),0)</f>
        <v/>
      </c>
    </row>
    <row r="638">
      <c r="A638" s="43" t="inlineStr">
        <is>
          <t>PO101283</t>
        </is>
      </c>
      <c r="B638" s="43" t="inlineStr">
        <is>
          <t>CMD-0062</t>
        </is>
      </c>
      <c r="C638" s="43" t="inlineStr">
        <is>
          <t>S01</t>
        </is>
      </c>
      <c r="D638" s="47" t="n">
        <v>45788</v>
      </c>
      <c r="E638" s="47" t="n">
        <v>45809</v>
      </c>
      <c r="F638" s="47" t="n">
        <v>45806</v>
      </c>
      <c r="G638" s="46" t="n">
        <v>79057</v>
      </c>
      <c r="H638" s="46" t="n">
        <v>79057</v>
      </c>
      <c r="I638" s="46" t="n">
        <v>178</v>
      </c>
      <c r="J638" s="44" t="n">
        <v>0.1139</v>
      </c>
      <c r="K638" s="43" t="inlineStr">
        <is>
          <t>Received</t>
        </is>
      </c>
      <c r="L638" s="17">
        <f>INDEX(Items!$C$2:$C$117,MATCH(B638,Items!$A$2:$A$117,0))</f>
        <v/>
      </c>
      <c r="M638" s="49">
        <f>INDEX(Items!$E$2:$E$117,MATCH(B638,Items!$A$2:$A$117,0))</f>
        <v/>
      </c>
      <c r="N638" s="17">
        <f>TEXT(D638,"yyyy-mm")</f>
        <v/>
      </c>
      <c r="O638" s="50">
        <f>G638*J638</f>
        <v/>
      </c>
      <c r="P638" s="50">
        <f>(J638-M638)*G638</f>
        <v/>
      </c>
      <c r="Q638" s="51">
        <f>IF(K638="Received",1,0)</f>
        <v/>
      </c>
      <c r="R638" s="51">
        <f>IF(Q638=1,F638-D638,0)</f>
        <v/>
      </c>
      <c r="S638" s="51">
        <f>IF(Q638=1,IF(F638&lt;=E638,1,0),0)</f>
        <v/>
      </c>
      <c r="T638" s="51">
        <f>IF(Q638=1,IF(H638&gt;=G638,1,0),0)</f>
        <v/>
      </c>
      <c r="U638" s="51">
        <f>S638*T638</f>
        <v/>
      </c>
      <c r="V638" s="51">
        <f>IF(Q638=1,MAX(0,F638-E638),0)</f>
        <v/>
      </c>
    </row>
    <row r="639">
      <c r="A639" s="43" t="inlineStr">
        <is>
          <t>PO100199</t>
        </is>
      </c>
      <c r="B639" s="43" t="inlineStr">
        <is>
          <t>CMD-0009</t>
        </is>
      </c>
      <c r="C639" s="43" t="inlineStr">
        <is>
          <t>S11</t>
        </is>
      </c>
      <c r="D639" s="47" t="n">
        <v>45789</v>
      </c>
      <c r="E639" s="47" t="n">
        <v>45908</v>
      </c>
      <c r="F639" s="47" t="n">
        <v>45907</v>
      </c>
      <c r="G639" s="46" t="n">
        <v>8492</v>
      </c>
      <c r="H639" s="46" t="n">
        <v>8492</v>
      </c>
      <c r="I639" s="46" t="n">
        <v>19</v>
      </c>
      <c r="J639" s="44" t="n">
        <v>6.29</v>
      </c>
      <c r="K639" s="43" t="inlineStr">
        <is>
          <t>Received</t>
        </is>
      </c>
      <c r="L639" s="17">
        <f>INDEX(Items!$C$2:$C$117,MATCH(B639,Items!$A$2:$A$117,0))</f>
        <v/>
      </c>
      <c r="M639" s="49">
        <f>INDEX(Items!$E$2:$E$117,MATCH(B639,Items!$A$2:$A$117,0))</f>
        <v/>
      </c>
      <c r="N639" s="17">
        <f>TEXT(D639,"yyyy-mm")</f>
        <v/>
      </c>
      <c r="O639" s="50">
        <f>G639*J639</f>
        <v/>
      </c>
      <c r="P639" s="50">
        <f>(J639-M639)*G639</f>
        <v/>
      </c>
      <c r="Q639" s="51">
        <f>IF(K639="Received",1,0)</f>
        <v/>
      </c>
      <c r="R639" s="51">
        <f>IF(Q639=1,F639-D639,0)</f>
        <v/>
      </c>
      <c r="S639" s="51">
        <f>IF(Q639=1,IF(F639&lt;=E639,1,0),0)</f>
        <v/>
      </c>
      <c r="T639" s="51">
        <f>IF(Q639=1,IF(H639&gt;=G639,1,0),0)</f>
        <v/>
      </c>
      <c r="U639" s="51">
        <f>S639*T639</f>
        <v/>
      </c>
      <c r="V639" s="51">
        <f>IF(Q639=1,MAX(0,F639-E639),0)</f>
        <v/>
      </c>
    </row>
    <row r="640">
      <c r="A640" s="43" t="inlineStr">
        <is>
          <t>PO100873</t>
        </is>
      </c>
      <c r="B640" s="43" t="inlineStr">
        <is>
          <t>CMD-0039</t>
        </is>
      </c>
      <c r="C640" s="43" t="inlineStr">
        <is>
          <t>S07</t>
        </is>
      </c>
      <c r="D640" s="47" t="n">
        <v>45789</v>
      </c>
      <c r="E640" s="47" t="n">
        <v>45831</v>
      </c>
      <c r="F640" s="47" t="n">
        <v>45830</v>
      </c>
      <c r="G640" s="46" t="n">
        <v>262</v>
      </c>
      <c r="H640" s="46" t="n">
        <v>262</v>
      </c>
      <c r="I640" s="46" t="n">
        <v>0</v>
      </c>
      <c r="J640" s="44" t="n">
        <v>51.99</v>
      </c>
      <c r="K640" s="43" t="inlineStr">
        <is>
          <t>Received</t>
        </is>
      </c>
      <c r="L640" s="17">
        <f>INDEX(Items!$C$2:$C$117,MATCH(B640,Items!$A$2:$A$117,0))</f>
        <v/>
      </c>
      <c r="M640" s="49">
        <f>INDEX(Items!$E$2:$E$117,MATCH(B640,Items!$A$2:$A$117,0))</f>
        <v/>
      </c>
      <c r="N640" s="17">
        <f>TEXT(D640,"yyyy-mm")</f>
        <v/>
      </c>
      <c r="O640" s="50">
        <f>G640*J640</f>
        <v/>
      </c>
      <c r="P640" s="50">
        <f>(J640-M640)*G640</f>
        <v/>
      </c>
      <c r="Q640" s="51">
        <f>IF(K640="Received",1,0)</f>
        <v/>
      </c>
      <c r="R640" s="51">
        <f>IF(Q640=1,F640-D640,0)</f>
        <v/>
      </c>
      <c r="S640" s="51">
        <f>IF(Q640=1,IF(F640&lt;=E640,1,0),0)</f>
        <v/>
      </c>
      <c r="T640" s="51">
        <f>IF(Q640=1,IF(H640&gt;=G640,1,0),0)</f>
        <v/>
      </c>
      <c r="U640" s="51">
        <f>S640*T640</f>
        <v/>
      </c>
      <c r="V640" s="51">
        <f>IF(Q640=1,MAX(0,F640-E640),0)</f>
        <v/>
      </c>
    </row>
    <row r="641">
      <c r="A641" s="43" t="inlineStr">
        <is>
          <t>PO101827</t>
        </is>
      </c>
      <c r="B641" s="43" t="inlineStr">
        <is>
          <t>CMD-0100</t>
        </is>
      </c>
      <c r="C641" s="43" t="inlineStr">
        <is>
          <t>S09</t>
        </is>
      </c>
      <c r="D641" s="47" t="n">
        <v>45789</v>
      </c>
      <c r="E641" s="47" t="n">
        <v>45810</v>
      </c>
      <c r="F641" s="47" t="n">
        <v>45809</v>
      </c>
      <c r="G641" s="46" t="n">
        <v>6406</v>
      </c>
      <c r="H641" s="46" t="n">
        <v>6406</v>
      </c>
      <c r="I641" s="46" t="n">
        <v>19</v>
      </c>
      <c r="J641" s="44" t="n">
        <v>4.94</v>
      </c>
      <c r="K641" s="43" t="inlineStr">
        <is>
          <t>Received</t>
        </is>
      </c>
      <c r="L641" s="17">
        <f>INDEX(Items!$C$2:$C$117,MATCH(B641,Items!$A$2:$A$117,0))</f>
        <v/>
      </c>
      <c r="M641" s="49">
        <f>INDEX(Items!$E$2:$E$117,MATCH(B641,Items!$A$2:$A$117,0))</f>
        <v/>
      </c>
      <c r="N641" s="17">
        <f>TEXT(D641,"yyyy-mm")</f>
        <v/>
      </c>
      <c r="O641" s="50">
        <f>G641*J641</f>
        <v/>
      </c>
      <c r="P641" s="50">
        <f>(J641-M641)*G641</f>
        <v/>
      </c>
      <c r="Q641" s="51">
        <f>IF(K641="Received",1,0)</f>
        <v/>
      </c>
      <c r="R641" s="51">
        <f>IF(Q641=1,F641-D641,0)</f>
        <v/>
      </c>
      <c r="S641" s="51">
        <f>IF(Q641=1,IF(F641&lt;=E641,1,0),0)</f>
        <v/>
      </c>
      <c r="T641" s="51">
        <f>IF(Q641=1,IF(H641&gt;=G641,1,0),0)</f>
        <v/>
      </c>
      <c r="U641" s="51">
        <f>S641*T641</f>
        <v/>
      </c>
      <c r="V641" s="51">
        <f>IF(Q641=1,MAX(0,F641-E641),0)</f>
        <v/>
      </c>
    </row>
    <row r="642">
      <c r="A642" s="43" t="inlineStr">
        <is>
          <t>PO100729</t>
        </is>
      </c>
      <c r="B642" s="43" t="inlineStr">
        <is>
          <t>CMD-0033</t>
        </is>
      </c>
      <c r="C642" s="43" t="inlineStr">
        <is>
          <t>S07</t>
        </is>
      </c>
      <c r="D642" s="47" t="n">
        <v>45789</v>
      </c>
      <c r="E642" s="47" t="n">
        <v>45831</v>
      </c>
      <c r="F642" s="47" t="n">
        <v>45831</v>
      </c>
      <c r="G642" s="46" t="n">
        <v>3266</v>
      </c>
      <c r="H642" s="46" t="n">
        <v>3266</v>
      </c>
      <c r="I642" s="46" t="n">
        <v>22</v>
      </c>
      <c r="J642" s="44" t="n">
        <v>58.36</v>
      </c>
      <c r="K642" s="43" t="inlineStr">
        <is>
          <t>Received</t>
        </is>
      </c>
      <c r="L642" s="17">
        <f>INDEX(Items!$C$2:$C$117,MATCH(B642,Items!$A$2:$A$117,0))</f>
        <v/>
      </c>
      <c r="M642" s="49">
        <f>INDEX(Items!$E$2:$E$117,MATCH(B642,Items!$A$2:$A$117,0))</f>
        <v/>
      </c>
      <c r="N642" s="17">
        <f>TEXT(D642,"yyyy-mm")</f>
        <v/>
      </c>
      <c r="O642" s="50">
        <f>G642*J642</f>
        <v/>
      </c>
      <c r="P642" s="50">
        <f>(J642-M642)*G642</f>
        <v/>
      </c>
      <c r="Q642" s="51">
        <f>IF(K642="Received",1,0)</f>
        <v/>
      </c>
      <c r="R642" s="51">
        <f>IF(Q642=1,F642-D642,0)</f>
        <v/>
      </c>
      <c r="S642" s="51">
        <f>IF(Q642=1,IF(F642&lt;=E642,1,0),0)</f>
        <v/>
      </c>
      <c r="T642" s="51">
        <f>IF(Q642=1,IF(H642&gt;=G642,1,0),0)</f>
        <v/>
      </c>
      <c r="U642" s="51">
        <f>S642*T642</f>
        <v/>
      </c>
      <c r="V642" s="51">
        <f>IF(Q642=1,MAX(0,F642-E642),0)</f>
        <v/>
      </c>
    </row>
    <row r="643">
      <c r="A643" s="43" t="inlineStr">
        <is>
          <t>PO101165</t>
        </is>
      </c>
      <c r="B643" s="43" t="inlineStr">
        <is>
          <t>CMD-0054</t>
        </is>
      </c>
      <c r="C643" s="43" t="inlineStr">
        <is>
          <t>S10</t>
        </is>
      </c>
      <c r="D643" s="47" t="n">
        <v>45789</v>
      </c>
      <c r="E643" s="47" t="n">
        <v>45817</v>
      </c>
      <c r="F643" s="47" t="n">
        <v>45814</v>
      </c>
      <c r="G643" s="46" t="n">
        <v>51566</v>
      </c>
      <c r="H643" s="46" t="n">
        <v>51566</v>
      </c>
      <c r="I643" s="46" t="n">
        <v>60</v>
      </c>
      <c r="J643" s="44" t="n">
        <v>0.1687</v>
      </c>
      <c r="K643" s="43" t="inlineStr">
        <is>
          <t>Received</t>
        </is>
      </c>
      <c r="L643" s="17">
        <f>INDEX(Items!$C$2:$C$117,MATCH(B643,Items!$A$2:$A$117,0))</f>
        <v/>
      </c>
      <c r="M643" s="49">
        <f>INDEX(Items!$E$2:$E$117,MATCH(B643,Items!$A$2:$A$117,0))</f>
        <v/>
      </c>
      <c r="N643" s="17">
        <f>TEXT(D643,"yyyy-mm")</f>
        <v/>
      </c>
      <c r="O643" s="50">
        <f>G643*J643</f>
        <v/>
      </c>
      <c r="P643" s="50">
        <f>(J643-M643)*G643</f>
        <v/>
      </c>
      <c r="Q643" s="51">
        <f>IF(K643="Received",1,0)</f>
        <v/>
      </c>
      <c r="R643" s="51">
        <f>IF(Q643=1,F643-D643,0)</f>
        <v/>
      </c>
      <c r="S643" s="51">
        <f>IF(Q643=1,IF(F643&lt;=E643,1,0),0)</f>
        <v/>
      </c>
      <c r="T643" s="51">
        <f>IF(Q643=1,IF(H643&gt;=G643,1,0),0)</f>
        <v/>
      </c>
      <c r="U643" s="51">
        <f>S643*T643</f>
        <v/>
      </c>
      <c r="V643" s="51">
        <f>IF(Q643=1,MAX(0,F643-E643),0)</f>
        <v/>
      </c>
    </row>
    <row r="644">
      <c r="A644" s="43" t="inlineStr">
        <is>
          <t>PO100801</t>
        </is>
      </c>
      <c r="B644" s="43" t="inlineStr">
        <is>
          <t>CMD-0036</t>
        </is>
      </c>
      <c r="C644" s="43" t="inlineStr">
        <is>
          <t>S04</t>
        </is>
      </c>
      <c r="D644" s="47" t="n">
        <v>45789</v>
      </c>
      <c r="E644" s="47" t="n">
        <v>45831</v>
      </c>
      <c r="F644" s="47" t="n">
        <v>45828</v>
      </c>
      <c r="G644" s="46" t="n">
        <v>502</v>
      </c>
      <c r="H644" s="46" t="n">
        <v>502</v>
      </c>
      <c r="I644" s="46" t="n">
        <v>6</v>
      </c>
      <c r="J644" s="44" t="n">
        <v>12.36</v>
      </c>
      <c r="K644" s="43" t="inlineStr">
        <is>
          <t>Received</t>
        </is>
      </c>
      <c r="L644" s="17">
        <f>INDEX(Items!$C$2:$C$117,MATCH(B644,Items!$A$2:$A$117,0))</f>
        <v/>
      </c>
      <c r="M644" s="49">
        <f>INDEX(Items!$E$2:$E$117,MATCH(B644,Items!$A$2:$A$117,0))</f>
        <v/>
      </c>
      <c r="N644" s="17">
        <f>TEXT(D644,"yyyy-mm")</f>
        <v/>
      </c>
      <c r="O644" s="50">
        <f>G644*J644</f>
        <v/>
      </c>
      <c r="P644" s="50">
        <f>(J644-M644)*G644</f>
        <v/>
      </c>
      <c r="Q644" s="51">
        <f>IF(K644="Received",1,0)</f>
        <v/>
      </c>
      <c r="R644" s="51">
        <f>IF(Q644=1,F644-D644,0)</f>
        <v/>
      </c>
      <c r="S644" s="51">
        <f>IF(Q644=1,IF(F644&lt;=E644,1,0),0)</f>
        <v/>
      </c>
      <c r="T644" s="51">
        <f>IF(Q644=1,IF(H644&gt;=G644,1,0),0)</f>
        <v/>
      </c>
      <c r="U644" s="51">
        <f>S644*T644</f>
        <v/>
      </c>
      <c r="V644" s="51">
        <f>IF(Q644=1,MAX(0,F644-E644),0)</f>
        <v/>
      </c>
    </row>
    <row r="645">
      <c r="A645" s="43" t="inlineStr">
        <is>
          <t>PO101487</t>
        </is>
      </c>
      <c r="B645" s="43" t="inlineStr">
        <is>
          <t>CMD-0079</t>
        </is>
      </c>
      <c r="C645" s="43" t="inlineStr">
        <is>
          <t>S06</t>
        </is>
      </c>
      <c r="D645" s="47" t="n">
        <v>45789</v>
      </c>
      <c r="E645" s="47" t="n">
        <v>45810</v>
      </c>
      <c r="F645" s="47" t="n">
        <v>45808</v>
      </c>
      <c r="G645" s="46" t="n">
        <v>2081</v>
      </c>
      <c r="H645" s="46" t="n">
        <v>2081</v>
      </c>
      <c r="I645" s="46" t="n">
        <v>9</v>
      </c>
      <c r="J645" s="44" t="n">
        <v>3.53</v>
      </c>
      <c r="K645" s="43" t="inlineStr">
        <is>
          <t>Received</t>
        </is>
      </c>
      <c r="L645" s="17">
        <f>INDEX(Items!$C$2:$C$117,MATCH(B645,Items!$A$2:$A$117,0))</f>
        <v/>
      </c>
      <c r="M645" s="49">
        <f>INDEX(Items!$E$2:$E$117,MATCH(B645,Items!$A$2:$A$117,0))</f>
        <v/>
      </c>
      <c r="N645" s="17">
        <f>TEXT(D645,"yyyy-mm")</f>
        <v/>
      </c>
      <c r="O645" s="50">
        <f>G645*J645</f>
        <v/>
      </c>
      <c r="P645" s="50">
        <f>(J645-M645)*G645</f>
        <v/>
      </c>
      <c r="Q645" s="51">
        <f>IF(K645="Received",1,0)</f>
        <v/>
      </c>
      <c r="R645" s="51">
        <f>IF(Q645=1,F645-D645,0)</f>
        <v/>
      </c>
      <c r="S645" s="51">
        <f>IF(Q645=1,IF(F645&lt;=E645,1,0),0)</f>
        <v/>
      </c>
      <c r="T645" s="51">
        <f>IF(Q645=1,IF(H645&gt;=G645,1,0),0)</f>
        <v/>
      </c>
      <c r="U645" s="51">
        <f>S645*T645</f>
        <v/>
      </c>
      <c r="V645" s="51">
        <f>IF(Q645=1,MAX(0,F645-E645),0)</f>
        <v/>
      </c>
    </row>
    <row r="646">
      <c r="A646" s="43" t="inlineStr">
        <is>
          <t>PO101315</t>
        </is>
      </c>
      <c r="B646" s="43" t="inlineStr">
        <is>
          <t>CMD-0065</t>
        </is>
      </c>
      <c r="C646" s="43" t="inlineStr">
        <is>
          <t>S10</t>
        </is>
      </c>
      <c r="D646" s="47" t="n">
        <v>45789</v>
      </c>
      <c r="E646" s="47" t="n">
        <v>45817</v>
      </c>
      <c r="F646" s="47" t="n">
        <v>45814</v>
      </c>
      <c r="G646" s="46" t="n">
        <v>124714</v>
      </c>
      <c r="H646" s="46" t="n">
        <v>124714</v>
      </c>
      <c r="I646" s="46" t="n">
        <v>127</v>
      </c>
      <c r="J646" s="44" t="n">
        <v>0.1155</v>
      </c>
      <c r="K646" s="43" t="inlineStr">
        <is>
          <t>Received</t>
        </is>
      </c>
      <c r="L646" s="17">
        <f>INDEX(Items!$C$2:$C$117,MATCH(B646,Items!$A$2:$A$117,0))</f>
        <v/>
      </c>
      <c r="M646" s="49">
        <f>INDEX(Items!$E$2:$E$117,MATCH(B646,Items!$A$2:$A$117,0))</f>
        <v/>
      </c>
      <c r="N646" s="17">
        <f>TEXT(D646,"yyyy-mm")</f>
        <v/>
      </c>
      <c r="O646" s="50">
        <f>G646*J646</f>
        <v/>
      </c>
      <c r="P646" s="50">
        <f>(J646-M646)*G646</f>
        <v/>
      </c>
      <c r="Q646" s="51">
        <f>IF(K646="Received",1,0)</f>
        <v/>
      </c>
      <c r="R646" s="51">
        <f>IF(Q646=1,F646-D646,0)</f>
        <v/>
      </c>
      <c r="S646" s="51">
        <f>IF(Q646=1,IF(F646&lt;=E646,1,0),0)</f>
        <v/>
      </c>
      <c r="T646" s="51">
        <f>IF(Q646=1,IF(H646&gt;=G646,1,0),0)</f>
        <v/>
      </c>
      <c r="U646" s="51">
        <f>S646*T646</f>
        <v/>
      </c>
      <c r="V646" s="51">
        <f>IF(Q646=1,MAX(0,F646-E646),0)</f>
        <v/>
      </c>
    </row>
    <row r="647">
      <c r="A647" s="43" t="inlineStr">
        <is>
          <t>PO100503</t>
        </is>
      </c>
      <c r="B647" s="43" t="inlineStr">
        <is>
          <t>CMD-0023</t>
        </is>
      </c>
      <c r="C647" s="43" t="inlineStr">
        <is>
          <t>S04</t>
        </is>
      </c>
      <c r="D647" s="47" t="n">
        <v>45789</v>
      </c>
      <c r="E647" s="47" t="n">
        <v>45859</v>
      </c>
      <c r="F647" s="47" t="n">
        <v>45859</v>
      </c>
      <c r="G647" s="46" t="n">
        <v>4669</v>
      </c>
      <c r="H647" s="46" t="n">
        <v>4669</v>
      </c>
      <c r="I647" s="46" t="n">
        <v>43</v>
      </c>
      <c r="J647" s="44" t="n">
        <v>8.800000000000001</v>
      </c>
      <c r="K647" s="43" t="inlineStr">
        <is>
          <t>Received</t>
        </is>
      </c>
      <c r="L647" s="17">
        <f>INDEX(Items!$C$2:$C$117,MATCH(B647,Items!$A$2:$A$117,0))</f>
        <v/>
      </c>
      <c r="M647" s="49">
        <f>INDEX(Items!$E$2:$E$117,MATCH(B647,Items!$A$2:$A$117,0))</f>
        <v/>
      </c>
      <c r="N647" s="17">
        <f>TEXT(D647,"yyyy-mm")</f>
        <v/>
      </c>
      <c r="O647" s="50">
        <f>G647*J647</f>
        <v/>
      </c>
      <c r="P647" s="50">
        <f>(J647-M647)*G647</f>
        <v/>
      </c>
      <c r="Q647" s="51">
        <f>IF(K647="Received",1,0)</f>
        <v/>
      </c>
      <c r="R647" s="51">
        <f>IF(Q647=1,F647-D647,0)</f>
        <v/>
      </c>
      <c r="S647" s="51">
        <f>IF(Q647=1,IF(F647&lt;=E647,1,0),0)</f>
        <v/>
      </c>
      <c r="T647" s="51">
        <f>IF(Q647=1,IF(H647&gt;=G647,1,0),0)</f>
        <v/>
      </c>
      <c r="U647" s="51">
        <f>S647*T647</f>
        <v/>
      </c>
      <c r="V647" s="51">
        <f>IF(Q647=1,MAX(0,F647-E647),0)</f>
        <v/>
      </c>
    </row>
    <row r="648">
      <c r="A648" s="43" t="inlineStr">
        <is>
          <t>PO101059</t>
        </is>
      </c>
      <c r="B648" s="43" t="inlineStr">
        <is>
          <t>CMD-0048</t>
        </is>
      </c>
      <c r="C648" s="43" t="inlineStr">
        <is>
          <t>S10</t>
        </is>
      </c>
      <c r="D648" s="47" t="n">
        <v>45789</v>
      </c>
      <c r="E648" s="47" t="n">
        <v>45817</v>
      </c>
      <c r="F648" s="47" t="n">
        <v>45817</v>
      </c>
      <c r="G648" s="46" t="n">
        <v>15500</v>
      </c>
      <c r="H648" s="46" t="n">
        <v>15500</v>
      </c>
      <c r="I648" s="46" t="n">
        <v>11</v>
      </c>
      <c r="J648" s="44" t="n">
        <v>0.3231</v>
      </c>
      <c r="K648" s="43" t="inlineStr">
        <is>
          <t>Received</t>
        </is>
      </c>
      <c r="L648" s="17">
        <f>INDEX(Items!$C$2:$C$117,MATCH(B648,Items!$A$2:$A$117,0))</f>
        <v/>
      </c>
      <c r="M648" s="49">
        <f>INDEX(Items!$E$2:$E$117,MATCH(B648,Items!$A$2:$A$117,0))</f>
        <v/>
      </c>
      <c r="N648" s="17">
        <f>TEXT(D648,"yyyy-mm")</f>
        <v/>
      </c>
      <c r="O648" s="50">
        <f>G648*J648</f>
        <v/>
      </c>
      <c r="P648" s="50">
        <f>(J648-M648)*G648</f>
        <v/>
      </c>
      <c r="Q648" s="51">
        <f>IF(K648="Received",1,0)</f>
        <v/>
      </c>
      <c r="R648" s="51">
        <f>IF(Q648=1,F648-D648,0)</f>
        <v/>
      </c>
      <c r="S648" s="51">
        <f>IF(Q648=1,IF(F648&lt;=E648,1,0),0)</f>
        <v/>
      </c>
      <c r="T648" s="51">
        <f>IF(Q648=1,IF(H648&gt;=G648,1,0),0)</f>
        <v/>
      </c>
      <c r="U648" s="51">
        <f>S648*T648</f>
        <v/>
      </c>
      <c r="V648" s="51">
        <f>IF(Q648=1,MAX(0,F648-E648),0)</f>
        <v/>
      </c>
    </row>
    <row r="649">
      <c r="A649" s="43" t="inlineStr">
        <is>
          <t>PO101210</t>
        </is>
      </c>
      <c r="B649" s="43" t="inlineStr">
        <is>
          <t>CMD-0056</t>
        </is>
      </c>
      <c r="C649" s="43" t="inlineStr">
        <is>
          <t>S04</t>
        </is>
      </c>
      <c r="D649" s="47" t="n">
        <v>45789</v>
      </c>
      <c r="E649" s="47" t="n">
        <v>45824</v>
      </c>
      <c r="F649" s="47" t="n">
        <v>45822</v>
      </c>
      <c r="G649" s="46" t="n">
        <v>62297</v>
      </c>
      <c r="H649" s="46" t="n">
        <v>62297</v>
      </c>
      <c r="I649" s="46" t="n">
        <v>598</v>
      </c>
      <c r="J649" s="44" t="n">
        <v>0.1015</v>
      </c>
      <c r="K649" s="43" t="inlineStr">
        <is>
          <t>Received</t>
        </is>
      </c>
      <c r="L649" s="17">
        <f>INDEX(Items!$C$2:$C$117,MATCH(B649,Items!$A$2:$A$117,0))</f>
        <v/>
      </c>
      <c r="M649" s="49">
        <f>INDEX(Items!$E$2:$E$117,MATCH(B649,Items!$A$2:$A$117,0))</f>
        <v/>
      </c>
      <c r="N649" s="17">
        <f>TEXT(D649,"yyyy-mm")</f>
        <v/>
      </c>
      <c r="O649" s="50">
        <f>G649*J649</f>
        <v/>
      </c>
      <c r="P649" s="50">
        <f>(J649-M649)*G649</f>
        <v/>
      </c>
      <c r="Q649" s="51">
        <f>IF(K649="Received",1,0)</f>
        <v/>
      </c>
      <c r="R649" s="51">
        <f>IF(Q649=1,F649-D649,0)</f>
        <v/>
      </c>
      <c r="S649" s="51">
        <f>IF(Q649=1,IF(F649&lt;=E649,1,0),0)</f>
        <v/>
      </c>
      <c r="T649" s="51">
        <f>IF(Q649=1,IF(H649&gt;=G649,1,0),0)</f>
        <v/>
      </c>
      <c r="U649" s="51">
        <f>S649*T649</f>
        <v/>
      </c>
      <c r="V649" s="51">
        <f>IF(Q649=1,MAX(0,F649-E649),0)</f>
        <v/>
      </c>
    </row>
    <row r="650">
      <c r="A650" s="43" t="inlineStr">
        <is>
          <t>PO101571</t>
        </is>
      </c>
      <c r="B650" s="43" t="inlineStr">
        <is>
          <t>CMD-0085</t>
        </is>
      </c>
      <c r="C650" s="43" t="inlineStr">
        <is>
          <t>S06</t>
        </is>
      </c>
      <c r="D650" s="47" t="n">
        <v>45789</v>
      </c>
      <c r="E650" s="47" t="n">
        <v>45810</v>
      </c>
      <c r="F650" s="47" t="n">
        <v>45810</v>
      </c>
      <c r="G650" s="46" t="n">
        <v>1006</v>
      </c>
      <c r="H650" s="46" t="n">
        <v>1006</v>
      </c>
      <c r="I650" s="46" t="n">
        <v>6</v>
      </c>
      <c r="J650" s="44" t="n">
        <v>10.56</v>
      </c>
      <c r="K650" s="43" t="inlineStr">
        <is>
          <t>Received</t>
        </is>
      </c>
      <c r="L650" s="17">
        <f>INDEX(Items!$C$2:$C$117,MATCH(B650,Items!$A$2:$A$117,0))</f>
        <v/>
      </c>
      <c r="M650" s="49">
        <f>INDEX(Items!$E$2:$E$117,MATCH(B650,Items!$A$2:$A$117,0))</f>
        <v/>
      </c>
      <c r="N650" s="17">
        <f>TEXT(D650,"yyyy-mm")</f>
        <v/>
      </c>
      <c r="O650" s="50">
        <f>G650*J650</f>
        <v/>
      </c>
      <c r="P650" s="50">
        <f>(J650-M650)*G650</f>
        <v/>
      </c>
      <c r="Q650" s="51">
        <f>IF(K650="Received",1,0)</f>
        <v/>
      </c>
      <c r="R650" s="51">
        <f>IF(Q650=1,F650-D650,0)</f>
        <v/>
      </c>
      <c r="S650" s="51">
        <f>IF(Q650=1,IF(F650&lt;=E650,1,0),0)</f>
        <v/>
      </c>
      <c r="T650" s="51">
        <f>IF(Q650=1,IF(H650&gt;=G650,1,0),0)</f>
        <v/>
      </c>
      <c r="U650" s="51">
        <f>S650*T650</f>
        <v/>
      </c>
      <c r="V650" s="51">
        <f>IF(Q650=1,MAX(0,F650-E650),0)</f>
        <v/>
      </c>
    </row>
    <row r="651">
      <c r="A651" s="43" t="inlineStr">
        <is>
          <t>PO100223</t>
        </is>
      </c>
      <c r="B651" s="43" t="inlineStr">
        <is>
          <t>CMD-0010</t>
        </is>
      </c>
      <c r="C651" s="43" t="inlineStr">
        <is>
          <t>S03</t>
        </is>
      </c>
      <c r="D651" s="47" t="n">
        <v>45790</v>
      </c>
      <c r="E651" s="47" t="n">
        <v>45923</v>
      </c>
      <c r="F651" s="47" t="n">
        <v>45922</v>
      </c>
      <c r="G651" s="46" t="n">
        <v>4390</v>
      </c>
      <c r="H651" s="46" t="n">
        <v>4390</v>
      </c>
      <c r="I651" s="46" t="n">
        <v>32</v>
      </c>
      <c r="J651" s="44" t="n">
        <v>4.63</v>
      </c>
      <c r="K651" s="43" t="inlineStr">
        <is>
          <t>Received</t>
        </is>
      </c>
      <c r="L651" s="17">
        <f>INDEX(Items!$C$2:$C$117,MATCH(B651,Items!$A$2:$A$117,0))</f>
        <v/>
      </c>
      <c r="M651" s="49">
        <f>INDEX(Items!$E$2:$E$117,MATCH(B651,Items!$A$2:$A$117,0))</f>
        <v/>
      </c>
      <c r="N651" s="17">
        <f>TEXT(D651,"yyyy-mm")</f>
        <v/>
      </c>
      <c r="O651" s="50">
        <f>G651*J651</f>
        <v/>
      </c>
      <c r="P651" s="50">
        <f>(J651-M651)*G651</f>
        <v/>
      </c>
      <c r="Q651" s="51">
        <f>IF(K651="Received",1,0)</f>
        <v/>
      </c>
      <c r="R651" s="51">
        <f>IF(Q651=1,F651-D651,0)</f>
        <v/>
      </c>
      <c r="S651" s="51">
        <f>IF(Q651=1,IF(F651&lt;=E651,1,0),0)</f>
        <v/>
      </c>
      <c r="T651" s="51">
        <f>IF(Q651=1,IF(H651&gt;=G651,1,0),0)</f>
        <v/>
      </c>
      <c r="U651" s="51">
        <f>S651*T651</f>
        <v/>
      </c>
      <c r="V651" s="51">
        <f>IF(Q651=1,MAX(0,F651-E651),0)</f>
        <v/>
      </c>
    </row>
    <row r="652">
      <c r="A652" s="43" t="inlineStr">
        <is>
          <t>PO100941</t>
        </is>
      </c>
      <c r="B652" s="43" t="inlineStr">
        <is>
          <t>CMD-0043</t>
        </is>
      </c>
      <c r="C652" s="43" t="inlineStr">
        <is>
          <t>S05</t>
        </is>
      </c>
      <c r="D652" s="47" t="n">
        <v>45790</v>
      </c>
      <c r="E652" s="47" t="n">
        <v>45895</v>
      </c>
      <c r="F652" s="47" t="n">
        <v>45900</v>
      </c>
      <c r="G652" s="46" t="n">
        <v>6703</v>
      </c>
      <c r="H652" s="46" t="n">
        <v>6703</v>
      </c>
      <c r="I652" s="46" t="n">
        <v>120</v>
      </c>
      <c r="J652" s="44" t="n">
        <v>3.69</v>
      </c>
      <c r="K652" s="43" t="inlineStr">
        <is>
          <t>Received</t>
        </is>
      </c>
      <c r="L652" s="17">
        <f>INDEX(Items!$C$2:$C$117,MATCH(B652,Items!$A$2:$A$117,0))</f>
        <v/>
      </c>
      <c r="M652" s="49">
        <f>INDEX(Items!$E$2:$E$117,MATCH(B652,Items!$A$2:$A$117,0))</f>
        <v/>
      </c>
      <c r="N652" s="17">
        <f>TEXT(D652,"yyyy-mm")</f>
        <v/>
      </c>
      <c r="O652" s="50">
        <f>G652*J652</f>
        <v/>
      </c>
      <c r="P652" s="50">
        <f>(J652-M652)*G652</f>
        <v/>
      </c>
      <c r="Q652" s="51">
        <f>IF(K652="Received",1,0)</f>
        <v/>
      </c>
      <c r="R652" s="51">
        <f>IF(Q652=1,F652-D652,0)</f>
        <v/>
      </c>
      <c r="S652" s="51">
        <f>IF(Q652=1,IF(F652&lt;=E652,1,0),0)</f>
        <v/>
      </c>
      <c r="T652" s="51">
        <f>IF(Q652=1,IF(H652&gt;=G652,1,0),0)</f>
        <v/>
      </c>
      <c r="U652" s="51">
        <f>S652*T652</f>
        <v/>
      </c>
      <c r="V652" s="51">
        <f>IF(Q652=1,MAX(0,F652-E652),0)</f>
        <v/>
      </c>
    </row>
    <row r="653">
      <c r="A653" s="43" t="inlineStr">
        <is>
          <t>PO100527</t>
        </is>
      </c>
      <c r="B653" s="43" t="inlineStr">
        <is>
          <t>CMD-0024</t>
        </is>
      </c>
      <c r="C653" s="43" t="inlineStr">
        <is>
          <t>S04</t>
        </is>
      </c>
      <c r="D653" s="47" t="n">
        <v>45790</v>
      </c>
      <c r="E653" s="47" t="n">
        <v>45860</v>
      </c>
      <c r="F653" s="47" t="n">
        <v>45857</v>
      </c>
      <c r="G653" s="46" t="n">
        <v>3989</v>
      </c>
      <c r="H653" s="46" t="n">
        <v>3989</v>
      </c>
      <c r="I653" s="46" t="n">
        <v>37</v>
      </c>
      <c r="J653" s="44" t="n">
        <v>3.31</v>
      </c>
      <c r="K653" s="43" t="inlineStr">
        <is>
          <t>Received</t>
        </is>
      </c>
      <c r="L653" s="17">
        <f>INDEX(Items!$C$2:$C$117,MATCH(B653,Items!$A$2:$A$117,0))</f>
        <v/>
      </c>
      <c r="M653" s="49">
        <f>INDEX(Items!$E$2:$E$117,MATCH(B653,Items!$A$2:$A$117,0))</f>
        <v/>
      </c>
      <c r="N653" s="17">
        <f>TEXT(D653,"yyyy-mm")</f>
        <v/>
      </c>
      <c r="O653" s="50">
        <f>G653*J653</f>
        <v/>
      </c>
      <c r="P653" s="50">
        <f>(J653-M653)*G653</f>
        <v/>
      </c>
      <c r="Q653" s="51">
        <f>IF(K653="Received",1,0)</f>
        <v/>
      </c>
      <c r="R653" s="51">
        <f>IF(Q653=1,F653-D653,0)</f>
        <v/>
      </c>
      <c r="S653" s="51">
        <f>IF(Q653=1,IF(F653&lt;=E653,1,0),0)</f>
        <v/>
      </c>
      <c r="T653" s="51">
        <f>IF(Q653=1,IF(H653&gt;=G653,1,0),0)</f>
        <v/>
      </c>
      <c r="U653" s="51">
        <f>S653*T653</f>
        <v/>
      </c>
      <c r="V653" s="51">
        <f>IF(Q653=1,MAX(0,F653-E653),0)</f>
        <v/>
      </c>
    </row>
    <row r="654">
      <c r="A654" s="43" t="inlineStr">
        <is>
          <t>PO101235</t>
        </is>
      </c>
      <c r="B654" s="43" t="inlineStr">
        <is>
          <t>CMD-0058</t>
        </is>
      </c>
      <c r="C654" s="43" t="inlineStr">
        <is>
          <t>S04</t>
        </is>
      </c>
      <c r="D654" s="47" t="n">
        <v>45790</v>
      </c>
      <c r="E654" s="47" t="n">
        <v>45825</v>
      </c>
      <c r="F654" s="47" t="n">
        <v>45822</v>
      </c>
      <c r="G654" s="46" t="n">
        <v>61923</v>
      </c>
      <c r="H654" s="46" t="n">
        <v>42904</v>
      </c>
      <c r="I654" s="46" t="n">
        <v>445</v>
      </c>
      <c r="J654" s="44" t="n">
        <v>0.1178</v>
      </c>
      <c r="K654" s="43" t="inlineStr">
        <is>
          <t>Received</t>
        </is>
      </c>
      <c r="L654" s="17">
        <f>INDEX(Items!$C$2:$C$117,MATCH(B654,Items!$A$2:$A$117,0))</f>
        <v/>
      </c>
      <c r="M654" s="49">
        <f>INDEX(Items!$E$2:$E$117,MATCH(B654,Items!$A$2:$A$117,0))</f>
        <v/>
      </c>
      <c r="N654" s="17">
        <f>TEXT(D654,"yyyy-mm")</f>
        <v/>
      </c>
      <c r="O654" s="50">
        <f>G654*J654</f>
        <v/>
      </c>
      <c r="P654" s="50">
        <f>(J654-M654)*G654</f>
        <v/>
      </c>
      <c r="Q654" s="51">
        <f>IF(K654="Received",1,0)</f>
        <v/>
      </c>
      <c r="R654" s="51">
        <f>IF(Q654=1,F654-D654,0)</f>
        <v/>
      </c>
      <c r="S654" s="51">
        <f>IF(Q654=1,IF(F654&lt;=E654,1,0),0)</f>
        <v/>
      </c>
      <c r="T654" s="51">
        <f>IF(Q654=1,IF(H654&gt;=G654,1,0),0)</f>
        <v/>
      </c>
      <c r="U654" s="51">
        <f>S654*T654</f>
        <v/>
      </c>
      <c r="V654" s="51">
        <f>IF(Q654=1,MAX(0,F654-E654),0)</f>
        <v/>
      </c>
    </row>
    <row r="655">
      <c r="A655" s="43" t="inlineStr">
        <is>
          <t>PO101851</t>
        </is>
      </c>
      <c r="B655" s="43" t="inlineStr">
        <is>
          <t>CMD-0101</t>
        </is>
      </c>
      <c r="C655" s="43" t="inlineStr">
        <is>
          <t>S09</t>
        </is>
      </c>
      <c r="D655" s="47" t="n">
        <v>45790</v>
      </c>
      <c r="E655" s="47" t="n">
        <v>45811</v>
      </c>
      <c r="F655" s="47" t="n">
        <v>45808</v>
      </c>
      <c r="G655" s="46" t="n">
        <v>4171</v>
      </c>
      <c r="H655" s="46" t="n">
        <v>4171</v>
      </c>
      <c r="I655" s="46" t="n">
        <v>15</v>
      </c>
      <c r="J655" s="44" t="n">
        <v>3.7</v>
      </c>
      <c r="K655" s="43" t="inlineStr">
        <is>
          <t>Received</t>
        </is>
      </c>
      <c r="L655" s="17">
        <f>INDEX(Items!$C$2:$C$117,MATCH(B655,Items!$A$2:$A$117,0))</f>
        <v/>
      </c>
      <c r="M655" s="49">
        <f>INDEX(Items!$E$2:$E$117,MATCH(B655,Items!$A$2:$A$117,0))</f>
        <v/>
      </c>
      <c r="N655" s="17">
        <f>TEXT(D655,"yyyy-mm")</f>
        <v/>
      </c>
      <c r="O655" s="50">
        <f>G655*J655</f>
        <v/>
      </c>
      <c r="P655" s="50">
        <f>(J655-M655)*G655</f>
        <v/>
      </c>
      <c r="Q655" s="51">
        <f>IF(K655="Received",1,0)</f>
        <v/>
      </c>
      <c r="R655" s="51">
        <f>IF(Q655=1,F655-D655,0)</f>
        <v/>
      </c>
      <c r="S655" s="51">
        <f>IF(Q655=1,IF(F655&lt;=E655,1,0),0)</f>
        <v/>
      </c>
      <c r="T655" s="51">
        <f>IF(Q655=1,IF(H655&gt;=G655,1,0),0)</f>
        <v/>
      </c>
      <c r="U655" s="51">
        <f>S655*T655</f>
        <v/>
      </c>
      <c r="V655" s="51">
        <f>IF(Q655=1,MAX(0,F655-E655),0)</f>
        <v/>
      </c>
    </row>
    <row r="656">
      <c r="A656" s="43" t="inlineStr">
        <is>
          <t>PO100175</t>
        </is>
      </c>
      <c r="B656" s="43" t="inlineStr">
        <is>
          <t>CMD-0008</t>
        </is>
      </c>
      <c r="C656" s="43" t="inlineStr">
        <is>
          <t>S03</t>
        </is>
      </c>
      <c r="D656" s="47" t="n">
        <v>45790</v>
      </c>
      <c r="E656" s="47" t="n">
        <v>45923</v>
      </c>
      <c r="F656" s="47" t="n">
        <v>45920</v>
      </c>
      <c r="G656" s="46" t="n">
        <v>1284</v>
      </c>
      <c r="H656" s="46" t="n">
        <v>1284</v>
      </c>
      <c r="I656" s="46" t="n">
        <v>5</v>
      </c>
      <c r="J656" s="44" t="n">
        <v>23.66</v>
      </c>
      <c r="K656" s="43" t="inlineStr">
        <is>
          <t>Received</t>
        </is>
      </c>
      <c r="L656" s="17">
        <f>INDEX(Items!$C$2:$C$117,MATCH(B656,Items!$A$2:$A$117,0))</f>
        <v/>
      </c>
      <c r="M656" s="49">
        <f>INDEX(Items!$E$2:$E$117,MATCH(B656,Items!$A$2:$A$117,0))</f>
        <v/>
      </c>
      <c r="N656" s="17">
        <f>TEXT(D656,"yyyy-mm")</f>
        <v/>
      </c>
      <c r="O656" s="50">
        <f>G656*J656</f>
        <v/>
      </c>
      <c r="P656" s="50">
        <f>(J656-M656)*G656</f>
        <v/>
      </c>
      <c r="Q656" s="51">
        <f>IF(K656="Received",1,0)</f>
        <v/>
      </c>
      <c r="R656" s="51">
        <f>IF(Q656=1,F656-D656,0)</f>
        <v/>
      </c>
      <c r="S656" s="51">
        <f>IF(Q656=1,IF(F656&lt;=E656,1,0),0)</f>
        <v/>
      </c>
      <c r="T656" s="51">
        <f>IF(Q656=1,IF(H656&gt;=G656,1,0),0)</f>
        <v/>
      </c>
      <c r="U656" s="51">
        <f>S656*T656</f>
        <v/>
      </c>
      <c r="V656" s="51">
        <f>IF(Q656=1,MAX(0,F656-E656),0)</f>
        <v/>
      </c>
    </row>
    <row r="657">
      <c r="A657" s="43" t="inlineStr">
        <is>
          <t>PO101721</t>
        </is>
      </c>
      <c r="B657" s="43" t="inlineStr">
        <is>
          <t>CMD-0094</t>
        </is>
      </c>
      <c r="C657" s="43" t="inlineStr">
        <is>
          <t>S08</t>
        </is>
      </c>
      <c r="D657" s="47" t="n">
        <v>45790</v>
      </c>
      <c r="E657" s="47" t="n">
        <v>45867</v>
      </c>
      <c r="F657" s="47" t="n">
        <v>45866</v>
      </c>
      <c r="G657" s="46" t="n">
        <v>415</v>
      </c>
      <c r="H657" s="46" t="n">
        <v>415</v>
      </c>
      <c r="I657" s="46" t="n">
        <v>5</v>
      </c>
      <c r="J657" s="44" t="n">
        <v>74.09</v>
      </c>
      <c r="K657" s="43" t="inlineStr">
        <is>
          <t>Received</t>
        </is>
      </c>
      <c r="L657" s="17">
        <f>INDEX(Items!$C$2:$C$117,MATCH(B657,Items!$A$2:$A$117,0))</f>
        <v/>
      </c>
      <c r="M657" s="49">
        <f>INDEX(Items!$E$2:$E$117,MATCH(B657,Items!$A$2:$A$117,0))</f>
        <v/>
      </c>
      <c r="N657" s="17">
        <f>TEXT(D657,"yyyy-mm")</f>
        <v/>
      </c>
      <c r="O657" s="50">
        <f>G657*J657</f>
        <v/>
      </c>
      <c r="P657" s="50">
        <f>(J657-M657)*G657</f>
        <v/>
      </c>
      <c r="Q657" s="51">
        <f>IF(K657="Received",1,0)</f>
        <v/>
      </c>
      <c r="R657" s="51">
        <f>IF(Q657=1,F657-D657,0)</f>
        <v/>
      </c>
      <c r="S657" s="51">
        <f>IF(Q657=1,IF(F657&lt;=E657,1,0),0)</f>
        <v/>
      </c>
      <c r="T657" s="51">
        <f>IF(Q657=1,IF(H657&gt;=G657,1,0),0)</f>
        <v/>
      </c>
      <c r="U657" s="51">
        <f>S657*T657</f>
        <v/>
      </c>
      <c r="V657" s="51">
        <f>IF(Q657=1,MAX(0,F657-E657),0)</f>
        <v/>
      </c>
    </row>
    <row r="658">
      <c r="A658" s="43" t="inlineStr">
        <is>
          <t>PO100347</t>
        </is>
      </c>
      <c r="B658" s="43" t="inlineStr">
        <is>
          <t>CMD-0016</t>
        </is>
      </c>
      <c r="C658" s="43" t="inlineStr">
        <is>
          <t>S07</t>
        </is>
      </c>
      <c r="D658" s="47" t="n">
        <v>45790</v>
      </c>
      <c r="E658" s="47" t="n">
        <v>45881</v>
      </c>
      <c r="F658" s="47" t="n">
        <v>45880</v>
      </c>
      <c r="G658" s="46" t="n">
        <v>7517</v>
      </c>
      <c r="H658" s="46" t="n">
        <v>7517</v>
      </c>
      <c r="I658" s="46" t="n">
        <v>48</v>
      </c>
      <c r="J658" s="44" t="n">
        <v>27.02</v>
      </c>
      <c r="K658" s="43" t="inlineStr">
        <is>
          <t>Received</t>
        </is>
      </c>
      <c r="L658" s="17">
        <f>INDEX(Items!$C$2:$C$117,MATCH(B658,Items!$A$2:$A$117,0))</f>
        <v/>
      </c>
      <c r="M658" s="49">
        <f>INDEX(Items!$E$2:$E$117,MATCH(B658,Items!$A$2:$A$117,0))</f>
        <v/>
      </c>
      <c r="N658" s="17">
        <f>TEXT(D658,"yyyy-mm")</f>
        <v/>
      </c>
      <c r="O658" s="50">
        <f>G658*J658</f>
        <v/>
      </c>
      <c r="P658" s="50">
        <f>(J658-M658)*G658</f>
        <v/>
      </c>
      <c r="Q658" s="51">
        <f>IF(K658="Received",1,0)</f>
        <v/>
      </c>
      <c r="R658" s="51">
        <f>IF(Q658=1,F658-D658,0)</f>
        <v/>
      </c>
      <c r="S658" s="51">
        <f>IF(Q658=1,IF(F658&lt;=E658,1,0),0)</f>
        <v/>
      </c>
      <c r="T658" s="51">
        <f>IF(Q658=1,IF(H658&gt;=G658,1,0),0)</f>
        <v/>
      </c>
      <c r="U658" s="51">
        <f>S658*T658</f>
        <v/>
      </c>
      <c r="V658" s="51">
        <f>IF(Q658=1,MAX(0,F658-E658),0)</f>
        <v/>
      </c>
    </row>
    <row r="659">
      <c r="A659" s="43" t="inlineStr">
        <is>
          <t>PO101013</t>
        </is>
      </c>
      <c r="B659" s="43" t="inlineStr">
        <is>
          <t>CMD-0046</t>
        </is>
      </c>
      <c r="C659" s="43" t="inlineStr">
        <is>
          <t>S05</t>
        </is>
      </c>
      <c r="D659" s="47" t="n">
        <v>45790</v>
      </c>
      <c r="E659" s="47" t="n">
        <v>45895</v>
      </c>
      <c r="F659" s="47" t="n">
        <v>45895</v>
      </c>
      <c r="G659" s="46" t="n">
        <v>9802</v>
      </c>
      <c r="H659" s="46" t="n">
        <v>9802</v>
      </c>
      <c r="I659" s="46" t="n">
        <v>162</v>
      </c>
      <c r="J659" s="44" t="n">
        <v>10.57</v>
      </c>
      <c r="K659" s="43" t="inlineStr">
        <is>
          <t>Received</t>
        </is>
      </c>
      <c r="L659" s="17">
        <f>INDEX(Items!$C$2:$C$117,MATCH(B659,Items!$A$2:$A$117,0))</f>
        <v/>
      </c>
      <c r="M659" s="49">
        <f>INDEX(Items!$E$2:$E$117,MATCH(B659,Items!$A$2:$A$117,0))</f>
        <v/>
      </c>
      <c r="N659" s="17">
        <f>TEXT(D659,"yyyy-mm")</f>
        <v/>
      </c>
      <c r="O659" s="50">
        <f>G659*J659</f>
        <v/>
      </c>
      <c r="P659" s="50">
        <f>(J659-M659)*G659</f>
        <v/>
      </c>
      <c r="Q659" s="51">
        <f>IF(K659="Received",1,0)</f>
        <v/>
      </c>
      <c r="R659" s="51">
        <f>IF(Q659=1,F659-D659,0)</f>
        <v/>
      </c>
      <c r="S659" s="51">
        <f>IF(Q659=1,IF(F659&lt;=E659,1,0),0)</f>
        <v/>
      </c>
      <c r="T659" s="51">
        <f>IF(Q659=1,IF(H659&gt;=G659,1,0),0)</f>
        <v/>
      </c>
      <c r="U659" s="51">
        <f>S659*T659</f>
        <v/>
      </c>
      <c r="V659" s="51">
        <f>IF(Q659=1,MAX(0,F659-E659),0)</f>
        <v/>
      </c>
    </row>
    <row r="660">
      <c r="A660" s="43" t="inlineStr">
        <is>
          <t>PO101939</t>
        </is>
      </c>
      <c r="B660" s="43" t="inlineStr">
        <is>
          <t>CMD-0107</t>
        </is>
      </c>
      <c r="C660" s="43" t="inlineStr">
        <is>
          <t>S09</t>
        </is>
      </c>
      <c r="D660" s="47" t="n">
        <v>45790</v>
      </c>
      <c r="E660" s="47" t="n">
        <v>45811</v>
      </c>
      <c r="F660" s="47" t="n">
        <v>45809</v>
      </c>
      <c r="G660" s="46" t="n">
        <v>1260</v>
      </c>
      <c r="H660" s="46" t="n">
        <v>1260</v>
      </c>
      <c r="I660" s="46" t="n">
        <v>1</v>
      </c>
      <c r="J660" s="44" t="n">
        <v>6.95</v>
      </c>
      <c r="K660" s="43" t="inlineStr">
        <is>
          <t>Received</t>
        </is>
      </c>
      <c r="L660" s="17">
        <f>INDEX(Items!$C$2:$C$117,MATCH(B660,Items!$A$2:$A$117,0))</f>
        <v/>
      </c>
      <c r="M660" s="49">
        <f>INDEX(Items!$E$2:$E$117,MATCH(B660,Items!$A$2:$A$117,0))</f>
        <v/>
      </c>
      <c r="N660" s="17">
        <f>TEXT(D660,"yyyy-mm")</f>
        <v/>
      </c>
      <c r="O660" s="50">
        <f>G660*J660</f>
        <v/>
      </c>
      <c r="P660" s="50">
        <f>(J660-M660)*G660</f>
        <v/>
      </c>
      <c r="Q660" s="51">
        <f>IF(K660="Received",1,0)</f>
        <v/>
      </c>
      <c r="R660" s="51">
        <f>IF(Q660=1,F660-D660,0)</f>
        <v/>
      </c>
      <c r="S660" s="51">
        <f>IF(Q660=1,IF(F660&lt;=E660,1,0),0)</f>
        <v/>
      </c>
      <c r="T660" s="51">
        <f>IF(Q660=1,IF(H660&gt;=G660,1,0),0)</f>
        <v/>
      </c>
      <c r="U660" s="51">
        <f>S660*T660</f>
        <v/>
      </c>
      <c r="V660" s="51">
        <f>IF(Q660=1,MAX(0,F660-E660),0)</f>
        <v/>
      </c>
    </row>
    <row r="661">
      <c r="A661" s="43" t="inlineStr">
        <is>
          <t>PO100753</t>
        </is>
      </c>
      <c r="B661" s="43" t="inlineStr">
        <is>
          <t>CMD-0034</t>
        </is>
      </c>
      <c r="C661" s="43" t="inlineStr">
        <is>
          <t>S04</t>
        </is>
      </c>
      <c r="D661" s="47" t="n">
        <v>45791</v>
      </c>
      <c r="E661" s="47" t="n">
        <v>45833</v>
      </c>
      <c r="F661" s="47" t="n">
        <v>45859</v>
      </c>
      <c r="G661" s="46" t="n">
        <v>713</v>
      </c>
      <c r="H661" s="46" t="n">
        <v>713</v>
      </c>
      <c r="I661" s="46" t="n">
        <v>13</v>
      </c>
      <c r="J661" s="44" t="n">
        <v>10.55</v>
      </c>
      <c r="K661" s="43" t="inlineStr">
        <is>
          <t>Received</t>
        </is>
      </c>
      <c r="L661" s="17">
        <f>INDEX(Items!$C$2:$C$117,MATCH(B661,Items!$A$2:$A$117,0))</f>
        <v/>
      </c>
      <c r="M661" s="49">
        <f>INDEX(Items!$E$2:$E$117,MATCH(B661,Items!$A$2:$A$117,0))</f>
        <v/>
      </c>
      <c r="N661" s="17">
        <f>TEXT(D661,"yyyy-mm")</f>
        <v/>
      </c>
      <c r="O661" s="50">
        <f>G661*J661</f>
        <v/>
      </c>
      <c r="P661" s="50">
        <f>(J661-M661)*G661</f>
        <v/>
      </c>
      <c r="Q661" s="51">
        <f>IF(K661="Received",1,0)</f>
        <v/>
      </c>
      <c r="R661" s="51">
        <f>IF(Q661=1,F661-D661,0)</f>
        <v/>
      </c>
      <c r="S661" s="51">
        <f>IF(Q661=1,IF(F661&lt;=E661,1,0),0)</f>
        <v/>
      </c>
      <c r="T661" s="51">
        <f>IF(Q661=1,IF(H661&gt;=G661,1,0),0)</f>
        <v/>
      </c>
      <c r="U661" s="51">
        <f>S661*T661</f>
        <v/>
      </c>
      <c r="V661" s="51">
        <f>IF(Q661=1,MAX(0,F661-E661),0)</f>
        <v/>
      </c>
    </row>
    <row r="662">
      <c r="A662" s="43" t="inlineStr">
        <is>
          <t>PO101256</t>
        </is>
      </c>
      <c r="B662" s="43" t="inlineStr">
        <is>
          <t>CMD-0059</t>
        </is>
      </c>
      <c r="C662" s="43" t="inlineStr">
        <is>
          <t>S01</t>
        </is>
      </c>
      <c r="D662" s="47" t="n">
        <v>45791</v>
      </c>
      <c r="E662" s="47" t="n">
        <v>45812</v>
      </c>
      <c r="F662" s="47" t="n">
        <v>45811</v>
      </c>
      <c r="G662" s="46" t="n">
        <v>180823</v>
      </c>
      <c r="H662" s="46" t="n">
        <v>180823</v>
      </c>
      <c r="I662" s="46" t="n">
        <v>321</v>
      </c>
      <c r="J662" s="44" t="n">
        <v>0.0281</v>
      </c>
      <c r="K662" s="43" t="inlineStr">
        <is>
          <t>Received</t>
        </is>
      </c>
      <c r="L662" s="17">
        <f>INDEX(Items!$C$2:$C$117,MATCH(B662,Items!$A$2:$A$117,0))</f>
        <v/>
      </c>
      <c r="M662" s="49">
        <f>INDEX(Items!$E$2:$E$117,MATCH(B662,Items!$A$2:$A$117,0))</f>
        <v/>
      </c>
      <c r="N662" s="17">
        <f>TEXT(D662,"yyyy-mm")</f>
        <v/>
      </c>
      <c r="O662" s="50">
        <f>G662*J662</f>
        <v/>
      </c>
      <c r="P662" s="50">
        <f>(J662-M662)*G662</f>
        <v/>
      </c>
      <c r="Q662" s="51">
        <f>IF(K662="Received",1,0)</f>
        <v/>
      </c>
      <c r="R662" s="51">
        <f>IF(Q662=1,F662-D662,0)</f>
        <v/>
      </c>
      <c r="S662" s="51">
        <f>IF(Q662=1,IF(F662&lt;=E662,1,0),0)</f>
        <v/>
      </c>
      <c r="T662" s="51">
        <f>IF(Q662=1,IF(H662&gt;=G662,1,0),0)</f>
        <v/>
      </c>
      <c r="U662" s="51">
        <f>S662*T662</f>
        <v/>
      </c>
      <c r="V662" s="51">
        <f>IF(Q662=1,MAX(0,F662-E662),0)</f>
        <v/>
      </c>
    </row>
    <row r="663">
      <c r="A663" s="43" t="inlineStr">
        <is>
          <t>PO101089</t>
        </is>
      </c>
      <c r="B663" s="43" t="inlineStr">
        <is>
          <t>CMD-0050</t>
        </is>
      </c>
      <c r="C663" s="43" t="inlineStr">
        <is>
          <t>S10</t>
        </is>
      </c>
      <c r="D663" s="47" t="n">
        <v>45791</v>
      </c>
      <c r="E663" s="47" t="n">
        <v>45819</v>
      </c>
      <c r="F663" s="47" t="n">
        <v>45819</v>
      </c>
      <c r="G663" s="46" t="n">
        <v>81628</v>
      </c>
      <c r="H663" s="46" t="n">
        <v>81628</v>
      </c>
      <c r="I663" s="46" t="n">
        <v>100</v>
      </c>
      <c r="J663" s="44" t="n">
        <v>0.075</v>
      </c>
      <c r="K663" s="43" t="inlineStr">
        <is>
          <t>Received</t>
        </is>
      </c>
      <c r="L663" s="17">
        <f>INDEX(Items!$C$2:$C$117,MATCH(B663,Items!$A$2:$A$117,0))</f>
        <v/>
      </c>
      <c r="M663" s="49">
        <f>INDEX(Items!$E$2:$E$117,MATCH(B663,Items!$A$2:$A$117,0))</f>
        <v/>
      </c>
      <c r="N663" s="17">
        <f>TEXT(D663,"yyyy-mm")</f>
        <v/>
      </c>
      <c r="O663" s="50">
        <f>G663*J663</f>
        <v/>
      </c>
      <c r="P663" s="50">
        <f>(J663-M663)*G663</f>
        <v/>
      </c>
      <c r="Q663" s="51">
        <f>IF(K663="Received",1,0)</f>
        <v/>
      </c>
      <c r="R663" s="51">
        <f>IF(Q663=1,F663-D663,0)</f>
        <v/>
      </c>
      <c r="S663" s="51">
        <f>IF(Q663=1,IF(F663&lt;=E663,1,0),0)</f>
        <v/>
      </c>
      <c r="T663" s="51">
        <f>IF(Q663=1,IF(H663&gt;=G663,1,0),0)</f>
        <v/>
      </c>
      <c r="U663" s="51">
        <f>S663*T663</f>
        <v/>
      </c>
      <c r="V663" s="51">
        <f>IF(Q663=1,MAX(0,F663-E663),0)</f>
        <v/>
      </c>
    </row>
    <row r="664">
      <c r="A664" s="43" t="inlineStr">
        <is>
          <t>PO100299</t>
        </is>
      </c>
      <c r="B664" s="43" t="inlineStr">
        <is>
          <t>CMD-0014</t>
        </is>
      </c>
      <c r="C664" s="43" t="inlineStr">
        <is>
          <t>S03</t>
        </is>
      </c>
      <c r="D664" s="47" t="n">
        <v>45791</v>
      </c>
      <c r="E664" s="47" t="n">
        <v>45924</v>
      </c>
      <c r="F664" s="47" t="n">
        <v>45923</v>
      </c>
      <c r="G664" s="46" t="n">
        <v>5088</v>
      </c>
      <c r="H664" s="46" t="n">
        <v>5088</v>
      </c>
      <c r="I664" s="46" t="n">
        <v>31</v>
      </c>
      <c r="J664" s="44" t="n">
        <v>12.62</v>
      </c>
      <c r="K664" s="43" t="inlineStr">
        <is>
          <t>Received</t>
        </is>
      </c>
      <c r="L664" s="17">
        <f>INDEX(Items!$C$2:$C$117,MATCH(B664,Items!$A$2:$A$117,0))</f>
        <v/>
      </c>
      <c r="M664" s="49">
        <f>INDEX(Items!$E$2:$E$117,MATCH(B664,Items!$A$2:$A$117,0))</f>
        <v/>
      </c>
      <c r="N664" s="17">
        <f>TEXT(D664,"yyyy-mm")</f>
        <v/>
      </c>
      <c r="O664" s="50">
        <f>G664*J664</f>
        <v/>
      </c>
      <c r="P664" s="50">
        <f>(J664-M664)*G664</f>
        <v/>
      </c>
      <c r="Q664" s="51">
        <f>IF(K664="Received",1,0)</f>
        <v/>
      </c>
      <c r="R664" s="51">
        <f>IF(Q664=1,F664-D664,0)</f>
        <v/>
      </c>
      <c r="S664" s="51">
        <f>IF(Q664=1,IF(F664&lt;=E664,1,0),0)</f>
        <v/>
      </c>
      <c r="T664" s="51">
        <f>IF(Q664=1,IF(H664&gt;=G664,1,0),0)</f>
        <v/>
      </c>
      <c r="U664" s="51">
        <f>S664*T664</f>
        <v/>
      </c>
      <c r="V664" s="51">
        <f>IF(Q664=1,MAX(0,F664-E664),0)</f>
        <v/>
      </c>
    </row>
    <row r="665">
      <c r="A665" s="43" t="inlineStr">
        <is>
          <t>PO101439</t>
        </is>
      </c>
      <c r="B665" s="43" t="inlineStr">
        <is>
          <t>CMD-0077</t>
        </is>
      </c>
      <c r="C665" s="43" t="inlineStr">
        <is>
          <t>S01</t>
        </is>
      </c>
      <c r="D665" s="47" t="n">
        <v>45791</v>
      </c>
      <c r="E665" s="47" t="n">
        <v>45805</v>
      </c>
      <c r="F665" s="47" t="n">
        <v>45803</v>
      </c>
      <c r="G665" s="46" t="n">
        <v>3537</v>
      </c>
      <c r="H665" s="46" t="n">
        <v>3537</v>
      </c>
      <c r="I665" s="46" t="n">
        <v>8</v>
      </c>
      <c r="J665" s="44" t="n">
        <v>8.75</v>
      </c>
      <c r="K665" s="43" t="inlineStr">
        <is>
          <t>Received</t>
        </is>
      </c>
      <c r="L665" s="17">
        <f>INDEX(Items!$C$2:$C$117,MATCH(B665,Items!$A$2:$A$117,0))</f>
        <v/>
      </c>
      <c r="M665" s="49">
        <f>INDEX(Items!$E$2:$E$117,MATCH(B665,Items!$A$2:$A$117,0))</f>
        <v/>
      </c>
      <c r="N665" s="17">
        <f>TEXT(D665,"yyyy-mm")</f>
        <v/>
      </c>
      <c r="O665" s="50">
        <f>G665*J665</f>
        <v/>
      </c>
      <c r="P665" s="50">
        <f>(J665-M665)*G665</f>
        <v/>
      </c>
      <c r="Q665" s="51">
        <f>IF(K665="Received",1,0)</f>
        <v/>
      </c>
      <c r="R665" s="51">
        <f>IF(Q665=1,F665-D665,0)</f>
        <v/>
      </c>
      <c r="S665" s="51">
        <f>IF(Q665=1,IF(F665&lt;=E665,1,0),0)</f>
        <v/>
      </c>
      <c r="T665" s="51">
        <f>IF(Q665=1,IF(H665&gt;=G665,1,0),0)</f>
        <v/>
      </c>
      <c r="U665" s="51">
        <f>S665*T665</f>
        <v/>
      </c>
      <c r="V665" s="51">
        <f>IF(Q665=1,MAX(0,F665-E665),0)</f>
        <v/>
      </c>
    </row>
    <row r="666">
      <c r="A666" s="43" t="inlineStr">
        <is>
          <t>PO100151</t>
        </is>
      </c>
      <c r="B666" s="43" t="inlineStr">
        <is>
          <t>CMD-0007</t>
        </is>
      </c>
      <c r="C666" s="43" t="inlineStr">
        <is>
          <t>S03</t>
        </is>
      </c>
      <c r="D666" s="47" t="n">
        <v>45791</v>
      </c>
      <c r="E666" s="47" t="n">
        <v>45924</v>
      </c>
      <c r="F666" s="47" t="n">
        <v>45976</v>
      </c>
      <c r="G666" s="46" t="n">
        <v>4764</v>
      </c>
      <c r="H666" s="46" t="n">
        <v>3005</v>
      </c>
      <c r="I666" s="46" t="n">
        <v>28</v>
      </c>
      <c r="J666" s="44" t="n">
        <v>19.39</v>
      </c>
      <c r="K666" s="43" t="inlineStr">
        <is>
          <t>Received</t>
        </is>
      </c>
      <c r="L666" s="17">
        <f>INDEX(Items!$C$2:$C$117,MATCH(B666,Items!$A$2:$A$117,0))</f>
        <v/>
      </c>
      <c r="M666" s="49">
        <f>INDEX(Items!$E$2:$E$117,MATCH(B666,Items!$A$2:$A$117,0))</f>
        <v/>
      </c>
      <c r="N666" s="17">
        <f>TEXT(D666,"yyyy-mm")</f>
        <v/>
      </c>
      <c r="O666" s="50">
        <f>G666*J666</f>
        <v/>
      </c>
      <c r="P666" s="50">
        <f>(J666-M666)*G666</f>
        <v/>
      </c>
      <c r="Q666" s="51">
        <f>IF(K666="Received",1,0)</f>
        <v/>
      </c>
      <c r="R666" s="51">
        <f>IF(Q666=1,F666-D666,0)</f>
        <v/>
      </c>
      <c r="S666" s="51">
        <f>IF(Q666=1,IF(F666&lt;=E666,1,0),0)</f>
        <v/>
      </c>
      <c r="T666" s="51">
        <f>IF(Q666=1,IF(H666&gt;=G666,1,0),0)</f>
        <v/>
      </c>
      <c r="U666" s="51">
        <f>S666*T666</f>
        <v/>
      </c>
      <c r="V666" s="51">
        <f>IF(Q666=1,MAX(0,F666-E666),0)</f>
        <v/>
      </c>
    </row>
    <row r="667">
      <c r="A667" s="43" t="inlineStr">
        <is>
          <t>PO101110</t>
        </is>
      </c>
      <c r="B667" s="43" t="inlineStr">
        <is>
          <t>CMD-0051</t>
        </is>
      </c>
      <c r="C667" s="43" t="inlineStr">
        <is>
          <t>S01</t>
        </is>
      </c>
      <c r="D667" s="47" t="n">
        <v>45791</v>
      </c>
      <c r="E667" s="47" t="n">
        <v>45812</v>
      </c>
      <c r="F667" s="47" t="n">
        <v>45812</v>
      </c>
      <c r="G667" s="46" t="n">
        <v>241902</v>
      </c>
      <c r="H667" s="46" t="n">
        <v>241902</v>
      </c>
      <c r="I667" s="46" t="n">
        <v>479</v>
      </c>
      <c r="J667" s="44" t="n">
        <v>0.0236</v>
      </c>
      <c r="K667" s="43" t="inlineStr">
        <is>
          <t>Received</t>
        </is>
      </c>
      <c r="L667" s="17">
        <f>INDEX(Items!$C$2:$C$117,MATCH(B667,Items!$A$2:$A$117,0))</f>
        <v/>
      </c>
      <c r="M667" s="49">
        <f>INDEX(Items!$E$2:$E$117,MATCH(B667,Items!$A$2:$A$117,0))</f>
        <v/>
      </c>
      <c r="N667" s="17">
        <f>TEXT(D667,"yyyy-mm")</f>
        <v/>
      </c>
      <c r="O667" s="50">
        <f>G667*J667</f>
        <v/>
      </c>
      <c r="P667" s="50">
        <f>(J667-M667)*G667</f>
        <v/>
      </c>
      <c r="Q667" s="51">
        <f>IF(K667="Received",1,0)</f>
        <v/>
      </c>
      <c r="R667" s="51">
        <f>IF(Q667=1,F667-D667,0)</f>
        <v/>
      </c>
      <c r="S667" s="51">
        <f>IF(Q667=1,IF(F667&lt;=E667,1,0),0)</f>
        <v/>
      </c>
      <c r="T667" s="51">
        <f>IF(Q667=1,IF(H667&gt;=G667,1,0),0)</f>
        <v/>
      </c>
      <c r="U667" s="51">
        <f>S667*T667</f>
        <v/>
      </c>
      <c r="V667" s="51">
        <f>IF(Q667=1,MAX(0,F667-E667),0)</f>
        <v/>
      </c>
    </row>
    <row r="668">
      <c r="A668" s="43" t="inlineStr">
        <is>
          <t>PO100671</t>
        </is>
      </c>
      <c r="B668" s="43" t="inlineStr">
        <is>
          <t>CMD-0030</t>
        </is>
      </c>
      <c r="C668" s="43" t="inlineStr">
        <is>
          <t>S11</t>
        </is>
      </c>
      <c r="D668" s="47" t="n">
        <v>45791</v>
      </c>
      <c r="E668" s="47" t="n">
        <v>45868</v>
      </c>
      <c r="F668" s="47" t="n">
        <v>45866</v>
      </c>
      <c r="G668" s="46" t="n">
        <v>7897</v>
      </c>
      <c r="H668" s="46" t="n">
        <v>7897</v>
      </c>
      <c r="I668" s="46" t="n">
        <v>24</v>
      </c>
      <c r="J668" s="44" t="n">
        <v>23.19</v>
      </c>
      <c r="K668" s="43" t="inlineStr">
        <is>
          <t>Received</t>
        </is>
      </c>
      <c r="L668" s="17">
        <f>INDEX(Items!$C$2:$C$117,MATCH(B668,Items!$A$2:$A$117,0))</f>
        <v/>
      </c>
      <c r="M668" s="49">
        <f>INDEX(Items!$E$2:$E$117,MATCH(B668,Items!$A$2:$A$117,0))</f>
        <v/>
      </c>
      <c r="N668" s="17">
        <f>TEXT(D668,"yyyy-mm")</f>
        <v/>
      </c>
      <c r="O668" s="50">
        <f>G668*J668</f>
        <v/>
      </c>
      <c r="P668" s="50">
        <f>(J668-M668)*G668</f>
        <v/>
      </c>
      <c r="Q668" s="51">
        <f>IF(K668="Received",1,0)</f>
        <v/>
      </c>
      <c r="R668" s="51">
        <f>IF(Q668=1,F668-D668,0)</f>
        <v/>
      </c>
      <c r="S668" s="51">
        <f>IF(Q668=1,IF(F668&lt;=E668,1,0),0)</f>
        <v/>
      </c>
      <c r="T668" s="51">
        <f>IF(Q668=1,IF(H668&gt;=G668,1,0),0)</f>
        <v/>
      </c>
      <c r="U668" s="51">
        <f>S668*T668</f>
        <v/>
      </c>
      <c r="V668" s="51">
        <f>IF(Q668=1,MAX(0,F668-E668),0)</f>
        <v/>
      </c>
    </row>
    <row r="669">
      <c r="A669" s="43" t="inlineStr">
        <is>
          <t>PO101348</t>
        </is>
      </c>
      <c r="B669" s="43" t="inlineStr">
        <is>
          <t>CMD-0068</t>
        </is>
      </c>
      <c r="C669" s="43" t="inlineStr">
        <is>
          <t>S01</t>
        </is>
      </c>
      <c r="D669" s="47" t="n">
        <v>45799</v>
      </c>
      <c r="E669" s="47" t="n">
        <v>45820</v>
      </c>
      <c r="F669" s="47" t="n">
        <v>45818</v>
      </c>
      <c r="G669" s="46" t="n">
        <v>36408</v>
      </c>
      <c r="H669" s="46" t="n">
        <v>36408</v>
      </c>
      <c r="I669" s="46" t="n">
        <v>61</v>
      </c>
      <c r="J669" s="44" t="n">
        <v>0.1562</v>
      </c>
      <c r="K669" s="43" t="inlineStr">
        <is>
          <t>Received</t>
        </is>
      </c>
      <c r="L669" s="17">
        <f>INDEX(Items!$C$2:$C$117,MATCH(B669,Items!$A$2:$A$117,0))</f>
        <v/>
      </c>
      <c r="M669" s="49">
        <f>INDEX(Items!$E$2:$E$117,MATCH(B669,Items!$A$2:$A$117,0))</f>
        <v/>
      </c>
      <c r="N669" s="17">
        <f>TEXT(D669,"yyyy-mm")</f>
        <v/>
      </c>
      <c r="O669" s="50">
        <f>G669*J669</f>
        <v/>
      </c>
      <c r="P669" s="50">
        <f>(J669-M669)*G669</f>
        <v/>
      </c>
      <c r="Q669" s="51">
        <f>IF(K669="Received",1,0)</f>
        <v/>
      </c>
      <c r="R669" s="51">
        <f>IF(Q669=1,F669-D669,0)</f>
        <v/>
      </c>
      <c r="S669" s="51">
        <f>IF(Q669=1,IF(F669&lt;=E669,1,0),0)</f>
        <v/>
      </c>
      <c r="T669" s="51">
        <f>IF(Q669=1,IF(H669&gt;=G669,1,0),0)</f>
        <v/>
      </c>
      <c r="U669" s="51">
        <f>S669*T669</f>
        <v/>
      </c>
      <c r="V669" s="51">
        <f>IF(Q669=1,MAX(0,F669-E669),0)</f>
        <v/>
      </c>
    </row>
    <row r="670">
      <c r="A670" s="43" t="inlineStr">
        <is>
          <t>PO101363</t>
        </is>
      </c>
      <c r="B670" s="43" t="inlineStr">
        <is>
          <t>CMD-0069</t>
        </is>
      </c>
      <c r="C670" s="43" t="inlineStr">
        <is>
          <t>S04</t>
        </is>
      </c>
      <c r="D670" s="47" t="n">
        <v>45804</v>
      </c>
      <c r="E670" s="47" t="n">
        <v>45839</v>
      </c>
      <c r="F670" s="47" t="n">
        <v>45838</v>
      </c>
      <c r="G670" s="46" t="n">
        <v>43301</v>
      </c>
      <c r="H670" s="46" t="n">
        <v>43301</v>
      </c>
      <c r="I670" s="46" t="n">
        <v>434</v>
      </c>
      <c r="J670" s="44" t="n">
        <v>0.0222</v>
      </c>
      <c r="K670" s="43" t="inlineStr">
        <is>
          <t>Received</t>
        </is>
      </c>
      <c r="L670" s="17">
        <f>INDEX(Items!$C$2:$C$117,MATCH(B670,Items!$A$2:$A$117,0))</f>
        <v/>
      </c>
      <c r="M670" s="49">
        <f>INDEX(Items!$E$2:$E$117,MATCH(B670,Items!$A$2:$A$117,0))</f>
        <v/>
      </c>
      <c r="N670" s="17">
        <f>TEXT(D670,"yyyy-mm")</f>
        <v/>
      </c>
      <c r="O670" s="50">
        <f>G670*J670</f>
        <v/>
      </c>
      <c r="P670" s="50">
        <f>(J670-M670)*G670</f>
        <v/>
      </c>
      <c r="Q670" s="51">
        <f>IF(K670="Received",1,0)</f>
        <v/>
      </c>
      <c r="R670" s="51">
        <f>IF(Q670=1,F670-D670,0)</f>
        <v/>
      </c>
      <c r="S670" s="51">
        <f>IF(Q670=1,IF(F670&lt;=E670,1,0),0)</f>
        <v/>
      </c>
      <c r="T670" s="51">
        <f>IF(Q670=1,IF(H670&gt;=G670,1,0),0)</f>
        <v/>
      </c>
      <c r="U670" s="51">
        <f>S670*T670</f>
        <v/>
      </c>
      <c r="V670" s="51">
        <f>IF(Q670=1,MAX(0,F670-E670),0)</f>
        <v/>
      </c>
    </row>
    <row r="671">
      <c r="A671" s="43" t="inlineStr">
        <is>
          <t>PO101301</t>
        </is>
      </c>
      <c r="B671" s="43" t="inlineStr">
        <is>
          <t>CMD-0063</t>
        </is>
      </c>
      <c r="C671" s="43" t="inlineStr">
        <is>
          <t>S01</t>
        </is>
      </c>
      <c r="D671" s="47" t="n">
        <v>45805</v>
      </c>
      <c r="E671" s="47" t="n">
        <v>45826</v>
      </c>
      <c r="F671" s="47" t="n">
        <v>45823</v>
      </c>
      <c r="G671" s="46" t="n">
        <v>82179</v>
      </c>
      <c r="H671" s="46" t="n">
        <v>82179</v>
      </c>
      <c r="I671" s="46" t="n">
        <v>151</v>
      </c>
      <c r="J671" s="44" t="n">
        <v>0.0371</v>
      </c>
      <c r="K671" s="43" t="inlineStr">
        <is>
          <t>Received</t>
        </is>
      </c>
      <c r="L671" s="17">
        <f>INDEX(Items!$C$2:$C$117,MATCH(B671,Items!$A$2:$A$117,0))</f>
        <v/>
      </c>
      <c r="M671" s="49">
        <f>INDEX(Items!$E$2:$E$117,MATCH(B671,Items!$A$2:$A$117,0))</f>
        <v/>
      </c>
      <c r="N671" s="17">
        <f>TEXT(D671,"yyyy-mm")</f>
        <v/>
      </c>
      <c r="O671" s="50">
        <f>G671*J671</f>
        <v/>
      </c>
      <c r="P671" s="50">
        <f>(J671-M671)*G671</f>
        <v/>
      </c>
      <c r="Q671" s="51">
        <f>IF(K671="Received",1,0)</f>
        <v/>
      </c>
      <c r="R671" s="51">
        <f>IF(Q671=1,F671-D671,0)</f>
        <v/>
      </c>
      <c r="S671" s="51">
        <f>IF(Q671=1,IF(F671&lt;=E671,1,0),0)</f>
        <v/>
      </c>
      <c r="T671" s="51">
        <f>IF(Q671=1,IF(H671&gt;=G671,1,0),0)</f>
        <v/>
      </c>
      <c r="U671" s="51">
        <f>S671*T671</f>
        <v/>
      </c>
      <c r="V671" s="51">
        <f>IF(Q671=1,MAX(0,F671-E671),0)</f>
        <v/>
      </c>
    </row>
    <row r="672">
      <c r="A672" s="43" t="inlineStr">
        <is>
          <t>PO101393</t>
        </is>
      </c>
      <c r="B672" s="43" t="inlineStr">
        <is>
          <t>CMD-0073</t>
        </is>
      </c>
      <c r="C672" s="43" t="inlineStr">
        <is>
          <t>S04</t>
        </is>
      </c>
      <c r="D672" s="47" t="n">
        <v>45805</v>
      </c>
      <c r="E672" s="47" t="n">
        <v>45840</v>
      </c>
      <c r="F672" s="47" t="n">
        <v>45848</v>
      </c>
      <c r="G672" s="46" t="n">
        <v>391866</v>
      </c>
      <c r="H672" s="46" t="n">
        <v>391866</v>
      </c>
      <c r="I672" s="46" t="n">
        <v>3972</v>
      </c>
      <c r="J672" s="44" t="n">
        <v>0.0146</v>
      </c>
      <c r="K672" s="43" t="inlineStr">
        <is>
          <t>Received</t>
        </is>
      </c>
      <c r="L672" s="17">
        <f>INDEX(Items!$C$2:$C$117,MATCH(B672,Items!$A$2:$A$117,0))</f>
        <v/>
      </c>
      <c r="M672" s="49">
        <f>INDEX(Items!$E$2:$E$117,MATCH(B672,Items!$A$2:$A$117,0))</f>
        <v/>
      </c>
      <c r="N672" s="17">
        <f>TEXT(D672,"yyyy-mm")</f>
        <v/>
      </c>
      <c r="O672" s="50">
        <f>G672*J672</f>
        <v/>
      </c>
      <c r="P672" s="50">
        <f>(J672-M672)*G672</f>
        <v/>
      </c>
      <c r="Q672" s="51">
        <f>IF(K672="Received",1,0)</f>
        <v/>
      </c>
      <c r="R672" s="51">
        <f>IF(Q672=1,F672-D672,0)</f>
        <v/>
      </c>
      <c r="S672" s="51">
        <f>IF(Q672=1,IF(F672&lt;=E672,1,0),0)</f>
        <v/>
      </c>
      <c r="T672" s="51">
        <f>IF(Q672=1,IF(H672&gt;=G672,1,0),0)</f>
        <v/>
      </c>
      <c r="U672" s="51">
        <f>S672*T672</f>
        <v/>
      </c>
      <c r="V672" s="51">
        <f>IF(Q672=1,MAX(0,F672-E672),0)</f>
        <v/>
      </c>
    </row>
    <row r="673">
      <c r="A673" s="43" t="inlineStr">
        <is>
          <t>PO102017</t>
        </is>
      </c>
      <c r="B673" s="43" t="inlineStr">
        <is>
          <t>CMD-0115</t>
        </is>
      </c>
      <c r="C673" s="43" t="inlineStr">
        <is>
          <t>S12</t>
        </is>
      </c>
      <c r="D673" s="47" t="n">
        <v>45806</v>
      </c>
      <c r="E673" s="47" t="n">
        <v>45813</v>
      </c>
      <c r="F673" s="47" t="n">
        <v>45810</v>
      </c>
      <c r="G673" s="46" t="n">
        <v>8442</v>
      </c>
      <c r="H673" s="46" t="n">
        <v>8442</v>
      </c>
      <c r="I673" s="46" t="n">
        <v>6</v>
      </c>
      <c r="J673" s="44" t="n">
        <v>0.5566</v>
      </c>
      <c r="K673" s="43" t="inlineStr">
        <is>
          <t>Received</t>
        </is>
      </c>
      <c r="L673" s="17">
        <f>INDEX(Items!$C$2:$C$117,MATCH(B673,Items!$A$2:$A$117,0))</f>
        <v/>
      </c>
      <c r="M673" s="49">
        <f>INDEX(Items!$E$2:$E$117,MATCH(B673,Items!$A$2:$A$117,0))</f>
        <v/>
      </c>
      <c r="N673" s="17">
        <f>TEXT(D673,"yyyy-mm")</f>
        <v/>
      </c>
      <c r="O673" s="50">
        <f>G673*J673</f>
        <v/>
      </c>
      <c r="P673" s="50">
        <f>(J673-M673)*G673</f>
        <v/>
      </c>
      <c r="Q673" s="51">
        <f>IF(K673="Received",1,0)</f>
        <v/>
      </c>
      <c r="R673" s="51">
        <f>IF(Q673=1,F673-D673,0)</f>
        <v/>
      </c>
      <c r="S673" s="51">
        <f>IF(Q673=1,IF(F673&lt;=E673,1,0),0)</f>
        <v/>
      </c>
      <c r="T673" s="51">
        <f>IF(Q673=1,IF(H673&gt;=G673,1,0),0)</f>
        <v/>
      </c>
      <c r="U673" s="51">
        <f>S673*T673</f>
        <v/>
      </c>
      <c r="V673" s="51">
        <f>IF(Q673=1,MAX(0,F673-E673),0)</f>
        <v/>
      </c>
    </row>
    <row r="674">
      <c r="A674" s="43" t="inlineStr">
        <is>
          <t>PO101991</t>
        </is>
      </c>
      <c r="B674" s="43" t="inlineStr">
        <is>
          <t>CMD-0111</t>
        </is>
      </c>
      <c r="C674" s="43" t="inlineStr">
        <is>
          <t>S12</t>
        </is>
      </c>
      <c r="D674" s="47" t="n">
        <v>45806</v>
      </c>
      <c r="E674" s="47" t="n">
        <v>45813</v>
      </c>
      <c r="F674" s="47" t="n">
        <v>45810</v>
      </c>
      <c r="G674" s="46" t="n">
        <v>5000</v>
      </c>
      <c r="H674" s="46" t="n">
        <v>5000</v>
      </c>
      <c r="I674" s="46" t="n">
        <v>4</v>
      </c>
      <c r="J674" s="44" t="n">
        <v>0.2926</v>
      </c>
      <c r="K674" s="43" t="inlineStr">
        <is>
          <t>Received</t>
        </is>
      </c>
      <c r="L674" s="17">
        <f>INDEX(Items!$C$2:$C$117,MATCH(B674,Items!$A$2:$A$117,0))</f>
        <v/>
      </c>
      <c r="M674" s="49">
        <f>INDEX(Items!$E$2:$E$117,MATCH(B674,Items!$A$2:$A$117,0))</f>
        <v/>
      </c>
      <c r="N674" s="17">
        <f>TEXT(D674,"yyyy-mm")</f>
        <v/>
      </c>
      <c r="O674" s="50">
        <f>G674*J674</f>
        <v/>
      </c>
      <c r="P674" s="50">
        <f>(J674-M674)*G674</f>
        <v/>
      </c>
      <c r="Q674" s="51">
        <f>IF(K674="Received",1,0)</f>
        <v/>
      </c>
      <c r="R674" s="51">
        <f>IF(Q674=1,F674-D674,0)</f>
        <v/>
      </c>
      <c r="S674" s="51">
        <f>IF(Q674=1,IF(F674&lt;=E674,1,0),0)</f>
        <v/>
      </c>
      <c r="T674" s="51">
        <f>IF(Q674=1,IF(H674&gt;=G674,1,0),0)</f>
        <v/>
      </c>
      <c r="U674" s="51">
        <f>S674*T674</f>
        <v/>
      </c>
      <c r="V674" s="51">
        <f>IF(Q674=1,MAX(0,F674-E674),0)</f>
        <v/>
      </c>
    </row>
    <row r="675">
      <c r="A675" s="43" t="inlineStr">
        <is>
          <t>PO101389</t>
        </is>
      </c>
      <c r="B675" s="43" t="inlineStr">
        <is>
          <t>CMD-0072</t>
        </is>
      </c>
      <c r="C675" s="43" t="inlineStr">
        <is>
          <t>S01</t>
        </is>
      </c>
      <c r="D675" s="47" t="n">
        <v>45806</v>
      </c>
      <c r="E675" s="47" t="n">
        <v>45827</v>
      </c>
      <c r="F675" s="47" t="n">
        <v>45826</v>
      </c>
      <c r="G675" s="46" t="n">
        <v>77885</v>
      </c>
      <c r="H675" s="46" t="n">
        <v>77885</v>
      </c>
      <c r="I675" s="46" t="n">
        <v>137</v>
      </c>
      <c r="J675" s="44" t="n">
        <v>0.093</v>
      </c>
      <c r="K675" s="43" t="inlineStr">
        <is>
          <t>Received</t>
        </is>
      </c>
      <c r="L675" s="17">
        <f>INDEX(Items!$C$2:$C$117,MATCH(B675,Items!$A$2:$A$117,0))</f>
        <v/>
      </c>
      <c r="M675" s="49">
        <f>INDEX(Items!$E$2:$E$117,MATCH(B675,Items!$A$2:$A$117,0))</f>
        <v/>
      </c>
      <c r="N675" s="17">
        <f>TEXT(D675,"yyyy-mm")</f>
        <v/>
      </c>
      <c r="O675" s="50">
        <f>G675*J675</f>
        <v/>
      </c>
      <c r="P675" s="50">
        <f>(J675-M675)*G675</f>
        <v/>
      </c>
      <c r="Q675" s="51">
        <f>IF(K675="Received",1,0)</f>
        <v/>
      </c>
      <c r="R675" s="51">
        <f>IF(Q675=1,F675-D675,0)</f>
        <v/>
      </c>
      <c r="S675" s="51">
        <f>IF(Q675=1,IF(F675&lt;=E675,1,0),0)</f>
        <v/>
      </c>
      <c r="T675" s="51">
        <f>IF(Q675=1,IF(H675&gt;=G675,1,0),0)</f>
        <v/>
      </c>
      <c r="U675" s="51">
        <f>S675*T675</f>
        <v/>
      </c>
      <c r="V675" s="51">
        <f>IF(Q675=1,MAX(0,F675-E675),0)</f>
        <v/>
      </c>
    </row>
    <row r="676">
      <c r="A676" s="43" t="inlineStr">
        <is>
          <t>PO101597</t>
        </is>
      </c>
      <c r="B676" s="43" t="inlineStr">
        <is>
          <t>CMD-0088</t>
        </is>
      </c>
      <c r="C676" s="43" t="inlineStr">
        <is>
          <t>S06</t>
        </is>
      </c>
      <c r="D676" s="47" t="n">
        <v>45806</v>
      </c>
      <c r="E676" s="47" t="n">
        <v>45827</v>
      </c>
      <c r="F676" s="47" t="n">
        <v>45824</v>
      </c>
      <c r="G676" s="46" t="n">
        <v>1941</v>
      </c>
      <c r="H676" s="46" t="n">
        <v>1941</v>
      </c>
      <c r="I676" s="46" t="n">
        <v>18</v>
      </c>
      <c r="J676" s="44" t="n">
        <v>2.43</v>
      </c>
      <c r="K676" s="43" t="inlineStr">
        <is>
          <t>Received</t>
        </is>
      </c>
      <c r="L676" s="17">
        <f>INDEX(Items!$C$2:$C$117,MATCH(B676,Items!$A$2:$A$117,0))</f>
        <v/>
      </c>
      <c r="M676" s="49">
        <f>INDEX(Items!$E$2:$E$117,MATCH(B676,Items!$A$2:$A$117,0))</f>
        <v/>
      </c>
      <c r="N676" s="17">
        <f>TEXT(D676,"yyyy-mm")</f>
        <v/>
      </c>
      <c r="O676" s="50">
        <f>G676*J676</f>
        <v/>
      </c>
      <c r="P676" s="50">
        <f>(J676-M676)*G676</f>
        <v/>
      </c>
      <c r="Q676" s="51">
        <f>IF(K676="Received",1,0)</f>
        <v/>
      </c>
      <c r="R676" s="51">
        <f>IF(Q676=1,F676-D676,0)</f>
        <v/>
      </c>
      <c r="S676" s="51">
        <f>IF(Q676=1,IF(F676&lt;=E676,1,0),0)</f>
        <v/>
      </c>
      <c r="T676" s="51">
        <f>IF(Q676=1,IF(H676&gt;=G676,1,0),0)</f>
        <v/>
      </c>
      <c r="U676" s="51">
        <f>S676*T676</f>
        <v/>
      </c>
      <c r="V676" s="51">
        <f>IF(Q676=1,MAX(0,F676-E676),0)</f>
        <v/>
      </c>
    </row>
    <row r="677">
      <c r="A677" s="43" t="inlineStr">
        <is>
          <t>PO101561</t>
        </is>
      </c>
      <c r="B677" s="43" t="inlineStr">
        <is>
          <t>CMD-0084</t>
        </is>
      </c>
      <c r="C677" s="43" t="inlineStr">
        <is>
          <t>S06</t>
        </is>
      </c>
      <c r="D677" s="47" t="n">
        <v>45806</v>
      </c>
      <c r="E677" s="47" t="n">
        <v>45827</v>
      </c>
      <c r="F677" s="47" t="n">
        <v>45827</v>
      </c>
      <c r="G677" s="46" t="n">
        <v>4668</v>
      </c>
      <c r="H677" s="46" t="n">
        <v>4668</v>
      </c>
      <c r="I677" s="46" t="n">
        <v>26</v>
      </c>
      <c r="J677" s="44" t="n">
        <v>1.15</v>
      </c>
      <c r="K677" s="43" t="inlineStr">
        <is>
          <t>Received</t>
        </is>
      </c>
      <c r="L677" s="17">
        <f>INDEX(Items!$C$2:$C$117,MATCH(B677,Items!$A$2:$A$117,0))</f>
        <v/>
      </c>
      <c r="M677" s="49">
        <f>INDEX(Items!$E$2:$E$117,MATCH(B677,Items!$A$2:$A$117,0))</f>
        <v/>
      </c>
      <c r="N677" s="17">
        <f>TEXT(D677,"yyyy-mm")</f>
        <v/>
      </c>
      <c r="O677" s="50">
        <f>G677*J677</f>
        <v/>
      </c>
      <c r="P677" s="50">
        <f>(J677-M677)*G677</f>
        <v/>
      </c>
      <c r="Q677" s="51">
        <f>IF(K677="Received",1,0)</f>
        <v/>
      </c>
      <c r="R677" s="51">
        <f>IF(Q677=1,F677-D677,0)</f>
        <v/>
      </c>
      <c r="S677" s="51">
        <f>IF(Q677=1,IF(F677&lt;=E677,1,0),0)</f>
        <v/>
      </c>
      <c r="T677" s="51">
        <f>IF(Q677=1,IF(H677&gt;=G677,1,0),0)</f>
        <v/>
      </c>
      <c r="U677" s="51">
        <f>S677*T677</f>
        <v/>
      </c>
      <c r="V677" s="51">
        <f>IF(Q677=1,MAX(0,F677-E677),0)</f>
        <v/>
      </c>
    </row>
    <row r="678">
      <c r="A678" s="43" t="inlineStr">
        <is>
          <t>PO101557</t>
        </is>
      </c>
      <c r="B678" s="43" t="inlineStr">
        <is>
          <t>CMD-0083</t>
        </is>
      </c>
      <c r="C678" s="43" t="inlineStr">
        <is>
          <t>S06</t>
        </is>
      </c>
      <c r="D678" s="47" t="n">
        <v>45807</v>
      </c>
      <c r="E678" s="47" t="n">
        <v>45828</v>
      </c>
      <c r="F678" s="47" t="n">
        <v>45825</v>
      </c>
      <c r="G678" s="46" t="n">
        <v>8367</v>
      </c>
      <c r="H678" s="46" t="n">
        <v>8367</v>
      </c>
      <c r="I678" s="46" t="n">
        <v>31</v>
      </c>
      <c r="J678" s="44" t="n">
        <v>0.7288</v>
      </c>
      <c r="K678" s="43" t="inlineStr">
        <is>
          <t>Received</t>
        </is>
      </c>
      <c r="L678" s="17">
        <f>INDEX(Items!$C$2:$C$117,MATCH(B678,Items!$A$2:$A$117,0))</f>
        <v/>
      </c>
      <c r="M678" s="49">
        <f>INDEX(Items!$E$2:$E$117,MATCH(B678,Items!$A$2:$A$117,0))</f>
        <v/>
      </c>
      <c r="N678" s="17">
        <f>TEXT(D678,"yyyy-mm")</f>
        <v/>
      </c>
      <c r="O678" s="50">
        <f>G678*J678</f>
        <v/>
      </c>
      <c r="P678" s="50">
        <f>(J678-M678)*G678</f>
        <v/>
      </c>
      <c r="Q678" s="51">
        <f>IF(K678="Received",1,0)</f>
        <v/>
      </c>
      <c r="R678" s="51">
        <f>IF(Q678=1,F678-D678,0)</f>
        <v/>
      </c>
      <c r="S678" s="51">
        <f>IF(Q678=1,IF(F678&lt;=E678,1,0),0)</f>
        <v/>
      </c>
      <c r="T678" s="51">
        <f>IF(Q678=1,IF(H678&gt;=G678,1,0),0)</f>
        <v/>
      </c>
      <c r="U678" s="51">
        <f>S678*T678</f>
        <v/>
      </c>
      <c r="V678" s="51">
        <f>IF(Q678=1,MAX(0,F678-E678),0)</f>
        <v/>
      </c>
    </row>
    <row r="679">
      <c r="A679" s="43" t="inlineStr">
        <is>
          <t>PO101897</t>
        </is>
      </c>
      <c r="B679" s="43" t="inlineStr">
        <is>
          <t>CMD-0103</t>
        </is>
      </c>
      <c r="C679" s="43" t="inlineStr">
        <is>
          <t>S09</t>
        </is>
      </c>
      <c r="D679" s="47" t="n">
        <v>45807</v>
      </c>
      <c r="E679" s="47" t="n">
        <v>45828</v>
      </c>
      <c r="F679" s="47" t="n">
        <v>45825</v>
      </c>
      <c r="G679" s="46" t="n">
        <v>1514</v>
      </c>
      <c r="H679" s="46" t="n">
        <v>1514</v>
      </c>
      <c r="I679" s="46" t="n">
        <v>7</v>
      </c>
      <c r="J679" s="44" t="n">
        <v>4.18</v>
      </c>
      <c r="K679" s="43" t="inlineStr">
        <is>
          <t>Received</t>
        </is>
      </c>
      <c r="L679" s="17">
        <f>INDEX(Items!$C$2:$C$117,MATCH(B679,Items!$A$2:$A$117,0))</f>
        <v/>
      </c>
      <c r="M679" s="49">
        <f>INDEX(Items!$E$2:$E$117,MATCH(B679,Items!$A$2:$A$117,0))</f>
        <v/>
      </c>
      <c r="N679" s="17">
        <f>TEXT(D679,"yyyy-mm")</f>
        <v/>
      </c>
      <c r="O679" s="50">
        <f>G679*J679</f>
        <v/>
      </c>
      <c r="P679" s="50">
        <f>(J679-M679)*G679</f>
        <v/>
      </c>
      <c r="Q679" s="51">
        <f>IF(K679="Received",1,0)</f>
        <v/>
      </c>
      <c r="R679" s="51">
        <f>IF(Q679=1,F679-D679,0)</f>
        <v/>
      </c>
      <c r="S679" s="51">
        <f>IF(Q679=1,IF(F679&lt;=E679,1,0),0)</f>
        <v/>
      </c>
      <c r="T679" s="51">
        <f>IF(Q679=1,IF(H679&gt;=G679,1,0),0)</f>
        <v/>
      </c>
      <c r="U679" s="51">
        <f>S679*T679</f>
        <v/>
      </c>
      <c r="V679" s="51">
        <f>IF(Q679=1,MAX(0,F679-E679),0)</f>
        <v/>
      </c>
    </row>
    <row r="680">
      <c r="A680" s="43" t="inlineStr">
        <is>
          <t>PO101385</t>
        </is>
      </c>
      <c r="B680" s="43" t="inlineStr">
        <is>
          <t>CMD-0071</t>
        </is>
      </c>
      <c r="C680" s="43" t="inlineStr">
        <is>
          <t>S01</t>
        </is>
      </c>
      <c r="D680" s="47" t="n">
        <v>45807</v>
      </c>
      <c r="E680" s="47" t="n">
        <v>45828</v>
      </c>
      <c r="F680" s="47" t="n">
        <v>45825</v>
      </c>
      <c r="G680" s="46" t="n">
        <v>107928</v>
      </c>
      <c r="H680" s="46" t="n">
        <v>107928</v>
      </c>
      <c r="I680" s="46" t="n">
        <v>204</v>
      </c>
      <c r="J680" s="44" t="n">
        <v>0.0355</v>
      </c>
      <c r="K680" s="43" t="inlineStr">
        <is>
          <t>Received</t>
        </is>
      </c>
      <c r="L680" s="17">
        <f>INDEX(Items!$C$2:$C$117,MATCH(B680,Items!$A$2:$A$117,0))</f>
        <v/>
      </c>
      <c r="M680" s="49">
        <f>INDEX(Items!$E$2:$E$117,MATCH(B680,Items!$A$2:$A$117,0))</f>
        <v/>
      </c>
      <c r="N680" s="17">
        <f>TEXT(D680,"yyyy-mm")</f>
        <v/>
      </c>
      <c r="O680" s="50">
        <f>G680*J680</f>
        <v/>
      </c>
      <c r="P680" s="50">
        <f>(J680-M680)*G680</f>
        <v/>
      </c>
      <c r="Q680" s="51">
        <f>IF(K680="Received",1,0)</f>
        <v/>
      </c>
      <c r="R680" s="51">
        <f>IF(Q680=1,F680-D680,0)</f>
        <v/>
      </c>
      <c r="S680" s="51">
        <f>IF(Q680=1,IF(F680&lt;=E680,1,0),0)</f>
        <v/>
      </c>
      <c r="T680" s="51">
        <f>IF(Q680=1,IF(H680&gt;=G680,1,0),0)</f>
        <v/>
      </c>
      <c r="U680" s="51">
        <f>S680*T680</f>
        <v/>
      </c>
      <c r="V680" s="51">
        <f>IF(Q680=1,MAX(0,F680-E680),0)</f>
        <v/>
      </c>
    </row>
    <row r="681">
      <c r="A681" s="43" t="inlineStr">
        <is>
          <t>PO100903</t>
        </is>
      </c>
      <c r="B681" s="43" t="inlineStr">
        <is>
          <t>CMD-0041</t>
        </is>
      </c>
      <c r="C681" s="43" t="inlineStr">
        <is>
          <t>S05</t>
        </is>
      </c>
      <c r="D681" s="47" t="n">
        <v>45808</v>
      </c>
      <c r="E681" s="47" t="n">
        <v>45913</v>
      </c>
      <c r="F681" s="47" t="n">
        <v>45911</v>
      </c>
      <c r="G681" s="46" t="n">
        <v>974</v>
      </c>
      <c r="H681" s="46" t="n">
        <v>974</v>
      </c>
      <c r="I681" s="46" t="n">
        <v>17</v>
      </c>
      <c r="J681" s="44" t="n">
        <v>5.63</v>
      </c>
      <c r="K681" s="43" t="inlineStr">
        <is>
          <t>Received</t>
        </is>
      </c>
      <c r="L681" s="17">
        <f>INDEX(Items!$C$2:$C$117,MATCH(B681,Items!$A$2:$A$117,0))</f>
        <v/>
      </c>
      <c r="M681" s="49">
        <f>INDEX(Items!$E$2:$E$117,MATCH(B681,Items!$A$2:$A$117,0))</f>
        <v/>
      </c>
      <c r="N681" s="17">
        <f>TEXT(D681,"yyyy-mm")</f>
        <v/>
      </c>
      <c r="O681" s="50">
        <f>G681*J681</f>
        <v/>
      </c>
      <c r="P681" s="50">
        <f>(J681-M681)*G681</f>
        <v/>
      </c>
      <c r="Q681" s="51">
        <f>IF(K681="Received",1,0)</f>
        <v/>
      </c>
      <c r="R681" s="51">
        <f>IF(Q681=1,F681-D681,0)</f>
        <v/>
      </c>
      <c r="S681" s="51">
        <f>IF(Q681=1,IF(F681&lt;=E681,1,0),0)</f>
        <v/>
      </c>
      <c r="T681" s="51">
        <f>IF(Q681=1,IF(H681&gt;=G681,1,0),0)</f>
        <v/>
      </c>
      <c r="U681" s="51">
        <f>S681*T681</f>
        <v/>
      </c>
      <c r="V681" s="51">
        <f>IF(Q681=1,MAX(0,F681-E681),0)</f>
        <v/>
      </c>
    </row>
    <row r="682">
      <c r="A682" s="43" t="inlineStr">
        <is>
          <t>PO100893</t>
        </is>
      </c>
      <c r="B682" s="43" t="inlineStr">
        <is>
          <t>CMD-0040</t>
        </is>
      </c>
      <c r="C682" s="43" t="inlineStr">
        <is>
          <t>S07</t>
        </is>
      </c>
      <c r="D682" s="47" t="n">
        <v>45808</v>
      </c>
      <c r="E682" s="47" t="n">
        <v>45850</v>
      </c>
      <c r="F682" s="47" t="n">
        <v>45850</v>
      </c>
      <c r="G682" s="46" t="n">
        <v>622</v>
      </c>
      <c r="H682" s="46" t="n">
        <v>622</v>
      </c>
      <c r="I682" s="46" t="n">
        <v>2</v>
      </c>
      <c r="J682" s="44" t="n">
        <v>8.960000000000001</v>
      </c>
      <c r="K682" s="43" t="inlineStr">
        <is>
          <t>Received</t>
        </is>
      </c>
      <c r="L682" s="17">
        <f>INDEX(Items!$C$2:$C$117,MATCH(B682,Items!$A$2:$A$117,0))</f>
        <v/>
      </c>
      <c r="M682" s="49">
        <f>INDEX(Items!$E$2:$E$117,MATCH(B682,Items!$A$2:$A$117,0))</f>
        <v/>
      </c>
      <c r="N682" s="17">
        <f>TEXT(D682,"yyyy-mm")</f>
        <v/>
      </c>
      <c r="O682" s="50">
        <f>G682*J682</f>
        <v/>
      </c>
      <c r="P682" s="50">
        <f>(J682-M682)*G682</f>
        <v/>
      </c>
      <c r="Q682" s="51">
        <f>IF(K682="Received",1,0)</f>
        <v/>
      </c>
      <c r="R682" s="51">
        <f>IF(Q682=1,F682-D682,0)</f>
        <v/>
      </c>
      <c r="S682" s="51">
        <f>IF(Q682=1,IF(F682&lt;=E682,1,0),0)</f>
        <v/>
      </c>
      <c r="T682" s="51">
        <f>IF(Q682=1,IF(H682&gt;=G682,1,0),0)</f>
        <v/>
      </c>
      <c r="U682" s="51">
        <f>S682*T682</f>
        <v/>
      </c>
      <c r="V682" s="51">
        <f>IF(Q682=1,MAX(0,F682-E682),0)</f>
        <v/>
      </c>
    </row>
    <row r="683">
      <c r="A683" s="43" t="inlineStr">
        <is>
          <t>PO101807</t>
        </is>
      </c>
      <c r="B683" s="43" t="inlineStr">
        <is>
          <t>CMD-0098</t>
        </is>
      </c>
      <c r="C683" s="43" t="inlineStr">
        <is>
          <t>S09</t>
        </is>
      </c>
      <c r="D683" s="47" t="n">
        <v>45809</v>
      </c>
      <c r="E683" s="47" t="n">
        <v>45830</v>
      </c>
      <c r="F683" s="47" t="n">
        <v>45828</v>
      </c>
      <c r="G683" s="46" t="n">
        <v>980</v>
      </c>
      <c r="H683" s="46" t="n">
        <v>980</v>
      </c>
      <c r="I683" s="46" t="n">
        <v>1</v>
      </c>
      <c r="J683" s="44" t="n">
        <v>7.2</v>
      </c>
      <c r="K683" s="43" t="inlineStr">
        <is>
          <t>Received</t>
        </is>
      </c>
      <c r="L683" s="17">
        <f>INDEX(Items!$C$2:$C$117,MATCH(B683,Items!$A$2:$A$117,0))</f>
        <v/>
      </c>
      <c r="M683" s="49">
        <f>INDEX(Items!$E$2:$E$117,MATCH(B683,Items!$A$2:$A$117,0))</f>
        <v/>
      </c>
      <c r="N683" s="17">
        <f>TEXT(D683,"yyyy-mm")</f>
        <v/>
      </c>
      <c r="O683" s="50">
        <f>G683*J683</f>
        <v/>
      </c>
      <c r="P683" s="50">
        <f>(J683-M683)*G683</f>
        <v/>
      </c>
      <c r="Q683" s="51">
        <f>IF(K683="Received",1,0)</f>
        <v/>
      </c>
      <c r="R683" s="51">
        <f>IF(Q683=1,F683-D683,0)</f>
        <v/>
      </c>
      <c r="S683" s="51">
        <f>IF(Q683=1,IF(F683&lt;=E683,1,0),0)</f>
        <v/>
      </c>
      <c r="T683" s="51">
        <f>IF(Q683=1,IF(H683&gt;=G683,1,0),0)</f>
        <v/>
      </c>
      <c r="U683" s="51">
        <f>S683*T683</f>
        <v/>
      </c>
      <c r="V683" s="51">
        <f>IF(Q683=1,MAX(0,F683-E683),0)</f>
        <v/>
      </c>
    </row>
    <row r="684">
      <c r="A684" s="43" t="inlineStr">
        <is>
          <t>PO101957</t>
        </is>
      </c>
      <c r="B684" s="43" t="inlineStr">
        <is>
          <t>CMD-0108</t>
        </is>
      </c>
      <c r="C684" s="43" t="inlineStr">
        <is>
          <t>S12</t>
        </is>
      </c>
      <c r="D684" s="47" t="n">
        <v>45809</v>
      </c>
      <c r="E684" s="47" t="n">
        <v>45816</v>
      </c>
      <c r="F684" s="47" t="n">
        <v>45814</v>
      </c>
      <c r="G684" s="46" t="n">
        <v>2910</v>
      </c>
      <c r="H684" s="46" t="n">
        <v>2910</v>
      </c>
      <c r="I684" s="46" t="n">
        <v>3</v>
      </c>
      <c r="J684" s="44" t="n">
        <v>1.56</v>
      </c>
      <c r="K684" s="43" t="inlineStr">
        <is>
          <t>Received</t>
        </is>
      </c>
      <c r="L684" s="17">
        <f>INDEX(Items!$C$2:$C$117,MATCH(B684,Items!$A$2:$A$117,0))</f>
        <v/>
      </c>
      <c r="M684" s="49">
        <f>INDEX(Items!$E$2:$E$117,MATCH(B684,Items!$A$2:$A$117,0))</f>
        <v/>
      </c>
      <c r="N684" s="17">
        <f>TEXT(D684,"yyyy-mm")</f>
        <v/>
      </c>
      <c r="O684" s="50">
        <f>G684*J684</f>
        <v/>
      </c>
      <c r="P684" s="50">
        <f>(J684-M684)*G684</f>
        <v/>
      </c>
      <c r="Q684" s="51">
        <f>IF(K684="Received",1,0)</f>
        <v/>
      </c>
      <c r="R684" s="51">
        <f>IF(Q684=1,F684-D684,0)</f>
        <v/>
      </c>
      <c r="S684" s="51">
        <f>IF(Q684=1,IF(F684&lt;=E684,1,0),0)</f>
        <v/>
      </c>
      <c r="T684" s="51">
        <f>IF(Q684=1,IF(H684&gt;=G684,1,0),0)</f>
        <v/>
      </c>
      <c r="U684" s="51">
        <f>S684*T684</f>
        <v/>
      </c>
      <c r="V684" s="51">
        <f>IF(Q684=1,MAX(0,F684-E684),0)</f>
        <v/>
      </c>
    </row>
    <row r="685">
      <c r="A685" s="43" t="inlineStr">
        <is>
          <t>PO101529</t>
        </is>
      </c>
      <c r="B685" s="43" t="inlineStr">
        <is>
          <t>CMD-0081</t>
        </is>
      </c>
      <c r="C685" s="43" t="inlineStr">
        <is>
          <t>S06</t>
        </is>
      </c>
      <c r="D685" s="47" t="n">
        <v>45810</v>
      </c>
      <c r="E685" s="47" t="n">
        <v>45831</v>
      </c>
      <c r="F685" s="47" t="n">
        <v>45829</v>
      </c>
      <c r="G685" s="46" t="n">
        <v>2999</v>
      </c>
      <c r="H685" s="46" t="n">
        <v>2999</v>
      </c>
      <c r="I685" s="46" t="n">
        <v>13</v>
      </c>
      <c r="J685" s="44" t="n">
        <v>0.5907</v>
      </c>
      <c r="K685" s="43" t="inlineStr">
        <is>
          <t>Received</t>
        </is>
      </c>
      <c r="L685" s="17">
        <f>INDEX(Items!$C$2:$C$117,MATCH(B685,Items!$A$2:$A$117,0))</f>
        <v/>
      </c>
      <c r="M685" s="49">
        <f>INDEX(Items!$E$2:$E$117,MATCH(B685,Items!$A$2:$A$117,0))</f>
        <v/>
      </c>
      <c r="N685" s="17">
        <f>TEXT(D685,"yyyy-mm")</f>
        <v/>
      </c>
      <c r="O685" s="50">
        <f>G685*J685</f>
        <v/>
      </c>
      <c r="P685" s="50">
        <f>(J685-M685)*G685</f>
        <v/>
      </c>
      <c r="Q685" s="51">
        <f>IF(K685="Received",1,0)</f>
        <v/>
      </c>
      <c r="R685" s="51">
        <f>IF(Q685=1,F685-D685,0)</f>
        <v/>
      </c>
      <c r="S685" s="51">
        <f>IF(Q685=1,IF(F685&lt;=E685,1,0),0)</f>
        <v/>
      </c>
      <c r="T685" s="51">
        <f>IF(Q685=1,IF(H685&gt;=G685,1,0),0)</f>
        <v/>
      </c>
      <c r="U685" s="51">
        <f>S685*T685</f>
        <v/>
      </c>
      <c r="V685" s="51">
        <f>IF(Q685=1,MAX(0,F685-E685),0)</f>
        <v/>
      </c>
    </row>
    <row r="686">
      <c r="A686" s="43" t="inlineStr">
        <is>
          <t>PO101305</t>
        </is>
      </c>
      <c r="B686" s="43" t="inlineStr">
        <is>
          <t>CMD-0064</t>
        </is>
      </c>
      <c r="C686" s="43" t="inlineStr">
        <is>
          <t>S01</t>
        </is>
      </c>
      <c r="D686" s="47" t="n">
        <v>45810</v>
      </c>
      <c r="E686" s="47" t="n">
        <v>45831</v>
      </c>
      <c r="F686" s="47" t="n">
        <v>45828</v>
      </c>
      <c r="G686" s="46" t="n">
        <v>113882</v>
      </c>
      <c r="H686" s="46" t="n">
        <v>113882</v>
      </c>
      <c r="I686" s="46" t="n">
        <v>219</v>
      </c>
      <c r="J686" s="44" t="n">
        <v>0.0318</v>
      </c>
      <c r="K686" s="43" t="inlineStr">
        <is>
          <t>Received</t>
        </is>
      </c>
      <c r="L686" s="17">
        <f>INDEX(Items!$C$2:$C$117,MATCH(B686,Items!$A$2:$A$117,0))</f>
        <v/>
      </c>
      <c r="M686" s="49">
        <f>INDEX(Items!$E$2:$E$117,MATCH(B686,Items!$A$2:$A$117,0))</f>
        <v/>
      </c>
      <c r="N686" s="17">
        <f>TEXT(D686,"yyyy-mm")</f>
        <v/>
      </c>
      <c r="O686" s="50">
        <f>G686*J686</f>
        <v/>
      </c>
      <c r="P686" s="50">
        <f>(J686-M686)*G686</f>
        <v/>
      </c>
      <c r="Q686" s="51">
        <f>IF(K686="Received",1,0)</f>
        <v/>
      </c>
      <c r="R686" s="51">
        <f>IF(Q686=1,F686-D686,0)</f>
        <v/>
      </c>
      <c r="S686" s="51">
        <f>IF(Q686=1,IF(F686&lt;=E686,1,0),0)</f>
        <v/>
      </c>
      <c r="T686" s="51">
        <f>IF(Q686=1,IF(H686&gt;=G686,1,0),0)</f>
        <v/>
      </c>
      <c r="U686" s="51">
        <f>S686*T686</f>
        <v/>
      </c>
      <c r="V686" s="51">
        <f>IF(Q686=1,MAX(0,F686-E686),0)</f>
        <v/>
      </c>
    </row>
    <row r="687">
      <c r="A687" s="43" t="inlineStr">
        <is>
          <t>PO101037</t>
        </is>
      </c>
      <c r="B687" s="43" t="inlineStr">
        <is>
          <t>CMD-0047</t>
        </is>
      </c>
      <c r="C687" s="43" t="inlineStr">
        <is>
          <t>S04</t>
        </is>
      </c>
      <c r="D687" s="47" t="n">
        <v>45810</v>
      </c>
      <c r="E687" s="47" t="n">
        <v>45845</v>
      </c>
      <c r="F687" s="47" t="n">
        <v>45842</v>
      </c>
      <c r="G687" s="46" t="n">
        <v>19070</v>
      </c>
      <c r="H687" s="46" t="n">
        <v>19070</v>
      </c>
      <c r="I687" s="46" t="n">
        <v>184</v>
      </c>
      <c r="J687" s="44" t="n">
        <v>0.296</v>
      </c>
      <c r="K687" s="43" t="inlineStr">
        <is>
          <t>Received</t>
        </is>
      </c>
      <c r="L687" s="17">
        <f>INDEX(Items!$C$2:$C$117,MATCH(B687,Items!$A$2:$A$117,0))</f>
        <v/>
      </c>
      <c r="M687" s="49">
        <f>INDEX(Items!$E$2:$E$117,MATCH(B687,Items!$A$2:$A$117,0))</f>
        <v/>
      </c>
      <c r="N687" s="17">
        <f>TEXT(D687,"yyyy-mm")</f>
        <v/>
      </c>
      <c r="O687" s="50">
        <f>G687*J687</f>
        <v/>
      </c>
      <c r="P687" s="50">
        <f>(J687-M687)*G687</f>
        <v/>
      </c>
      <c r="Q687" s="51">
        <f>IF(K687="Received",1,0)</f>
        <v/>
      </c>
      <c r="R687" s="51">
        <f>IF(Q687=1,F687-D687,0)</f>
        <v/>
      </c>
      <c r="S687" s="51">
        <f>IF(Q687=1,IF(F687&lt;=E687,1,0),0)</f>
        <v/>
      </c>
      <c r="T687" s="51">
        <f>IF(Q687=1,IF(H687&gt;=G687,1,0),0)</f>
        <v/>
      </c>
      <c r="U687" s="51">
        <f>S687*T687</f>
        <v/>
      </c>
      <c r="V687" s="51">
        <f>IF(Q687=1,MAX(0,F687-E687),0)</f>
        <v/>
      </c>
    </row>
    <row r="688">
      <c r="A688" s="43" t="inlineStr">
        <is>
          <t>PO101589</t>
        </is>
      </c>
      <c r="B688" s="43" t="inlineStr">
        <is>
          <t>CMD-0086</t>
        </is>
      </c>
      <c r="C688" s="43" t="inlineStr">
        <is>
          <t>S01</t>
        </is>
      </c>
      <c r="D688" s="47" t="n">
        <v>45810</v>
      </c>
      <c r="E688" s="47" t="n">
        <v>45824</v>
      </c>
      <c r="F688" s="47" t="n">
        <v>45823</v>
      </c>
      <c r="G688" s="46" t="n">
        <v>4421</v>
      </c>
      <c r="H688" s="46" t="n">
        <v>4421</v>
      </c>
      <c r="I688" s="46" t="n">
        <v>7</v>
      </c>
      <c r="J688" s="44" t="n">
        <v>0.4679</v>
      </c>
      <c r="K688" s="43" t="inlineStr">
        <is>
          <t>Received</t>
        </is>
      </c>
      <c r="L688" s="17">
        <f>INDEX(Items!$C$2:$C$117,MATCH(B688,Items!$A$2:$A$117,0))</f>
        <v/>
      </c>
      <c r="M688" s="49">
        <f>INDEX(Items!$E$2:$E$117,MATCH(B688,Items!$A$2:$A$117,0))</f>
        <v/>
      </c>
      <c r="N688" s="17">
        <f>TEXT(D688,"yyyy-mm")</f>
        <v/>
      </c>
      <c r="O688" s="50">
        <f>G688*J688</f>
        <v/>
      </c>
      <c r="P688" s="50">
        <f>(J688-M688)*G688</f>
        <v/>
      </c>
      <c r="Q688" s="51">
        <f>IF(K688="Received",1,0)</f>
        <v/>
      </c>
      <c r="R688" s="51">
        <f>IF(Q688=1,F688-D688,0)</f>
        <v/>
      </c>
      <c r="S688" s="51">
        <f>IF(Q688=1,IF(F688&lt;=E688,1,0),0)</f>
        <v/>
      </c>
      <c r="T688" s="51">
        <f>IF(Q688=1,IF(H688&gt;=G688,1,0),0)</f>
        <v/>
      </c>
      <c r="U688" s="51">
        <f>S688*T688</f>
        <v/>
      </c>
      <c r="V688" s="51">
        <f>IF(Q688=1,MAX(0,F688-E688),0)</f>
        <v/>
      </c>
    </row>
    <row r="689">
      <c r="A689" s="43" t="inlineStr">
        <is>
          <t>PO100711</t>
        </is>
      </c>
      <c r="B689" s="43" t="inlineStr">
        <is>
          <t>CMD-0032</t>
        </is>
      </c>
      <c r="C689" s="43" t="inlineStr">
        <is>
          <t>S01</t>
        </is>
      </c>
      <c r="D689" s="47" t="n">
        <v>45810</v>
      </c>
      <c r="E689" s="47" t="n">
        <v>45838</v>
      </c>
      <c r="F689" s="47" t="n">
        <v>45835</v>
      </c>
      <c r="G689" s="46" t="n">
        <v>1232</v>
      </c>
      <c r="H689" s="46" t="n">
        <v>1232</v>
      </c>
      <c r="I689" s="46" t="n">
        <v>0</v>
      </c>
      <c r="J689" s="44" t="n">
        <v>5.15</v>
      </c>
      <c r="K689" s="43" t="inlineStr">
        <is>
          <t>Received</t>
        </is>
      </c>
      <c r="L689" s="17">
        <f>INDEX(Items!$C$2:$C$117,MATCH(B689,Items!$A$2:$A$117,0))</f>
        <v/>
      </c>
      <c r="M689" s="49">
        <f>INDEX(Items!$E$2:$E$117,MATCH(B689,Items!$A$2:$A$117,0))</f>
        <v/>
      </c>
      <c r="N689" s="17">
        <f>TEXT(D689,"yyyy-mm")</f>
        <v/>
      </c>
      <c r="O689" s="50">
        <f>G689*J689</f>
        <v/>
      </c>
      <c r="P689" s="50">
        <f>(J689-M689)*G689</f>
        <v/>
      </c>
      <c r="Q689" s="51">
        <f>IF(K689="Received",1,0)</f>
        <v/>
      </c>
      <c r="R689" s="51">
        <f>IF(Q689=1,F689-D689,0)</f>
        <v/>
      </c>
      <c r="S689" s="51">
        <f>IF(Q689=1,IF(F689&lt;=E689,1,0),0)</f>
        <v/>
      </c>
      <c r="T689" s="51">
        <f>IF(Q689=1,IF(H689&gt;=G689,1,0),0)</f>
        <v/>
      </c>
      <c r="U689" s="51">
        <f>S689*T689</f>
        <v/>
      </c>
      <c r="V689" s="51">
        <f>IF(Q689=1,MAX(0,F689-E689),0)</f>
        <v/>
      </c>
    </row>
    <row r="690">
      <c r="A690" s="43" t="inlineStr">
        <is>
          <t>PO102021</t>
        </is>
      </c>
      <c r="B690" s="43" t="inlineStr">
        <is>
          <t>CMD-0116</t>
        </is>
      </c>
      <c r="C690" s="43" t="inlineStr">
        <is>
          <t>S12</t>
        </is>
      </c>
      <c r="D690" s="47" t="n">
        <v>45811</v>
      </c>
      <c r="E690" s="47" t="n">
        <v>45818</v>
      </c>
      <c r="F690" s="47" t="n">
        <v>45817</v>
      </c>
      <c r="G690" s="46" t="n">
        <v>18068</v>
      </c>
      <c r="H690" s="46" t="n">
        <v>18068</v>
      </c>
      <c r="I690" s="46" t="n">
        <v>26</v>
      </c>
      <c r="J690" s="44" t="n">
        <v>0.3644</v>
      </c>
      <c r="K690" s="43" t="inlineStr">
        <is>
          <t>Received</t>
        </is>
      </c>
      <c r="L690" s="17">
        <f>INDEX(Items!$C$2:$C$117,MATCH(B690,Items!$A$2:$A$117,0))</f>
        <v/>
      </c>
      <c r="M690" s="49">
        <f>INDEX(Items!$E$2:$E$117,MATCH(B690,Items!$A$2:$A$117,0))</f>
        <v/>
      </c>
      <c r="N690" s="17">
        <f>TEXT(D690,"yyyy-mm")</f>
        <v/>
      </c>
      <c r="O690" s="50">
        <f>G690*J690</f>
        <v/>
      </c>
      <c r="P690" s="50">
        <f>(J690-M690)*G690</f>
        <v/>
      </c>
      <c r="Q690" s="51">
        <f>IF(K690="Received",1,0)</f>
        <v/>
      </c>
      <c r="R690" s="51">
        <f>IF(Q690=1,F690-D690,0)</f>
        <v/>
      </c>
      <c r="S690" s="51">
        <f>IF(Q690=1,IF(F690&lt;=E690,1,0),0)</f>
        <v/>
      </c>
      <c r="T690" s="51">
        <f>IF(Q690=1,IF(H690&gt;=G690,1,0),0)</f>
        <v/>
      </c>
      <c r="U690" s="51">
        <f>S690*T690</f>
        <v/>
      </c>
      <c r="V690" s="51">
        <f>IF(Q690=1,MAX(0,F690-E690),0)</f>
        <v/>
      </c>
    </row>
    <row r="691">
      <c r="A691" s="43" t="inlineStr">
        <is>
          <t>PO100265</t>
        </is>
      </c>
      <c r="B691" s="43" t="inlineStr">
        <is>
          <t>CMD-0012</t>
        </is>
      </c>
      <c r="C691" s="43" t="inlineStr">
        <is>
          <t>S03</t>
        </is>
      </c>
      <c r="D691" s="47" t="n">
        <v>45811</v>
      </c>
      <c r="E691" s="47" t="n">
        <v>45944</v>
      </c>
      <c r="F691" s="47" t="n">
        <v>45944</v>
      </c>
      <c r="G691" s="46" t="n">
        <v>2350</v>
      </c>
      <c r="H691" s="46" t="n">
        <v>2350</v>
      </c>
      <c r="I691" s="46" t="n">
        <v>11</v>
      </c>
      <c r="J691" s="44" t="n">
        <v>2.59</v>
      </c>
      <c r="K691" s="43" t="inlineStr">
        <is>
          <t>Received</t>
        </is>
      </c>
      <c r="L691" s="17">
        <f>INDEX(Items!$C$2:$C$117,MATCH(B691,Items!$A$2:$A$117,0))</f>
        <v/>
      </c>
      <c r="M691" s="49">
        <f>INDEX(Items!$E$2:$E$117,MATCH(B691,Items!$A$2:$A$117,0))</f>
        <v/>
      </c>
      <c r="N691" s="17">
        <f>TEXT(D691,"yyyy-mm")</f>
        <v/>
      </c>
      <c r="O691" s="50">
        <f>G691*J691</f>
        <v/>
      </c>
      <c r="P691" s="50">
        <f>(J691-M691)*G691</f>
        <v/>
      </c>
      <c r="Q691" s="51">
        <f>IF(K691="Received",1,0)</f>
        <v/>
      </c>
      <c r="R691" s="51">
        <f>IF(Q691=1,F691-D691,0)</f>
        <v/>
      </c>
      <c r="S691" s="51">
        <f>IF(Q691=1,IF(F691&lt;=E691,1,0),0)</f>
        <v/>
      </c>
      <c r="T691" s="51">
        <f>IF(Q691=1,IF(H691&gt;=G691,1,0),0)</f>
        <v/>
      </c>
      <c r="U691" s="51">
        <f>S691*T691</f>
        <v/>
      </c>
      <c r="V691" s="51">
        <f>IF(Q691=1,MAX(0,F691-E691),0)</f>
        <v/>
      </c>
    </row>
    <row r="692">
      <c r="A692" s="43" t="inlineStr">
        <is>
          <t>PO101333</t>
        </is>
      </c>
      <c r="B692" s="43" t="inlineStr">
        <is>
          <t>CMD-0066</t>
        </is>
      </c>
      <c r="C692" s="43" t="inlineStr">
        <is>
          <t>S10</t>
        </is>
      </c>
      <c r="D692" s="47" t="n">
        <v>45812</v>
      </c>
      <c r="E692" s="47" t="n">
        <v>45840</v>
      </c>
      <c r="F692" s="47" t="n">
        <v>45839</v>
      </c>
      <c r="G692" s="46" t="n">
        <v>53331</v>
      </c>
      <c r="H692" s="46" t="n">
        <v>53331</v>
      </c>
      <c r="I692" s="46" t="n">
        <v>66</v>
      </c>
      <c r="J692" s="44" t="n">
        <v>0.0573</v>
      </c>
      <c r="K692" s="43" t="inlineStr">
        <is>
          <t>Received</t>
        </is>
      </c>
      <c r="L692" s="17">
        <f>INDEX(Items!$C$2:$C$117,MATCH(B692,Items!$A$2:$A$117,0))</f>
        <v/>
      </c>
      <c r="M692" s="49">
        <f>INDEX(Items!$E$2:$E$117,MATCH(B692,Items!$A$2:$A$117,0))</f>
        <v/>
      </c>
      <c r="N692" s="17">
        <f>TEXT(D692,"yyyy-mm")</f>
        <v/>
      </c>
      <c r="O692" s="50">
        <f>G692*J692</f>
        <v/>
      </c>
      <c r="P692" s="50">
        <f>(J692-M692)*G692</f>
        <v/>
      </c>
      <c r="Q692" s="51">
        <f>IF(K692="Received",1,0)</f>
        <v/>
      </c>
      <c r="R692" s="51">
        <f>IF(Q692=1,F692-D692,0)</f>
        <v/>
      </c>
      <c r="S692" s="51">
        <f>IF(Q692=1,IF(F692&lt;=E692,1,0),0)</f>
        <v/>
      </c>
      <c r="T692" s="51">
        <f>IF(Q692=1,IF(H692&gt;=G692,1,0),0)</f>
        <v/>
      </c>
      <c r="U692" s="51">
        <f>S692*T692</f>
        <v/>
      </c>
      <c r="V692" s="51">
        <f>IF(Q692=1,MAX(0,F692-E692),0)</f>
        <v/>
      </c>
    </row>
    <row r="693">
      <c r="A693" s="43" t="inlineStr">
        <is>
          <t>PO102001</t>
        </is>
      </c>
      <c r="B693" s="43" t="inlineStr">
        <is>
          <t>CMD-0113</t>
        </is>
      </c>
      <c r="C693" s="43" t="inlineStr">
        <is>
          <t>S12</t>
        </is>
      </c>
      <c r="D693" s="47" t="n">
        <v>45812</v>
      </c>
      <c r="E693" s="47" t="n">
        <v>45819</v>
      </c>
      <c r="F693" s="47" t="n">
        <v>45818</v>
      </c>
      <c r="G693" s="46" t="n">
        <v>1902</v>
      </c>
      <c r="H693" s="46" t="n">
        <v>1902</v>
      </c>
      <c r="I693" s="46" t="n">
        <v>2</v>
      </c>
      <c r="J693" s="44" t="n">
        <v>0.2866</v>
      </c>
      <c r="K693" s="43" t="inlineStr">
        <is>
          <t>Received</t>
        </is>
      </c>
      <c r="L693" s="17">
        <f>INDEX(Items!$C$2:$C$117,MATCH(B693,Items!$A$2:$A$117,0))</f>
        <v/>
      </c>
      <c r="M693" s="49">
        <f>INDEX(Items!$E$2:$E$117,MATCH(B693,Items!$A$2:$A$117,0))</f>
        <v/>
      </c>
      <c r="N693" s="17">
        <f>TEXT(D693,"yyyy-mm")</f>
        <v/>
      </c>
      <c r="O693" s="50">
        <f>G693*J693</f>
        <v/>
      </c>
      <c r="P693" s="50">
        <f>(J693-M693)*G693</f>
        <v/>
      </c>
      <c r="Q693" s="51">
        <f>IF(K693="Received",1,0)</f>
        <v/>
      </c>
      <c r="R693" s="51">
        <f>IF(Q693=1,F693-D693,0)</f>
        <v/>
      </c>
      <c r="S693" s="51">
        <f>IF(Q693=1,IF(F693&lt;=E693,1,0),0)</f>
        <v/>
      </c>
      <c r="T693" s="51">
        <f>IF(Q693=1,IF(H693&gt;=G693,1,0),0)</f>
        <v/>
      </c>
      <c r="U693" s="51">
        <f>S693*T693</f>
        <v/>
      </c>
      <c r="V693" s="51">
        <f>IF(Q693=1,MAX(0,F693-E693),0)</f>
        <v/>
      </c>
    </row>
    <row r="694">
      <c r="A694" s="43" t="inlineStr">
        <is>
          <t>PO101593</t>
        </is>
      </c>
      <c r="B694" s="43" t="inlineStr">
        <is>
          <t>CMD-0087</t>
        </is>
      </c>
      <c r="C694" s="43" t="inlineStr">
        <is>
          <t>S01</t>
        </is>
      </c>
      <c r="D694" s="47" t="n">
        <v>45812</v>
      </c>
      <c r="E694" s="47" t="n">
        <v>45826</v>
      </c>
      <c r="F694" s="47" t="n">
        <v>45823</v>
      </c>
      <c r="G694" s="46" t="n">
        <v>2692</v>
      </c>
      <c r="H694" s="46" t="n">
        <v>2692</v>
      </c>
      <c r="I694" s="46" t="n">
        <v>12</v>
      </c>
      <c r="J694" s="44" t="n">
        <v>0.6458</v>
      </c>
      <c r="K694" s="43" t="inlineStr">
        <is>
          <t>Received</t>
        </is>
      </c>
      <c r="L694" s="17">
        <f>INDEX(Items!$C$2:$C$117,MATCH(B694,Items!$A$2:$A$117,0))</f>
        <v/>
      </c>
      <c r="M694" s="49">
        <f>INDEX(Items!$E$2:$E$117,MATCH(B694,Items!$A$2:$A$117,0))</f>
        <v/>
      </c>
      <c r="N694" s="17">
        <f>TEXT(D694,"yyyy-mm")</f>
        <v/>
      </c>
      <c r="O694" s="50">
        <f>G694*J694</f>
        <v/>
      </c>
      <c r="P694" s="50">
        <f>(J694-M694)*G694</f>
        <v/>
      </c>
      <c r="Q694" s="51">
        <f>IF(K694="Received",1,0)</f>
        <v/>
      </c>
      <c r="R694" s="51">
        <f>IF(Q694=1,F694-D694,0)</f>
        <v/>
      </c>
      <c r="S694" s="51">
        <f>IF(Q694=1,IF(F694&lt;=E694,1,0),0)</f>
        <v/>
      </c>
      <c r="T694" s="51">
        <f>IF(Q694=1,IF(H694&gt;=G694,1,0),0)</f>
        <v/>
      </c>
      <c r="U694" s="51">
        <f>S694*T694</f>
        <v/>
      </c>
      <c r="V694" s="51">
        <f>IF(Q694=1,MAX(0,F694-E694),0)</f>
        <v/>
      </c>
    </row>
    <row r="695">
      <c r="A695" s="43" t="inlineStr">
        <is>
          <t>PO101273</t>
        </is>
      </c>
      <c r="B695" s="43" t="inlineStr">
        <is>
          <t>CMD-0061</t>
        </is>
      </c>
      <c r="C695" s="43" t="inlineStr">
        <is>
          <t>S01</t>
        </is>
      </c>
      <c r="D695" s="47" t="n">
        <v>45812</v>
      </c>
      <c r="E695" s="47" t="n">
        <v>45833</v>
      </c>
      <c r="F695" s="47" t="n">
        <v>45830</v>
      </c>
      <c r="G695" s="46" t="n">
        <v>72117</v>
      </c>
      <c r="H695" s="46" t="n">
        <v>72117</v>
      </c>
      <c r="I695" s="46" t="n">
        <v>115</v>
      </c>
      <c r="J695" s="44" t="n">
        <v>0.0235</v>
      </c>
      <c r="K695" s="43" t="inlineStr">
        <is>
          <t>Received</t>
        </is>
      </c>
      <c r="L695" s="17">
        <f>INDEX(Items!$C$2:$C$117,MATCH(B695,Items!$A$2:$A$117,0))</f>
        <v/>
      </c>
      <c r="M695" s="49">
        <f>INDEX(Items!$E$2:$E$117,MATCH(B695,Items!$A$2:$A$117,0))</f>
        <v/>
      </c>
      <c r="N695" s="17">
        <f>TEXT(D695,"yyyy-mm")</f>
        <v/>
      </c>
      <c r="O695" s="50">
        <f>G695*J695</f>
        <v/>
      </c>
      <c r="P695" s="50">
        <f>(J695-M695)*G695</f>
        <v/>
      </c>
      <c r="Q695" s="51">
        <f>IF(K695="Received",1,0)</f>
        <v/>
      </c>
      <c r="R695" s="51">
        <f>IF(Q695=1,F695-D695,0)</f>
        <v/>
      </c>
      <c r="S695" s="51">
        <f>IF(Q695=1,IF(F695&lt;=E695,1,0),0)</f>
        <v/>
      </c>
      <c r="T695" s="51">
        <f>IF(Q695=1,IF(H695&gt;=G695,1,0),0)</f>
        <v/>
      </c>
      <c r="U695" s="51">
        <f>S695*T695</f>
        <v/>
      </c>
      <c r="V695" s="51">
        <f>IF(Q695=1,MAX(0,F695-E695),0)</f>
        <v/>
      </c>
    </row>
    <row r="696">
      <c r="A696" s="43" t="inlineStr">
        <is>
          <t>PO101915</t>
        </is>
      </c>
      <c r="B696" s="43" t="inlineStr">
        <is>
          <t>CMD-0105</t>
        </is>
      </c>
      <c r="C696" s="43" t="inlineStr">
        <is>
          <t>S09</t>
        </is>
      </c>
      <c r="D696" s="47" t="n">
        <v>45812</v>
      </c>
      <c r="E696" s="47" t="n">
        <v>45833</v>
      </c>
      <c r="F696" s="47" t="n">
        <v>45831</v>
      </c>
      <c r="G696" s="46" t="n">
        <v>3373</v>
      </c>
      <c r="H696" s="46" t="n">
        <v>3373</v>
      </c>
      <c r="I696" s="46" t="n">
        <v>13</v>
      </c>
      <c r="J696" s="44" t="n">
        <v>2.08</v>
      </c>
      <c r="K696" s="43" t="inlineStr">
        <is>
          <t>Received</t>
        </is>
      </c>
      <c r="L696" s="17">
        <f>INDEX(Items!$C$2:$C$117,MATCH(B696,Items!$A$2:$A$117,0))</f>
        <v/>
      </c>
      <c r="M696" s="49">
        <f>INDEX(Items!$E$2:$E$117,MATCH(B696,Items!$A$2:$A$117,0))</f>
        <v/>
      </c>
      <c r="N696" s="17">
        <f>TEXT(D696,"yyyy-mm")</f>
        <v/>
      </c>
      <c r="O696" s="50">
        <f>G696*J696</f>
        <v/>
      </c>
      <c r="P696" s="50">
        <f>(J696-M696)*G696</f>
        <v/>
      </c>
      <c r="Q696" s="51">
        <f>IF(K696="Received",1,0)</f>
        <v/>
      </c>
      <c r="R696" s="51">
        <f>IF(Q696=1,F696-D696,0)</f>
        <v/>
      </c>
      <c r="S696" s="51">
        <f>IF(Q696=1,IF(F696&lt;=E696,1,0),0)</f>
        <v/>
      </c>
      <c r="T696" s="51">
        <f>IF(Q696=1,IF(H696&gt;=G696,1,0),0)</f>
        <v/>
      </c>
      <c r="U696" s="51">
        <f>S696*T696</f>
        <v/>
      </c>
      <c r="V696" s="51">
        <f>IF(Q696=1,MAX(0,F696-E696),0)</f>
        <v/>
      </c>
    </row>
    <row r="697">
      <c r="A697" s="43" t="inlineStr">
        <is>
          <t>PO100754</t>
        </is>
      </c>
      <c r="B697" s="43" t="inlineStr">
        <is>
          <t>CMD-0034</t>
        </is>
      </c>
      <c r="C697" s="43" t="inlineStr">
        <is>
          <t>S04</t>
        </is>
      </c>
      <c r="D697" s="47" t="n">
        <v>45814</v>
      </c>
      <c r="E697" s="47" t="n">
        <v>45856</v>
      </c>
      <c r="F697" s="47" t="n">
        <v>45870</v>
      </c>
      <c r="G697" s="46" t="n">
        <v>624</v>
      </c>
      <c r="H697" s="46" t="n">
        <v>624</v>
      </c>
      <c r="I697" s="46" t="n">
        <v>9</v>
      </c>
      <c r="J697" s="44" t="n">
        <v>10.55</v>
      </c>
      <c r="K697" s="43" t="inlineStr">
        <is>
          <t>Received</t>
        </is>
      </c>
      <c r="L697" s="17">
        <f>INDEX(Items!$C$2:$C$117,MATCH(B697,Items!$A$2:$A$117,0))</f>
        <v/>
      </c>
      <c r="M697" s="49">
        <f>INDEX(Items!$E$2:$E$117,MATCH(B697,Items!$A$2:$A$117,0))</f>
        <v/>
      </c>
      <c r="N697" s="17">
        <f>TEXT(D697,"yyyy-mm")</f>
        <v/>
      </c>
      <c r="O697" s="50">
        <f>G697*J697</f>
        <v/>
      </c>
      <c r="P697" s="50">
        <f>(J697-M697)*G697</f>
        <v/>
      </c>
      <c r="Q697" s="51">
        <f>IF(K697="Received",1,0)</f>
        <v/>
      </c>
      <c r="R697" s="51">
        <f>IF(Q697=1,F697-D697,0)</f>
        <v/>
      </c>
      <c r="S697" s="51">
        <f>IF(Q697=1,IF(F697&lt;=E697,1,0),0)</f>
        <v/>
      </c>
      <c r="T697" s="51">
        <f>IF(Q697=1,IF(H697&gt;=G697,1,0),0)</f>
        <v/>
      </c>
      <c r="U697" s="51">
        <f>S697*T697</f>
        <v/>
      </c>
      <c r="V697" s="51">
        <f>IF(Q697=1,MAX(0,F697-E697),0)</f>
        <v/>
      </c>
    </row>
    <row r="698">
      <c r="A698" s="43" t="inlineStr">
        <is>
          <t>PO100128</t>
        </is>
      </c>
      <c r="B698" s="43" t="inlineStr">
        <is>
          <t>CMD-0006</t>
        </is>
      </c>
      <c r="C698" s="43" t="inlineStr">
        <is>
          <t>S03</t>
        </is>
      </c>
      <c r="D698" s="47" t="n">
        <v>45814</v>
      </c>
      <c r="E698" s="47" t="n">
        <v>45947</v>
      </c>
      <c r="F698" s="47" t="n">
        <v>45944</v>
      </c>
      <c r="G698" s="46" t="n">
        <v>694</v>
      </c>
      <c r="H698" s="46" t="n">
        <v>479</v>
      </c>
      <c r="I698" s="46" t="n">
        <v>4</v>
      </c>
      <c r="J698" s="44" t="n">
        <v>30.55</v>
      </c>
      <c r="K698" s="43" t="inlineStr">
        <is>
          <t>Received</t>
        </is>
      </c>
      <c r="L698" s="17">
        <f>INDEX(Items!$C$2:$C$117,MATCH(B698,Items!$A$2:$A$117,0))</f>
        <v/>
      </c>
      <c r="M698" s="49">
        <f>INDEX(Items!$E$2:$E$117,MATCH(B698,Items!$A$2:$A$117,0))</f>
        <v/>
      </c>
      <c r="N698" s="17">
        <f>TEXT(D698,"yyyy-mm")</f>
        <v/>
      </c>
      <c r="O698" s="50">
        <f>G698*J698</f>
        <v/>
      </c>
      <c r="P698" s="50">
        <f>(J698-M698)*G698</f>
        <v/>
      </c>
      <c r="Q698" s="51">
        <f>IF(K698="Received",1,0)</f>
        <v/>
      </c>
      <c r="R698" s="51">
        <f>IF(Q698=1,F698-D698,0)</f>
        <v/>
      </c>
      <c r="S698" s="51">
        <f>IF(Q698=1,IF(F698&lt;=E698,1,0),0)</f>
        <v/>
      </c>
      <c r="T698" s="51">
        <f>IF(Q698=1,IF(H698&gt;=G698,1,0),0)</f>
        <v/>
      </c>
      <c r="U698" s="51">
        <f>S698*T698</f>
        <v/>
      </c>
      <c r="V698" s="51">
        <f>IF(Q698=1,MAX(0,F698-E698),0)</f>
        <v/>
      </c>
    </row>
    <row r="699">
      <c r="A699" s="43" t="inlineStr">
        <is>
          <t>PO101316</t>
        </is>
      </c>
      <c r="B699" s="43" t="inlineStr">
        <is>
          <t>CMD-0065</t>
        </is>
      </c>
      <c r="C699" s="43" t="inlineStr">
        <is>
          <t>S10</t>
        </is>
      </c>
      <c r="D699" s="47" t="n">
        <v>45814</v>
      </c>
      <c r="E699" s="47" t="n">
        <v>45842</v>
      </c>
      <c r="F699" s="47" t="n">
        <v>45839</v>
      </c>
      <c r="G699" s="46" t="n">
        <v>122124</v>
      </c>
      <c r="H699" s="46" t="n">
        <v>122124</v>
      </c>
      <c r="I699" s="46" t="n">
        <v>113</v>
      </c>
      <c r="J699" s="44" t="n">
        <v>0.1155</v>
      </c>
      <c r="K699" s="43" t="inlineStr">
        <is>
          <t>Received</t>
        </is>
      </c>
      <c r="L699" s="17">
        <f>INDEX(Items!$C$2:$C$117,MATCH(B699,Items!$A$2:$A$117,0))</f>
        <v/>
      </c>
      <c r="M699" s="49">
        <f>INDEX(Items!$E$2:$E$117,MATCH(B699,Items!$A$2:$A$117,0))</f>
        <v/>
      </c>
      <c r="N699" s="17">
        <f>TEXT(D699,"yyyy-mm")</f>
        <v/>
      </c>
      <c r="O699" s="50">
        <f>G699*J699</f>
        <v/>
      </c>
      <c r="P699" s="50">
        <f>(J699-M699)*G699</f>
        <v/>
      </c>
      <c r="Q699" s="51">
        <f>IF(K699="Received",1,0)</f>
        <v/>
      </c>
      <c r="R699" s="51">
        <f>IF(Q699=1,F699-D699,0)</f>
        <v/>
      </c>
      <c r="S699" s="51">
        <f>IF(Q699=1,IF(F699&lt;=E699,1,0),0)</f>
        <v/>
      </c>
      <c r="T699" s="51">
        <f>IF(Q699=1,IF(H699&gt;=G699,1,0),0)</f>
        <v/>
      </c>
      <c r="U699" s="51">
        <f>S699*T699</f>
        <v/>
      </c>
      <c r="V699" s="51">
        <f>IF(Q699=1,MAX(0,F699-E699),0)</f>
        <v/>
      </c>
    </row>
    <row r="700">
      <c r="A700" s="43" t="inlineStr">
        <is>
          <t>PO100176</t>
        </is>
      </c>
      <c r="B700" s="43" t="inlineStr">
        <is>
          <t>CMD-0008</t>
        </is>
      </c>
      <c r="C700" s="43" t="inlineStr">
        <is>
          <t>S03</t>
        </is>
      </c>
      <c r="D700" s="47" t="n">
        <v>45814</v>
      </c>
      <c r="E700" s="47" t="n">
        <v>45947</v>
      </c>
      <c r="F700" s="47" t="n">
        <v>45944</v>
      </c>
      <c r="G700" s="46" t="n">
        <v>1485</v>
      </c>
      <c r="H700" s="46" t="n">
        <v>1485</v>
      </c>
      <c r="I700" s="46" t="n">
        <v>8</v>
      </c>
      <c r="J700" s="44" t="n">
        <v>23.66</v>
      </c>
      <c r="K700" s="43" t="inlineStr">
        <is>
          <t>Received</t>
        </is>
      </c>
      <c r="L700" s="17">
        <f>INDEX(Items!$C$2:$C$117,MATCH(B700,Items!$A$2:$A$117,0))</f>
        <v/>
      </c>
      <c r="M700" s="49">
        <f>INDEX(Items!$E$2:$E$117,MATCH(B700,Items!$A$2:$A$117,0))</f>
        <v/>
      </c>
      <c r="N700" s="17">
        <f>TEXT(D700,"yyyy-mm")</f>
        <v/>
      </c>
      <c r="O700" s="50">
        <f>G700*J700</f>
        <v/>
      </c>
      <c r="P700" s="50">
        <f>(J700-M700)*G700</f>
        <v/>
      </c>
      <c r="Q700" s="51">
        <f>IF(K700="Received",1,0)</f>
        <v/>
      </c>
      <c r="R700" s="51">
        <f>IF(Q700=1,F700-D700,0)</f>
        <v/>
      </c>
      <c r="S700" s="51">
        <f>IF(Q700=1,IF(F700&lt;=E700,1,0),0)</f>
        <v/>
      </c>
      <c r="T700" s="51">
        <f>IF(Q700=1,IF(H700&gt;=G700,1,0),0)</f>
        <v/>
      </c>
      <c r="U700" s="51">
        <f>S700*T700</f>
        <v/>
      </c>
      <c r="V700" s="51">
        <f>IF(Q700=1,MAX(0,F700-E700),0)</f>
        <v/>
      </c>
    </row>
    <row r="701">
      <c r="A701" s="43" t="inlineStr">
        <is>
          <t>PO100396</t>
        </is>
      </c>
      <c r="B701" s="43" t="inlineStr">
        <is>
          <t>CMD-0018</t>
        </is>
      </c>
      <c r="C701" s="43" t="inlineStr">
        <is>
          <t>S02</t>
        </is>
      </c>
      <c r="D701" s="47" t="n">
        <v>45814</v>
      </c>
      <c r="E701" s="47" t="n">
        <v>45870</v>
      </c>
      <c r="F701" s="47" t="n">
        <v>45869</v>
      </c>
      <c r="G701" s="46" t="n">
        <v>7671</v>
      </c>
      <c r="H701" s="46" t="n">
        <v>7671</v>
      </c>
      <c r="I701" s="46" t="n">
        <v>24</v>
      </c>
      <c r="J701" s="44" t="n">
        <v>37.92</v>
      </c>
      <c r="K701" s="43" t="inlineStr">
        <is>
          <t>Received</t>
        </is>
      </c>
      <c r="L701" s="17">
        <f>INDEX(Items!$C$2:$C$117,MATCH(B701,Items!$A$2:$A$117,0))</f>
        <v/>
      </c>
      <c r="M701" s="49">
        <f>INDEX(Items!$E$2:$E$117,MATCH(B701,Items!$A$2:$A$117,0))</f>
        <v/>
      </c>
      <c r="N701" s="17">
        <f>TEXT(D701,"yyyy-mm")</f>
        <v/>
      </c>
      <c r="O701" s="50">
        <f>G701*J701</f>
        <v/>
      </c>
      <c r="P701" s="50">
        <f>(J701-M701)*G701</f>
        <v/>
      </c>
      <c r="Q701" s="51">
        <f>IF(K701="Received",1,0)</f>
        <v/>
      </c>
      <c r="R701" s="51">
        <f>IF(Q701=1,F701-D701,0)</f>
        <v/>
      </c>
      <c r="S701" s="51">
        <f>IF(Q701=1,IF(F701&lt;=E701,1,0),0)</f>
        <v/>
      </c>
      <c r="T701" s="51">
        <f>IF(Q701=1,IF(H701&gt;=G701,1,0),0)</f>
        <v/>
      </c>
      <c r="U701" s="51">
        <f>S701*T701</f>
        <v/>
      </c>
      <c r="V701" s="51">
        <f>IF(Q701=1,MAX(0,F701-E701),0)</f>
        <v/>
      </c>
    </row>
    <row r="702">
      <c r="A702" s="43" t="inlineStr">
        <is>
          <t>PO101876</t>
        </is>
      </c>
      <c r="B702" s="43" t="inlineStr">
        <is>
          <t>CMD-0102</t>
        </is>
      </c>
      <c r="C702" s="43" t="inlineStr">
        <is>
          <t>S09</t>
        </is>
      </c>
      <c r="D702" s="47" t="n">
        <v>45814</v>
      </c>
      <c r="E702" s="47" t="n">
        <v>45835</v>
      </c>
      <c r="F702" s="47" t="n">
        <v>45835</v>
      </c>
      <c r="G702" s="46" t="n">
        <v>2293</v>
      </c>
      <c r="H702" s="46" t="n">
        <v>2293</v>
      </c>
      <c r="I702" s="46" t="n">
        <v>4</v>
      </c>
      <c r="J702" s="44" t="n">
        <v>6.71</v>
      </c>
      <c r="K702" s="43" t="inlineStr">
        <is>
          <t>Received</t>
        </is>
      </c>
      <c r="L702" s="17">
        <f>INDEX(Items!$C$2:$C$117,MATCH(B702,Items!$A$2:$A$117,0))</f>
        <v/>
      </c>
      <c r="M702" s="49">
        <f>INDEX(Items!$E$2:$E$117,MATCH(B702,Items!$A$2:$A$117,0))</f>
        <v/>
      </c>
      <c r="N702" s="17">
        <f>TEXT(D702,"yyyy-mm")</f>
        <v/>
      </c>
      <c r="O702" s="50">
        <f>G702*J702</f>
        <v/>
      </c>
      <c r="P702" s="50">
        <f>(J702-M702)*G702</f>
        <v/>
      </c>
      <c r="Q702" s="51">
        <f>IF(K702="Received",1,0)</f>
        <v/>
      </c>
      <c r="R702" s="51">
        <f>IF(Q702=1,F702-D702,0)</f>
        <v/>
      </c>
      <c r="S702" s="51">
        <f>IF(Q702=1,IF(F702&lt;=E702,1,0),0)</f>
        <v/>
      </c>
      <c r="T702" s="51">
        <f>IF(Q702=1,IF(H702&gt;=G702,1,0),0)</f>
        <v/>
      </c>
      <c r="U702" s="51">
        <f>S702*T702</f>
        <v/>
      </c>
      <c r="V702" s="51">
        <f>IF(Q702=1,MAX(0,F702-E702),0)</f>
        <v/>
      </c>
    </row>
    <row r="703">
      <c r="A703" s="43" t="inlineStr">
        <is>
          <t>PO100056</t>
        </is>
      </c>
      <c r="B703" s="43" t="inlineStr">
        <is>
          <t>CMD-0003</t>
        </is>
      </c>
      <c r="C703" s="43" t="inlineStr">
        <is>
          <t>S11</t>
        </is>
      </c>
      <c r="D703" s="47" t="n">
        <v>45814</v>
      </c>
      <c r="E703" s="47" t="n">
        <v>45933</v>
      </c>
      <c r="F703" s="47" t="n">
        <v>45932</v>
      </c>
      <c r="G703" s="46" t="n">
        <v>7631</v>
      </c>
      <c r="H703" s="46" t="n">
        <v>7631</v>
      </c>
      <c r="I703" s="46" t="n">
        <v>15</v>
      </c>
      <c r="J703" s="44" t="n">
        <v>21.49</v>
      </c>
      <c r="K703" s="43" t="inlineStr">
        <is>
          <t>Received</t>
        </is>
      </c>
      <c r="L703" s="17">
        <f>INDEX(Items!$C$2:$C$117,MATCH(B703,Items!$A$2:$A$117,0))</f>
        <v/>
      </c>
      <c r="M703" s="49">
        <f>INDEX(Items!$E$2:$E$117,MATCH(B703,Items!$A$2:$A$117,0))</f>
        <v/>
      </c>
      <c r="N703" s="17">
        <f>TEXT(D703,"yyyy-mm")</f>
        <v/>
      </c>
      <c r="O703" s="50">
        <f>G703*J703</f>
        <v/>
      </c>
      <c r="P703" s="50">
        <f>(J703-M703)*G703</f>
        <v/>
      </c>
      <c r="Q703" s="51">
        <f>IF(K703="Received",1,0)</f>
        <v/>
      </c>
      <c r="R703" s="51">
        <f>IF(Q703=1,F703-D703,0)</f>
        <v/>
      </c>
      <c r="S703" s="51">
        <f>IF(Q703=1,IF(F703&lt;=E703,1,0),0)</f>
        <v/>
      </c>
      <c r="T703" s="51">
        <f>IF(Q703=1,IF(H703&gt;=G703,1,0),0)</f>
        <v/>
      </c>
      <c r="U703" s="51">
        <f>S703*T703</f>
        <v/>
      </c>
      <c r="V703" s="51">
        <f>IF(Q703=1,MAX(0,F703-E703),0)</f>
        <v/>
      </c>
    </row>
    <row r="704">
      <c r="A704" s="43" t="inlineStr">
        <is>
          <t>PO101540</t>
        </is>
      </c>
      <c r="B704" s="43" t="inlineStr">
        <is>
          <t>CMD-0082</t>
        </is>
      </c>
      <c r="C704" s="43" t="inlineStr">
        <is>
          <t>S01</t>
        </is>
      </c>
      <c r="D704" s="47" t="n">
        <v>45814</v>
      </c>
      <c r="E704" s="47" t="n">
        <v>45828</v>
      </c>
      <c r="F704" s="47" t="n">
        <v>45826</v>
      </c>
      <c r="G704" s="46" t="n">
        <v>6927</v>
      </c>
      <c r="H704" s="46" t="n">
        <v>6927</v>
      </c>
      <c r="I704" s="46" t="n">
        <v>9</v>
      </c>
      <c r="J704" s="44" t="n">
        <v>2.32</v>
      </c>
      <c r="K704" s="43" t="inlineStr">
        <is>
          <t>Received</t>
        </is>
      </c>
      <c r="L704" s="17">
        <f>INDEX(Items!$C$2:$C$117,MATCH(B704,Items!$A$2:$A$117,0))</f>
        <v/>
      </c>
      <c r="M704" s="49">
        <f>INDEX(Items!$E$2:$E$117,MATCH(B704,Items!$A$2:$A$117,0))</f>
        <v/>
      </c>
      <c r="N704" s="17">
        <f>TEXT(D704,"yyyy-mm")</f>
        <v/>
      </c>
      <c r="O704" s="50">
        <f>G704*J704</f>
        <v/>
      </c>
      <c r="P704" s="50">
        <f>(J704-M704)*G704</f>
        <v/>
      </c>
      <c r="Q704" s="51">
        <f>IF(K704="Received",1,0)</f>
        <v/>
      </c>
      <c r="R704" s="51">
        <f>IF(Q704=1,F704-D704,0)</f>
        <v/>
      </c>
      <c r="S704" s="51">
        <f>IF(Q704=1,IF(F704&lt;=E704,1,0),0)</f>
        <v/>
      </c>
      <c r="T704" s="51">
        <f>IF(Q704=1,IF(H704&gt;=G704,1,0),0)</f>
        <v/>
      </c>
      <c r="U704" s="51">
        <f>S704*T704</f>
        <v/>
      </c>
      <c r="V704" s="51">
        <f>IF(Q704=1,MAX(0,F704-E704),0)</f>
        <v/>
      </c>
    </row>
    <row r="705">
      <c r="A705" s="43" t="inlineStr">
        <is>
          <t>PO101014</t>
        </is>
      </c>
      <c r="B705" s="43" t="inlineStr">
        <is>
          <t>CMD-0046</t>
        </is>
      </c>
      <c r="C705" s="43" t="inlineStr">
        <is>
          <t>S05</t>
        </is>
      </c>
      <c r="D705" s="47" t="n">
        <v>45814</v>
      </c>
      <c r="E705" s="47" t="n">
        <v>45919</v>
      </c>
      <c r="F705" s="47" t="n">
        <v>45922</v>
      </c>
      <c r="G705" s="46" t="n">
        <v>9065</v>
      </c>
      <c r="H705" s="46" t="n">
        <v>9065</v>
      </c>
      <c r="I705" s="46" t="n">
        <v>172</v>
      </c>
      <c r="J705" s="44" t="n">
        <v>10.57</v>
      </c>
      <c r="K705" s="43" t="inlineStr">
        <is>
          <t>Received</t>
        </is>
      </c>
      <c r="L705" s="17">
        <f>INDEX(Items!$C$2:$C$117,MATCH(B705,Items!$A$2:$A$117,0))</f>
        <v/>
      </c>
      <c r="M705" s="49">
        <f>INDEX(Items!$E$2:$E$117,MATCH(B705,Items!$A$2:$A$117,0))</f>
        <v/>
      </c>
      <c r="N705" s="17">
        <f>TEXT(D705,"yyyy-mm")</f>
        <v/>
      </c>
      <c r="O705" s="50">
        <f>G705*J705</f>
        <v/>
      </c>
      <c r="P705" s="50">
        <f>(J705-M705)*G705</f>
        <v/>
      </c>
      <c r="Q705" s="51">
        <f>IF(K705="Received",1,0)</f>
        <v/>
      </c>
      <c r="R705" s="51">
        <f>IF(Q705=1,F705-D705,0)</f>
        <v/>
      </c>
      <c r="S705" s="51">
        <f>IF(Q705=1,IF(F705&lt;=E705,1,0),0)</f>
        <v/>
      </c>
      <c r="T705" s="51">
        <f>IF(Q705=1,IF(H705&gt;=G705,1,0),0)</f>
        <v/>
      </c>
      <c r="U705" s="51">
        <f>S705*T705</f>
        <v/>
      </c>
      <c r="V705" s="51">
        <f>IF(Q705=1,MAX(0,F705-E705),0)</f>
        <v/>
      </c>
    </row>
    <row r="706">
      <c r="A706" s="43" t="inlineStr">
        <is>
          <t>PO100276</t>
        </is>
      </c>
      <c r="B706" s="43" t="inlineStr">
        <is>
          <t>CMD-0013</t>
        </is>
      </c>
      <c r="C706" s="43" t="inlineStr">
        <is>
          <t>S11</t>
        </is>
      </c>
      <c r="D706" s="47" t="n">
        <v>45815</v>
      </c>
      <c r="E706" s="47" t="n">
        <v>45934</v>
      </c>
      <c r="F706" s="47" t="n">
        <v>45933</v>
      </c>
      <c r="G706" s="46" t="n">
        <v>930</v>
      </c>
      <c r="H706" s="46" t="n">
        <v>930</v>
      </c>
      <c r="I706" s="46" t="n">
        <v>2</v>
      </c>
      <c r="J706" s="44" t="n">
        <v>6.75</v>
      </c>
      <c r="K706" s="43" t="inlineStr">
        <is>
          <t>Received</t>
        </is>
      </c>
      <c r="L706" s="17">
        <f>INDEX(Items!$C$2:$C$117,MATCH(B706,Items!$A$2:$A$117,0))</f>
        <v/>
      </c>
      <c r="M706" s="49">
        <f>INDEX(Items!$E$2:$E$117,MATCH(B706,Items!$A$2:$A$117,0))</f>
        <v/>
      </c>
      <c r="N706" s="17">
        <f>TEXT(D706,"yyyy-mm")</f>
        <v/>
      </c>
      <c r="O706" s="50">
        <f>G706*J706</f>
        <v/>
      </c>
      <c r="P706" s="50">
        <f>(J706-M706)*G706</f>
        <v/>
      </c>
      <c r="Q706" s="51">
        <f>IF(K706="Received",1,0)</f>
        <v/>
      </c>
      <c r="R706" s="51">
        <f>IF(Q706=1,F706-D706,0)</f>
        <v/>
      </c>
      <c r="S706" s="51">
        <f>IF(Q706=1,IF(F706&lt;=E706,1,0),0)</f>
        <v/>
      </c>
      <c r="T706" s="51">
        <f>IF(Q706=1,IF(H706&gt;=G706,1,0),0)</f>
        <v/>
      </c>
      <c r="U706" s="51">
        <f>S706*T706</f>
        <v/>
      </c>
      <c r="V706" s="51">
        <f>IF(Q706=1,MAX(0,F706-E706),0)</f>
        <v/>
      </c>
    </row>
    <row r="707">
      <c r="A707" s="43" t="inlineStr">
        <is>
          <t>PO101770</t>
        </is>
      </c>
      <c r="B707" s="43" t="inlineStr">
        <is>
          <t>CMD-0096</t>
        </is>
      </c>
      <c r="C707" s="43" t="inlineStr">
        <is>
          <t>S09</t>
        </is>
      </c>
      <c r="D707" s="47" t="n">
        <v>45815</v>
      </c>
      <c r="E707" s="47" t="n">
        <v>45836</v>
      </c>
      <c r="F707" s="47" t="n">
        <v>45836</v>
      </c>
      <c r="G707" s="46" t="n">
        <v>939</v>
      </c>
      <c r="H707" s="46" t="n">
        <v>939</v>
      </c>
      <c r="I707" s="46" t="n">
        <v>1</v>
      </c>
      <c r="J707" s="44" t="n">
        <v>6.42</v>
      </c>
      <c r="K707" s="43" t="inlineStr">
        <is>
          <t>Received</t>
        </is>
      </c>
      <c r="L707" s="17">
        <f>INDEX(Items!$C$2:$C$117,MATCH(B707,Items!$A$2:$A$117,0))</f>
        <v/>
      </c>
      <c r="M707" s="49">
        <f>INDEX(Items!$E$2:$E$117,MATCH(B707,Items!$A$2:$A$117,0))</f>
        <v/>
      </c>
      <c r="N707" s="17">
        <f>TEXT(D707,"yyyy-mm")</f>
        <v/>
      </c>
      <c r="O707" s="50">
        <f>G707*J707</f>
        <v/>
      </c>
      <c r="P707" s="50">
        <f>(J707-M707)*G707</f>
        <v/>
      </c>
      <c r="Q707" s="51">
        <f>IF(K707="Received",1,0)</f>
        <v/>
      </c>
      <c r="R707" s="51">
        <f>IF(Q707=1,F707-D707,0)</f>
        <v/>
      </c>
      <c r="S707" s="51">
        <f>IF(Q707=1,IF(F707&lt;=E707,1,0),0)</f>
        <v/>
      </c>
      <c r="T707" s="51">
        <f>IF(Q707=1,IF(H707&gt;=G707,1,0),0)</f>
        <v/>
      </c>
      <c r="U707" s="51">
        <f>S707*T707</f>
        <v/>
      </c>
      <c r="V707" s="51">
        <f>IF(Q707=1,MAX(0,F707-E707),0)</f>
        <v/>
      </c>
    </row>
    <row r="708">
      <c r="A708" s="43" t="inlineStr">
        <is>
          <t>PO101190</t>
        </is>
      </c>
      <c r="B708" s="43" t="inlineStr">
        <is>
          <t>CMD-0055</t>
        </is>
      </c>
      <c r="C708" s="43" t="inlineStr">
        <is>
          <t>S04</t>
        </is>
      </c>
      <c r="D708" s="47" t="n">
        <v>45815</v>
      </c>
      <c r="E708" s="47" t="n">
        <v>45850</v>
      </c>
      <c r="F708" s="47" t="n">
        <v>45850</v>
      </c>
      <c r="G708" s="46" t="n">
        <v>112246</v>
      </c>
      <c r="H708" s="46" t="n">
        <v>112246</v>
      </c>
      <c r="I708" s="46" t="n">
        <v>1095</v>
      </c>
      <c r="J708" s="44" t="n">
        <v>0.09379999999999999</v>
      </c>
      <c r="K708" s="43" t="inlineStr">
        <is>
          <t>Received</t>
        </is>
      </c>
      <c r="L708" s="17">
        <f>INDEX(Items!$C$2:$C$117,MATCH(B708,Items!$A$2:$A$117,0))</f>
        <v/>
      </c>
      <c r="M708" s="49">
        <f>INDEX(Items!$E$2:$E$117,MATCH(B708,Items!$A$2:$A$117,0))</f>
        <v/>
      </c>
      <c r="N708" s="17">
        <f>TEXT(D708,"yyyy-mm")</f>
        <v/>
      </c>
      <c r="O708" s="50">
        <f>G708*J708</f>
        <v/>
      </c>
      <c r="P708" s="50">
        <f>(J708-M708)*G708</f>
        <v/>
      </c>
      <c r="Q708" s="51">
        <f>IF(K708="Received",1,0)</f>
        <v/>
      </c>
      <c r="R708" s="51">
        <f>IF(Q708=1,F708-D708,0)</f>
        <v/>
      </c>
      <c r="S708" s="51">
        <f>IF(Q708=1,IF(F708&lt;=E708,1,0),0)</f>
        <v/>
      </c>
      <c r="T708" s="51">
        <f>IF(Q708=1,IF(H708&gt;=G708,1,0),0)</f>
        <v/>
      </c>
      <c r="U708" s="51">
        <f>S708*T708</f>
        <v/>
      </c>
      <c r="V708" s="51">
        <f>IF(Q708=1,MAX(0,F708-E708),0)</f>
        <v/>
      </c>
    </row>
    <row r="709">
      <c r="A709" s="43" t="inlineStr">
        <is>
          <t>PO100802</t>
        </is>
      </c>
      <c r="B709" s="43" t="inlineStr">
        <is>
          <t>CMD-0036</t>
        </is>
      </c>
      <c r="C709" s="43" t="inlineStr">
        <is>
          <t>S04</t>
        </is>
      </c>
      <c r="D709" s="47" t="n">
        <v>45815</v>
      </c>
      <c r="E709" s="47" t="n">
        <v>45857</v>
      </c>
      <c r="F709" s="47" t="n">
        <v>45884</v>
      </c>
      <c r="G709" s="46" t="n">
        <v>526</v>
      </c>
      <c r="H709" s="46" t="n">
        <v>526</v>
      </c>
      <c r="I709" s="46" t="n">
        <v>6</v>
      </c>
      <c r="J709" s="44" t="n">
        <v>12.36</v>
      </c>
      <c r="K709" s="43" t="inlineStr">
        <is>
          <t>Received</t>
        </is>
      </c>
      <c r="L709" s="17">
        <f>INDEX(Items!$C$2:$C$117,MATCH(B709,Items!$A$2:$A$117,0))</f>
        <v/>
      </c>
      <c r="M709" s="49">
        <f>INDEX(Items!$E$2:$E$117,MATCH(B709,Items!$A$2:$A$117,0))</f>
        <v/>
      </c>
      <c r="N709" s="17">
        <f>TEXT(D709,"yyyy-mm")</f>
        <v/>
      </c>
      <c r="O709" s="50">
        <f>G709*J709</f>
        <v/>
      </c>
      <c r="P709" s="50">
        <f>(J709-M709)*G709</f>
        <v/>
      </c>
      <c r="Q709" s="51">
        <f>IF(K709="Received",1,0)</f>
        <v/>
      </c>
      <c r="R709" s="51">
        <f>IF(Q709=1,F709-D709,0)</f>
        <v/>
      </c>
      <c r="S709" s="51">
        <f>IF(Q709=1,IF(F709&lt;=E709,1,0),0)</f>
        <v/>
      </c>
      <c r="T709" s="51">
        <f>IF(Q709=1,IF(H709&gt;=G709,1,0),0)</f>
        <v/>
      </c>
      <c r="U709" s="51">
        <f>S709*T709</f>
        <v/>
      </c>
      <c r="V709" s="51">
        <f>IF(Q709=1,MAX(0,F709-E709),0)</f>
        <v/>
      </c>
    </row>
    <row r="710">
      <c r="A710" s="43" t="inlineStr">
        <is>
          <t>PO101284</t>
        </is>
      </c>
      <c r="B710" s="43" t="inlineStr">
        <is>
          <t>CMD-0062</t>
        </is>
      </c>
      <c r="C710" s="43" t="inlineStr">
        <is>
          <t>S01</t>
        </is>
      </c>
      <c r="D710" s="47" t="n">
        <v>45815</v>
      </c>
      <c r="E710" s="47" t="n">
        <v>45836</v>
      </c>
      <c r="F710" s="47" t="n">
        <v>45833</v>
      </c>
      <c r="G710" s="46" t="n">
        <v>69997</v>
      </c>
      <c r="H710" s="46" t="n">
        <v>69997</v>
      </c>
      <c r="I710" s="46" t="n">
        <v>121</v>
      </c>
      <c r="J710" s="44" t="n">
        <v>0.1139</v>
      </c>
      <c r="K710" s="43" t="inlineStr">
        <is>
          <t>Received</t>
        </is>
      </c>
      <c r="L710" s="17">
        <f>INDEX(Items!$C$2:$C$117,MATCH(B710,Items!$A$2:$A$117,0))</f>
        <v/>
      </c>
      <c r="M710" s="49">
        <f>INDEX(Items!$E$2:$E$117,MATCH(B710,Items!$A$2:$A$117,0))</f>
        <v/>
      </c>
      <c r="N710" s="17">
        <f>TEXT(D710,"yyyy-mm")</f>
        <v/>
      </c>
      <c r="O710" s="50">
        <f>G710*J710</f>
        <v/>
      </c>
      <c r="P710" s="50">
        <f>(J710-M710)*G710</f>
        <v/>
      </c>
      <c r="Q710" s="51">
        <f>IF(K710="Received",1,0)</f>
        <v/>
      </c>
      <c r="R710" s="51">
        <f>IF(Q710=1,F710-D710,0)</f>
        <v/>
      </c>
      <c r="S710" s="51">
        <f>IF(Q710=1,IF(F710&lt;=E710,1,0),0)</f>
        <v/>
      </c>
      <c r="T710" s="51">
        <f>IF(Q710=1,IF(H710&gt;=G710,1,0),0)</f>
        <v/>
      </c>
      <c r="U710" s="51">
        <f>S710*T710</f>
        <v/>
      </c>
      <c r="V710" s="51">
        <f>IF(Q710=1,MAX(0,F710-E710),0)</f>
        <v/>
      </c>
    </row>
    <row r="711">
      <c r="A711" s="43" t="inlineStr">
        <is>
          <t>PO101404</t>
        </is>
      </c>
      <c r="B711" s="43" t="inlineStr">
        <is>
          <t>CMD-0074</t>
        </is>
      </c>
      <c r="C711" s="43" t="inlineStr">
        <is>
          <t>S10</t>
        </is>
      </c>
      <c r="D711" s="47" t="n">
        <v>45815</v>
      </c>
      <c r="E711" s="47" t="n">
        <v>45843</v>
      </c>
      <c r="F711" s="47" t="n">
        <v>45843</v>
      </c>
      <c r="G711" s="46" t="n">
        <v>61676</v>
      </c>
      <c r="H711" s="46" t="n">
        <v>61676</v>
      </c>
      <c r="I711" s="46" t="n">
        <v>53</v>
      </c>
      <c r="J711" s="44" t="n">
        <v>0.3496</v>
      </c>
      <c r="K711" s="43" t="inlineStr">
        <is>
          <t>Received</t>
        </is>
      </c>
      <c r="L711" s="17">
        <f>INDEX(Items!$C$2:$C$117,MATCH(B711,Items!$A$2:$A$117,0))</f>
        <v/>
      </c>
      <c r="M711" s="49">
        <f>INDEX(Items!$E$2:$E$117,MATCH(B711,Items!$A$2:$A$117,0))</f>
        <v/>
      </c>
      <c r="N711" s="17">
        <f>TEXT(D711,"yyyy-mm")</f>
        <v/>
      </c>
      <c r="O711" s="50">
        <f>G711*J711</f>
        <v/>
      </c>
      <c r="P711" s="50">
        <f>(J711-M711)*G711</f>
        <v/>
      </c>
      <c r="Q711" s="51">
        <f>IF(K711="Received",1,0)</f>
        <v/>
      </c>
      <c r="R711" s="51">
        <f>IF(Q711=1,F711-D711,0)</f>
        <v/>
      </c>
      <c r="S711" s="51">
        <f>IF(Q711=1,IF(F711&lt;=E711,1,0),0)</f>
        <v/>
      </c>
      <c r="T711" s="51">
        <f>IF(Q711=1,IF(H711&gt;=G711,1,0),0)</f>
        <v/>
      </c>
      <c r="U711" s="51">
        <f>S711*T711</f>
        <v/>
      </c>
      <c r="V711" s="51">
        <f>IF(Q711=1,MAX(0,F711-E711),0)</f>
        <v/>
      </c>
    </row>
    <row r="712">
      <c r="A712" s="43" t="inlineStr">
        <is>
          <t>PO101512</t>
        </is>
      </c>
      <c r="B712" s="43" t="inlineStr">
        <is>
          <t>CMD-0080</t>
        </is>
      </c>
      <c r="C712" s="43" t="inlineStr">
        <is>
          <t>S06</t>
        </is>
      </c>
      <c r="D712" s="47" t="n">
        <v>45815</v>
      </c>
      <c r="E712" s="47" t="n">
        <v>45836</v>
      </c>
      <c r="F712" s="47" t="n">
        <v>45836</v>
      </c>
      <c r="G712" s="46" t="n">
        <v>4453</v>
      </c>
      <c r="H712" s="46" t="n">
        <v>4453</v>
      </c>
      <c r="I712" s="46" t="n">
        <v>24</v>
      </c>
      <c r="J712" s="44" t="n">
        <v>5.53</v>
      </c>
      <c r="K712" s="43" t="inlineStr">
        <is>
          <t>Received</t>
        </is>
      </c>
      <c r="L712" s="17">
        <f>INDEX(Items!$C$2:$C$117,MATCH(B712,Items!$A$2:$A$117,0))</f>
        <v/>
      </c>
      <c r="M712" s="49">
        <f>INDEX(Items!$E$2:$E$117,MATCH(B712,Items!$A$2:$A$117,0))</f>
        <v/>
      </c>
      <c r="N712" s="17">
        <f>TEXT(D712,"yyyy-mm")</f>
        <v/>
      </c>
      <c r="O712" s="50">
        <f>G712*J712</f>
        <v/>
      </c>
      <c r="P712" s="50">
        <f>(J712-M712)*G712</f>
        <v/>
      </c>
      <c r="Q712" s="51">
        <f>IF(K712="Received",1,0)</f>
        <v/>
      </c>
      <c r="R712" s="51">
        <f>IF(Q712=1,F712-D712,0)</f>
        <v/>
      </c>
      <c r="S712" s="51">
        <f>IF(Q712=1,IF(F712&lt;=E712,1,0),0)</f>
        <v/>
      </c>
      <c r="T712" s="51">
        <f>IF(Q712=1,IF(H712&gt;=G712,1,0),0)</f>
        <v/>
      </c>
      <c r="U712" s="51">
        <f>S712*T712</f>
        <v/>
      </c>
      <c r="V712" s="51">
        <f>IF(Q712=1,MAX(0,F712-E712),0)</f>
        <v/>
      </c>
    </row>
    <row r="713">
      <c r="A713" s="43" t="inlineStr">
        <is>
          <t>PO100032</t>
        </is>
      </c>
      <c r="B713" s="43" t="inlineStr">
        <is>
          <t>CMD-0002</t>
        </is>
      </c>
      <c r="C713" s="43" t="inlineStr">
        <is>
          <t>S11</t>
        </is>
      </c>
      <c r="D713" s="47" t="n">
        <v>45816</v>
      </c>
      <c r="E713" s="47" t="n">
        <v>45935</v>
      </c>
      <c r="F713" s="47" t="n">
        <v>45934</v>
      </c>
      <c r="G713" s="46" t="n">
        <v>7497</v>
      </c>
      <c r="H713" s="46" t="n">
        <v>7497</v>
      </c>
      <c r="I713" s="46" t="n">
        <v>12</v>
      </c>
      <c r="J713" s="44" t="n">
        <v>6.85</v>
      </c>
      <c r="K713" s="43" t="inlineStr">
        <is>
          <t>Received</t>
        </is>
      </c>
      <c r="L713" s="17">
        <f>INDEX(Items!$C$2:$C$117,MATCH(B713,Items!$A$2:$A$117,0))</f>
        <v/>
      </c>
      <c r="M713" s="49">
        <f>INDEX(Items!$E$2:$E$117,MATCH(B713,Items!$A$2:$A$117,0))</f>
        <v/>
      </c>
      <c r="N713" s="17">
        <f>TEXT(D713,"yyyy-mm")</f>
        <v/>
      </c>
      <c r="O713" s="50">
        <f>G713*J713</f>
        <v/>
      </c>
      <c r="P713" s="50">
        <f>(J713-M713)*G713</f>
        <v/>
      </c>
      <c r="Q713" s="51">
        <f>IF(K713="Received",1,0)</f>
        <v/>
      </c>
      <c r="R713" s="51">
        <f>IF(Q713=1,F713-D713,0)</f>
        <v/>
      </c>
      <c r="S713" s="51">
        <f>IF(Q713=1,IF(F713&lt;=E713,1,0),0)</f>
        <v/>
      </c>
      <c r="T713" s="51">
        <f>IF(Q713=1,IF(H713&gt;=G713,1,0),0)</f>
        <v/>
      </c>
      <c r="U713" s="51">
        <f>S713*T713</f>
        <v/>
      </c>
      <c r="V713" s="51">
        <f>IF(Q713=1,MAX(0,F713-E713),0)</f>
        <v/>
      </c>
    </row>
    <row r="714">
      <c r="A714" s="43" t="inlineStr">
        <is>
          <t>PO100372</t>
        </is>
      </c>
      <c r="B714" s="43" t="inlineStr">
        <is>
          <t>CMD-0017</t>
        </is>
      </c>
      <c r="C714" s="43" t="inlineStr">
        <is>
          <t>S11</t>
        </is>
      </c>
      <c r="D714" s="47" t="n">
        <v>45816</v>
      </c>
      <c r="E714" s="47" t="n">
        <v>45893</v>
      </c>
      <c r="F714" s="47" t="n">
        <v>45890</v>
      </c>
      <c r="G714" s="46" t="n">
        <v>6796</v>
      </c>
      <c r="H714" s="46" t="n">
        <v>6796</v>
      </c>
      <c r="I714" s="46" t="n">
        <v>17</v>
      </c>
      <c r="J714" s="44" t="n">
        <v>12.69</v>
      </c>
      <c r="K714" s="43" t="inlineStr">
        <is>
          <t>Received</t>
        </is>
      </c>
      <c r="L714" s="17">
        <f>INDEX(Items!$C$2:$C$117,MATCH(B714,Items!$A$2:$A$117,0))</f>
        <v/>
      </c>
      <c r="M714" s="49">
        <f>INDEX(Items!$E$2:$E$117,MATCH(B714,Items!$A$2:$A$117,0))</f>
        <v/>
      </c>
      <c r="N714" s="17">
        <f>TEXT(D714,"yyyy-mm")</f>
        <v/>
      </c>
      <c r="O714" s="50">
        <f>G714*J714</f>
        <v/>
      </c>
      <c r="P714" s="50">
        <f>(J714-M714)*G714</f>
        <v/>
      </c>
      <c r="Q714" s="51">
        <f>IF(K714="Received",1,0)</f>
        <v/>
      </c>
      <c r="R714" s="51">
        <f>IF(Q714=1,F714-D714,0)</f>
        <v/>
      </c>
      <c r="S714" s="51">
        <f>IF(Q714=1,IF(F714&lt;=E714,1,0),0)</f>
        <v/>
      </c>
      <c r="T714" s="51">
        <f>IF(Q714=1,IF(H714&gt;=G714,1,0),0)</f>
        <v/>
      </c>
      <c r="U714" s="51">
        <f>S714*T714</f>
        <v/>
      </c>
      <c r="V714" s="51">
        <f>IF(Q714=1,MAX(0,F714-E714),0)</f>
        <v/>
      </c>
    </row>
    <row r="715">
      <c r="A715" s="43" t="inlineStr">
        <is>
          <t>PO100300</t>
        </is>
      </c>
      <c r="B715" s="43" t="inlineStr">
        <is>
          <t>CMD-0014</t>
        </is>
      </c>
      <c r="C715" s="43" t="inlineStr">
        <is>
          <t>S03</t>
        </is>
      </c>
      <c r="D715" s="47" t="n">
        <v>45816</v>
      </c>
      <c r="E715" s="47" t="n">
        <v>45949</v>
      </c>
      <c r="F715" s="47" t="n">
        <v>45947</v>
      </c>
      <c r="G715" s="46" t="n">
        <v>4497</v>
      </c>
      <c r="H715" s="46" t="n">
        <v>4497</v>
      </c>
      <c r="I715" s="46" t="n">
        <v>23</v>
      </c>
      <c r="J715" s="44" t="n">
        <v>12.62</v>
      </c>
      <c r="K715" s="43" t="inlineStr">
        <is>
          <t>Received</t>
        </is>
      </c>
      <c r="L715" s="17">
        <f>INDEX(Items!$C$2:$C$117,MATCH(B715,Items!$A$2:$A$117,0))</f>
        <v/>
      </c>
      <c r="M715" s="49">
        <f>INDEX(Items!$E$2:$E$117,MATCH(B715,Items!$A$2:$A$117,0))</f>
        <v/>
      </c>
      <c r="N715" s="17">
        <f>TEXT(D715,"yyyy-mm")</f>
        <v/>
      </c>
      <c r="O715" s="50">
        <f>G715*J715</f>
        <v/>
      </c>
      <c r="P715" s="50">
        <f>(J715-M715)*G715</f>
        <v/>
      </c>
      <c r="Q715" s="51">
        <f>IF(K715="Received",1,0)</f>
        <v/>
      </c>
      <c r="R715" s="51">
        <f>IF(Q715=1,F715-D715,0)</f>
        <v/>
      </c>
      <c r="S715" s="51">
        <f>IF(Q715=1,IF(F715&lt;=E715,1,0),0)</f>
        <v/>
      </c>
      <c r="T715" s="51">
        <f>IF(Q715=1,IF(H715&gt;=G715,1,0),0)</f>
        <v/>
      </c>
      <c r="U715" s="51">
        <f>S715*T715</f>
        <v/>
      </c>
      <c r="V715" s="51">
        <f>IF(Q715=1,MAX(0,F715-E715),0)</f>
        <v/>
      </c>
    </row>
    <row r="716">
      <c r="A716" s="43" t="inlineStr">
        <is>
          <t>PO101722</t>
        </is>
      </c>
      <c r="B716" s="43" t="inlineStr">
        <is>
          <t>CMD-0094</t>
        </is>
      </c>
      <c r="C716" s="43" t="inlineStr">
        <is>
          <t>S08</t>
        </is>
      </c>
      <c r="D716" s="47" t="n">
        <v>45817</v>
      </c>
      <c r="E716" s="47" t="n">
        <v>45894</v>
      </c>
      <c r="F716" s="47" t="n">
        <v>45893</v>
      </c>
      <c r="G716" s="46" t="n">
        <v>369</v>
      </c>
      <c r="H716" s="46" t="n">
        <v>369</v>
      </c>
      <c r="I716" s="46" t="n">
        <v>5</v>
      </c>
      <c r="J716" s="44" t="n">
        <v>74.09</v>
      </c>
      <c r="K716" s="43" t="inlineStr">
        <is>
          <t>Received</t>
        </is>
      </c>
      <c r="L716" s="17">
        <f>INDEX(Items!$C$2:$C$117,MATCH(B716,Items!$A$2:$A$117,0))</f>
        <v/>
      </c>
      <c r="M716" s="49">
        <f>INDEX(Items!$E$2:$E$117,MATCH(B716,Items!$A$2:$A$117,0))</f>
        <v/>
      </c>
      <c r="N716" s="17">
        <f>TEXT(D716,"yyyy-mm")</f>
        <v/>
      </c>
      <c r="O716" s="50">
        <f>G716*J716</f>
        <v/>
      </c>
      <c r="P716" s="50">
        <f>(J716-M716)*G716</f>
        <v/>
      </c>
      <c r="Q716" s="51">
        <f>IF(K716="Received",1,0)</f>
        <v/>
      </c>
      <c r="R716" s="51">
        <f>IF(Q716=1,F716-D716,0)</f>
        <v/>
      </c>
      <c r="S716" s="51">
        <f>IF(Q716=1,IF(F716&lt;=E716,1,0),0)</f>
        <v/>
      </c>
      <c r="T716" s="51">
        <f>IF(Q716=1,IF(H716&gt;=G716,1,0),0)</f>
        <v/>
      </c>
      <c r="U716" s="51">
        <f>S716*T716</f>
        <v/>
      </c>
      <c r="V716" s="51">
        <f>IF(Q716=1,MAX(0,F716-E716),0)</f>
        <v/>
      </c>
    </row>
    <row r="717">
      <c r="A717" s="43" t="inlineStr">
        <is>
          <t>PO101464</t>
        </is>
      </c>
      <c r="B717" s="43" t="inlineStr">
        <is>
          <t>CMD-0078</t>
        </is>
      </c>
      <c r="C717" s="43" t="inlineStr">
        <is>
          <t>S06</t>
        </is>
      </c>
      <c r="D717" s="47" t="n">
        <v>45817</v>
      </c>
      <c r="E717" s="47" t="n">
        <v>45838</v>
      </c>
      <c r="F717" s="47" t="n">
        <v>45851</v>
      </c>
      <c r="G717" s="46" t="n">
        <v>4410</v>
      </c>
      <c r="H717" s="46" t="n">
        <v>4410</v>
      </c>
      <c r="I717" s="46" t="n">
        <v>14</v>
      </c>
      <c r="J717" s="44" t="n">
        <v>2.6</v>
      </c>
      <c r="K717" s="43" t="inlineStr">
        <is>
          <t>Received</t>
        </is>
      </c>
      <c r="L717" s="17">
        <f>INDEX(Items!$C$2:$C$117,MATCH(B717,Items!$A$2:$A$117,0))</f>
        <v/>
      </c>
      <c r="M717" s="49">
        <f>INDEX(Items!$E$2:$E$117,MATCH(B717,Items!$A$2:$A$117,0))</f>
        <v/>
      </c>
      <c r="N717" s="17">
        <f>TEXT(D717,"yyyy-mm")</f>
        <v/>
      </c>
      <c r="O717" s="50">
        <f>G717*J717</f>
        <v/>
      </c>
      <c r="P717" s="50">
        <f>(J717-M717)*G717</f>
        <v/>
      </c>
      <c r="Q717" s="51">
        <f>IF(K717="Received",1,0)</f>
        <v/>
      </c>
      <c r="R717" s="51">
        <f>IF(Q717=1,F717-D717,0)</f>
        <v/>
      </c>
      <c r="S717" s="51">
        <f>IF(Q717=1,IF(F717&lt;=E717,1,0),0)</f>
        <v/>
      </c>
      <c r="T717" s="51">
        <f>IF(Q717=1,IF(H717&gt;=G717,1,0),0)</f>
        <v/>
      </c>
      <c r="U717" s="51">
        <f>S717*T717</f>
        <v/>
      </c>
      <c r="V717" s="51">
        <f>IF(Q717=1,MAX(0,F717-E717),0)</f>
        <v/>
      </c>
    </row>
    <row r="718">
      <c r="A718" s="43" t="inlineStr">
        <is>
          <t>PO100480</t>
        </is>
      </c>
      <c r="B718" s="43" t="inlineStr">
        <is>
          <t>CMD-0022</t>
        </is>
      </c>
      <c r="C718" s="43" t="inlineStr">
        <is>
          <t>S02</t>
        </is>
      </c>
      <c r="D718" s="47" t="n">
        <v>45817</v>
      </c>
      <c r="E718" s="47" t="n">
        <v>45873</v>
      </c>
      <c r="F718" s="47" t="n">
        <v>45873</v>
      </c>
      <c r="G718" s="46" t="n">
        <v>3448</v>
      </c>
      <c r="H718" s="46" t="n">
        <v>3448</v>
      </c>
      <c r="I718" s="46" t="n">
        <v>6</v>
      </c>
      <c r="J718" s="44" t="n">
        <v>17.18</v>
      </c>
      <c r="K718" s="43" t="inlineStr">
        <is>
          <t>Received</t>
        </is>
      </c>
      <c r="L718" s="17">
        <f>INDEX(Items!$C$2:$C$117,MATCH(B718,Items!$A$2:$A$117,0))</f>
        <v/>
      </c>
      <c r="M718" s="49">
        <f>INDEX(Items!$E$2:$E$117,MATCH(B718,Items!$A$2:$A$117,0))</f>
        <v/>
      </c>
      <c r="N718" s="17">
        <f>TEXT(D718,"yyyy-mm")</f>
        <v/>
      </c>
      <c r="O718" s="50">
        <f>G718*J718</f>
        <v/>
      </c>
      <c r="P718" s="50">
        <f>(J718-M718)*G718</f>
        <v/>
      </c>
      <c r="Q718" s="51">
        <f>IF(K718="Received",1,0)</f>
        <v/>
      </c>
      <c r="R718" s="51">
        <f>IF(Q718=1,F718-D718,0)</f>
        <v/>
      </c>
      <c r="S718" s="51">
        <f>IF(Q718=1,IF(F718&lt;=E718,1,0),0)</f>
        <v/>
      </c>
      <c r="T718" s="51">
        <f>IF(Q718=1,IF(H718&gt;=G718,1,0),0)</f>
        <v/>
      </c>
      <c r="U718" s="51">
        <f>S718*T718</f>
        <v/>
      </c>
      <c r="V718" s="51">
        <f>IF(Q718=1,MAX(0,F718-E718),0)</f>
        <v/>
      </c>
    </row>
    <row r="719">
      <c r="A719" s="43" t="inlineStr">
        <is>
          <t>PO100850</t>
        </is>
      </c>
      <c r="B719" s="43" t="inlineStr">
        <is>
          <t>CMD-0038</t>
        </is>
      </c>
      <c r="C719" s="43" t="inlineStr">
        <is>
          <t>S01</t>
        </is>
      </c>
      <c r="D719" s="47" t="n">
        <v>45817</v>
      </c>
      <c r="E719" s="47" t="n">
        <v>45845</v>
      </c>
      <c r="F719" s="47" t="n">
        <v>45857</v>
      </c>
      <c r="G719" s="46" t="n">
        <v>977</v>
      </c>
      <c r="H719" s="46" t="n">
        <v>977</v>
      </c>
      <c r="I719" s="46" t="n">
        <v>1</v>
      </c>
      <c r="J719" s="44" t="n">
        <v>21.49</v>
      </c>
      <c r="K719" s="43" t="inlineStr">
        <is>
          <t>Received</t>
        </is>
      </c>
      <c r="L719" s="17">
        <f>INDEX(Items!$C$2:$C$117,MATCH(B719,Items!$A$2:$A$117,0))</f>
        <v/>
      </c>
      <c r="M719" s="49">
        <f>INDEX(Items!$E$2:$E$117,MATCH(B719,Items!$A$2:$A$117,0))</f>
        <v/>
      </c>
      <c r="N719" s="17">
        <f>TEXT(D719,"yyyy-mm")</f>
        <v/>
      </c>
      <c r="O719" s="50">
        <f>G719*J719</f>
        <v/>
      </c>
      <c r="P719" s="50">
        <f>(J719-M719)*G719</f>
        <v/>
      </c>
      <c r="Q719" s="51">
        <f>IF(K719="Received",1,0)</f>
        <v/>
      </c>
      <c r="R719" s="51">
        <f>IF(Q719=1,F719-D719,0)</f>
        <v/>
      </c>
      <c r="S719" s="51">
        <f>IF(Q719=1,IF(F719&lt;=E719,1,0),0)</f>
        <v/>
      </c>
      <c r="T719" s="51">
        <f>IF(Q719=1,IF(H719&gt;=G719,1,0),0)</f>
        <v/>
      </c>
      <c r="U719" s="51">
        <f>S719*T719</f>
        <v/>
      </c>
      <c r="V719" s="51">
        <f>IF(Q719=1,MAX(0,F719-E719),0)</f>
        <v/>
      </c>
    </row>
    <row r="720">
      <c r="A720" s="43" t="inlineStr">
        <is>
          <t>PO100224</t>
        </is>
      </c>
      <c r="B720" s="43" t="inlineStr">
        <is>
          <t>CMD-0010</t>
        </is>
      </c>
      <c r="C720" s="43" t="inlineStr">
        <is>
          <t>S03</t>
        </is>
      </c>
      <c r="D720" s="47" t="n">
        <v>45817</v>
      </c>
      <c r="E720" s="47" t="n">
        <v>45950</v>
      </c>
      <c r="F720" s="47" t="n">
        <v>45947</v>
      </c>
      <c r="G720" s="46" t="n">
        <v>4588</v>
      </c>
      <c r="H720" s="46" t="n">
        <v>4588</v>
      </c>
      <c r="I720" s="46" t="n">
        <v>26</v>
      </c>
      <c r="J720" s="44" t="n">
        <v>4.63</v>
      </c>
      <c r="K720" s="43" t="inlineStr">
        <is>
          <t>Received</t>
        </is>
      </c>
      <c r="L720" s="17">
        <f>INDEX(Items!$C$2:$C$117,MATCH(B720,Items!$A$2:$A$117,0))</f>
        <v/>
      </c>
      <c r="M720" s="49">
        <f>INDEX(Items!$E$2:$E$117,MATCH(B720,Items!$A$2:$A$117,0))</f>
        <v/>
      </c>
      <c r="N720" s="17">
        <f>TEXT(D720,"yyyy-mm")</f>
        <v/>
      </c>
      <c r="O720" s="50">
        <f>G720*J720</f>
        <v/>
      </c>
      <c r="P720" s="50">
        <f>(J720-M720)*G720</f>
        <v/>
      </c>
      <c r="Q720" s="51">
        <f>IF(K720="Received",1,0)</f>
        <v/>
      </c>
      <c r="R720" s="51">
        <f>IF(Q720=1,F720-D720,0)</f>
        <v/>
      </c>
      <c r="S720" s="51">
        <f>IF(Q720=1,IF(F720&lt;=E720,1,0),0)</f>
        <v/>
      </c>
      <c r="T720" s="51">
        <f>IF(Q720=1,IF(H720&gt;=G720,1,0),0)</f>
        <v/>
      </c>
      <c r="U720" s="51">
        <f>S720*T720</f>
        <v/>
      </c>
      <c r="V720" s="51">
        <f>IF(Q720=1,MAX(0,F720-E720),0)</f>
        <v/>
      </c>
    </row>
    <row r="721">
      <c r="A721" s="43" t="inlineStr">
        <is>
          <t>PO100730</t>
        </is>
      </c>
      <c r="B721" s="43" t="inlineStr">
        <is>
          <t>CMD-0033</t>
        </is>
      </c>
      <c r="C721" s="43" t="inlineStr">
        <is>
          <t>S07</t>
        </is>
      </c>
      <c r="D721" s="47" t="n">
        <v>45817</v>
      </c>
      <c r="E721" s="47" t="n">
        <v>45859</v>
      </c>
      <c r="F721" s="47" t="n">
        <v>45856</v>
      </c>
      <c r="G721" s="46" t="n">
        <v>3822</v>
      </c>
      <c r="H721" s="46" t="n">
        <v>3822</v>
      </c>
      <c r="I721" s="46" t="n">
        <v>32</v>
      </c>
      <c r="J721" s="44" t="n">
        <v>58.36</v>
      </c>
      <c r="K721" s="43" t="inlineStr">
        <is>
          <t>Received</t>
        </is>
      </c>
      <c r="L721" s="17">
        <f>INDEX(Items!$C$2:$C$117,MATCH(B721,Items!$A$2:$A$117,0))</f>
        <v/>
      </c>
      <c r="M721" s="49">
        <f>INDEX(Items!$E$2:$E$117,MATCH(B721,Items!$A$2:$A$117,0))</f>
        <v/>
      </c>
      <c r="N721" s="17">
        <f>TEXT(D721,"yyyy-mm")</f>
        <v/>
      </c>
      <c r="O721" s="50">
        <f>G721*J721</f>
        <v/>
      </c>
      <c r="P721" s="50">
        <f>(J721-M721)*G721</f>
        <v/>
      </c>
      <c r="Q721" s="51">
        <f>IF(K721="Received",1,0)</f>
        <v/>
      </c>
      <c r="R721" s="51">
        <f>IF(Q721=1,F721-D721,0)</f>
        <v/>
      </c>
      <c r="S721" s="51">
        <f>IF(Q721=1,IF(F721&lt;=E721,1,0),0)</f>
        <v/>
      </c>
      <c r="T721" s="51">
        <f>IF(Q721=1,IF(H721&gt;=G721,1,0),0)</f>
        <v/>
      </c>
      <c r="U721" s="51">
        <f>S721*T721</f>
        <v/>
      </c>
      <c r="V721" s="51">
        <f>IF(Q721=1,MAX(0,F721-E721),0)</f>
        <v/>
      </c>
    </row>
    <row r="722">
      <c r="A722" s="43" t="inlineStr">
        <is>
          <t>PO100990</t>
        </is>
      </c>
      <c r="B722" s="43" t="inlineStr">
        <is>
          <t>CMD-0045</t>
        </is>
      </c>
      <c r="C722" s="43" t="inlineStr">
        <is>
          <t>S05</t>
        </is>
      </c>
      <c r="D722" s="47" t="n">
        <v>45817</v>
      </c>
      <c r="E722" s="47" t="n">
        <v>45922</v>
      </c>
      <c r="F722" s="47" t="n">
        <v>45922</v>
      </c>
      <c r="G722" s="46" t="n">
        <v>4456</v>
      </c>
      <c r="H722" s="46" t="n">
        <v>4456</v>
      </c>
      <c r="I722" s="46" t="n">
        <v>81</v>
      </c>
      <c r="J722" s="44" t="n">
        <v>8.99</v>
      </c>
      <c r="K722" s="43" t="inlineStr">
        <is>
          <t>Received</t>
        </is>
      </c>
      <c r="L722" s="17">
        <f>INDEX(Items!$C$2:$C$117,MATCH(B722,Items!$A$2:$A$117,0))</f>
        <v/>
      </c>
      <c r="M722" s="49">
        <f>INDEX(Items!$E$2:$E$117,MATCH(B722,Items!$A$2:$A$117,0))</f>
        <v/>
      </c>
      <c r="N722" s="17">
        <f>TEXT(D722,"yyyy-mm")</f>
        <v/>
      </c>
      <c r="O722" s="50">
        <f>G722*J722</f>
        <v/>
      </c>
      <c r="P722" s="50">
        <f>(J722-M722)*G722</f>
        <v/>
      </c>
      <c r="Q722" s="51">
        <f>IF(K722="Received",1,0)</f>
        <v/>
      </c>
      <c r="R722" s="51">
        <f>IF(Q722=1,F722-D722,0)</f>
        <v/>
      </c>
      <c r="S722" s="51">
        <f>IF(Q722=1,IF(F722&lt;=E722,1,0),0)</f>
        <v/>
      </c>
      <c r="T722" s="51">
        <f>IF(Q722=1,IF(H722&gt;=G722,1,0),0)</f>
        <v/>
      </c>
      <c r="U722" s="51">
        <f>S722*T722</f>
        <v/>
      </c>
      <c r="V722" s="51">
        <f>IF(Q722=1,MAX(0,F722-E722),0)</f>
        <v/>
      </c>
    </row>
    <row r="723">
      <c r="A723" s="43" t="inlineStr">
        <is>
          <t>PO100008</t>
        </is>
      </c>
      <c r="B723" s="43" t="inlineStr">
        <is>
          <t>CMD-0001</t>
        </is>
      </c>
      <c r="C723" s="43" t="inlineStr">
        <is>
          <t>S07</t>
        </is>
      </c>
      <c r="D723" s="47" t="n">
        <v>45817</v>
      </c>
      <c r="E723" s="47" t="n">
        <v>45908</v>
      </c>
      <c r="F723" s="47" t="n">
        <v>45907</v>
      </c>
      <c r="G723" s="46" t="n">
        <v>7875</v>
      </c>
      <c r="H723" s="46" t="n">
        <v>7875</v>
      </c>
      <c r="I723" s="46" t="n">
        <v>54</v>
      </c>
      <c r="J723" s="44" t="n">
        <v>14.26</v>
      </c>
      <c r="K723" s="43" t="inlineStr">
        <is>
          <t>Received</t>
        </is>
      </c>
      <c r="L723" s="17">
        <f>INDEX(Items!$C$2:$C$117,MATCH(B723,Items!$A$2:$A$117,0))</f>
        <v/>
      </c>
      <c r="M723" s="49">
        <f>INDEX(Items!$E$2:$E$117,MATCH(B723,Items!$A$2:$A$117,0))</f>
        <v/>
      </c>
      <c r="N723" s="17">
        <f>TEXT(D723,"yyyy-mm")</f>
        <v/>
      </c>
      <c r="O723" s="50">
        <f>G723*J723</f>
        <v/>
      </c>
      <c r="P723" s="50">
        <f>(J723-M723)*G723</f>
        <v/>
      </c>
      <c r="Q723" s="51">
        <f>IF(K723="Received",1,0)</f>
        <v/>
      </c>
      <c r="R723" s="51">
        <f>IF(Q723=1,F723-D723,0)</f>
        <v/>
      </c>
      <c r="S723" s="51">
        <f>IF(Q723=1,IF(F723&lt;=E723,1,0),0)</f>
        <v/>
      </c>
      <c r="T723" s="51">
        <f>IF(Q723=1,IF(H723&gt;=G723,1,0),0)</f>
        <v/>
      </c>
      <c r="U723" s="51">
        <f>S723*T723</f>
        <v/>
      </c>
      <c r="V723" s="51">
        <f>IF(Q723=1,MAX(0,F723-E723),0)</f>
        <v/>
      </c>
    </row>
    <row r="724">
      <c r="A724" s="43" t="inlineStr">
        <is>
          <t>PO100152</t>
        </is>
      </c>
      <c r="B724" s="43" t="inlineStr">
        <is>
          <t>CMD-0007</t>
        </is>
      </c>
      <c r="C724" s="43" t="inlineStr">
        <is>
          <t>S03</t>
        </is>
      </c>
      <c r="D724" s="47" t="n">
        <v>45817</v>
      </c>
      <c r="E724" s="47" t="n">
        <v>45950</v>
      </c>
      <c r="F724" s="47" t="n">
        <v>45955</v>
      </c>
      <c r="G724" s="46" t="n">
        <v>4156</v>
      </c>
      <c r="H724" s="46" t="n">
        <v>4156</v>
      </c>
      <c r="I724" s="46" t="n">
        <v>19</v>
      </c>
      <c r="J724" s="44" t="n">
        <v>19.39</v>
      </c>
      <c r="K724" s="43" t="inlineStr">
        <is>
          <t>Received</t>
        </is>
      </c>
      <c r="L724" s="17">
        <f>INDEX(Items!$C$2:$C$117,MATCH(B724,Items!$A$2:$A$117,0))</f>
        <v/>
      </c>
      <c r="M724" s="49">
        <f>INDEX(Items!$E$2:$E$117,MATCH(B724,Items!$A$2:$A$117,0))</f>
        <v/>
      </c>
      <c r="N724" s="17">
        <f>TEXT(D724,"yyyy-mm")</f>
        <v/>
      </c>
      <c r="O724" s="50">
        <f>G724*J724</f>
        <v/>
      </c>
      <c r="P724" s="50">
        <f>(J724-M724)*G724</f>
        <v/>
      </c>
      <c r="Q724" s="51">
        <f>IF(K724="Received",1,0)</f>
        <v/>
      </c>
      <c r="R724" s="51">
        <f>IF(Q724=1,F724-D724,0)</f>
        <v/>
      </c>
      <c r="S724" s="51">
        <f>IF(Q724=1,IF(F724&lt;=E724,1,0),0)</f>
        <v/>
      </c>
      <c r="T724" s="51">
        <f>IF(Q724=1,IF(H724&gt;=G724,1,0),0)</f>
        <v/>
      </c>
      <c r="U724" s="51">
        <f>S724*T724</f>
        <v/>
      </c>
      <c r="V724" s="51">
        <f>IF(Q724=1,MAX(0,F724-E724),0)</f>
        <v/>
      </c>
    </row>
    <row r="725">
      <c r="A725" s="43" t="inlineStr">
        <is>
          <t>PO101372</t>
        </is>
      </c>
      <c r="B725" s="43" t="inlineStr">
        <is>
          <t>CMD-0070</t>
        </is>
      </c>
      <c r="C725" s="43" t="inlineStr">
        <is>
          <t>S04</t>
        </is>
      </c>
      <c r="D725" s="47" t="n">
        <v>45818</v>
      </c>
      <c r="E725" s="47" t="n">
        <v>45853</v>
      </c>
      <c r="F725" s="47" t="n">
        <v>45852</v>
      </c>
      <c r="G725" s="46" t="n">
        <v>47279</v>
      </c>
      <c r="H725" s="46" t="n">
        <v>47279</v>
      </c>
      <c r="I725" s="46" t="n">
        <v>466</v>
      </c>
      <c r="J725" s="44" t="n">
        <v>0.141</v>
      </c>
      <c r="K725" s="43" t="inlineStr">
        <is>
          <t>Received</t>
        </is>
      </c>
      <c r="L725" s="17">
        <f>INDEX(Items!$C$2:$C$117,MATCH(B725,Items!$A$2:$A$117,0))</f>
        <v/>
      </c>
      <c r="M725" s="49">
        <f>INDEX(Items!$E$2:$E$117,MATCH(B725,Items!$A$2:$A$117,0))</f>
        <v/>
      </c>
      <c r="N725" s="17">
        <f>TEXT(D725,"yyyy-mm")</f>
        <v/>
      </c>
      <c r="O725" s="50">
        <f>G725*J725</f>
        <v/>
      </c>
      <c r="P725" s="50">
        <f>(J725-M725)*G725</f>
        <v/>
      </c>
      <c r="Q725" s="51">
        <f>IF(K725="Received",1,0)</f>
        <v/>
      </c>
      <c r="R725" s="51">
        <f>IF(Q725=1,F725-D725,0)</f>
        <v/>
      </c>
      <c r="S725" s="51">
        <f>IF(Q725=1,IF(F725&lt;=E725,1,0),0)</f>
        <v/>
      </c>
      <c r="T725" s="51">
        <f>IF(Q725=1,IF(H725&gt;=G725,1,0),0)</f>
        <v/>
      </c>
      <c r="U725" s="51">
        <f>S725*T725</f>
        <v/>
      </c>
      <c r="V725" s="51">
        <f>IF(Q725=1,MAX(0,F725-E725),0)</f>
        <v/>
      </c>
    </row>
    <row r="726">
      <c r="A726" s="43" t="inlineStr">
        <is>
          <t>PO101828</t>
        </is>
      </c>
      <c r="B726" s="43" t="inlineStr">
        <is>
          <t>CMD-0100</t>
        </is>
      </c>
      <c r="C726" s="43" t="inlineStr">
        <is>
          <t>S09</t>
        </is>
      </c>
      <c r="D726" s="47" t="n">
        <v>45818</v>
      </c>
      <c r="E726" s="47" t="n">
        <v>45839</v>
      </c>
      <c r="F726" s="47" t="n">
        <v>45838</v>
      </c>
      <c r="G726" s="46" t="n">
        <v>7178</v>
      </c>
      <c r="H726" s="46" t="n">
        <v>7178</v>
      </c>
      <c r="I726" s="46" t="n">
        <v>21</v>
      </c>
      <c r="J726" s="44" t="n">
        <v>4.94</v>
      </c>
      <c r="K726" s="43" t="inlineStr">
        <is>
          <t>Received</t>
        </is>
      </c>
      <c r="L726" s="17">
        <f>INDEX(Items!$C$2:$C$117,MATCH(B726,Items!$A$2:$A$117,0))</f>
        <v/>
      </c>
      <c r="M726" s="49">
        <f>INDEX(Items!$E$2:$E$117,MATCH(B726,Items!$A$2:$A$117,0))</f>
        <v/>
      </c>
      <c r="N726" s="17">
        <f>TEXT(D726,"yyyy-mm")</f>
        <v/>
      </c>
      <c r="O726" s="50">
        <f>G726*J726</f>
        <v/>
      </c>
      <c r="P726" s="50">
        <f>(J726-M726)*G726</f>
        <v/>
      </c>
      <c r="Q726" s="51">
        <f>IF(K726="Received",1,0)</f>
        <v/>
      </c>
      <c r="R726" s="51">
        <f>IF(Q726=1,F726-D726,0)</f>
        <v/>
      </c>
      <c r="S726" s="51">
        <f>IF(Q726=1,IF(F726&lt;=E726,1,0),0)</f>
        <v/>
      </c>
      <c r="T726" s="51">
        <f>IF(Q726=1,IF(H726&gt;=G726,1,0),0)</f>
        <v/>
      </c>
      <c r="U726" s="51">
        <f>S726*T726</f>
        <v/>
      </c>
      <c r="V726" s="51">
        <f>IF(Q726=1,MAX(0,F726-E726),0)</f>
        <v/>
      </c>
    </row>
    <row r="727">
      <c r="A727" s="43" t="inlineStr">
        <is>
          <t>PO101060</t>
        </is>
      </c>
      <c r="B727" s="43" t="inlineStr">
        <is>
          <t>CMD-0048</t>
        </is>
      </c>
      <c r="C727" s="43" t="inlineStr">
        <is>
          <t>S10</t>
        </is>
      </c>
      <c r="D727" s="47" t="n">
        <v>45818</v>
      </c>
      <c r="E727" s="47" t="n">
        <v>45846</v>
      </c>
      <c r="F727" s="47" t="n">
        <v>45843</v>
      </c>
      <c r="G727" s="46" t="n">
        <v>21063</v>
      </c>
      <c r="H727" s="46" t="n">
        <v>21063</v>
      </c>
      <c r="I727" s="46" t="n">
        <v>21</v>
      </c>
      <c r="J727" s="44" t="n">
        <v>0.3231</v>
      </c>
      <c r="K727" s="43" t="inlineStr">
        <is>
          <t>Received</t>
        </is>
      </c>
      <c r="L727" s="17">
        <f>INDEX(Items!$C$2:$C$117,MATCH(B727,Items!$A$2:$A$117,0))</f>
        <v/>
      </c>
      <c r="M727" s="49">
        <f>INDEX(Items!$E$2:$E$117,MATCH(B727,Items!$A$2:$A$117,0))</f>
        <v/>
      </c>
      <c r="N727" s="17">
        <f>TEXT(D727,"yyyy-mm")</f>
        <v/>
      </c>
      <c r="O727" s="50">
        <f>G727*J727</f>
        <v/>
      </c>
      <c r="P727" s="50">
        <f>(J727-M727)*G727</f>
        <v/>
      </c>
      <c r="Q727" s="51">
        <f>IF(K727="Received",1,0)</f>
        <v/>
      </c>
      <c r="R727" s="51">
        <f>IF(Q727=1,F727-D727,0)</f>
        <v/>
      </c>
      <c r="S727" s="51">
        <f>IF(Q727=1,IF(F727&lt;=E727,1,0),0)</f>
        <v/>
      </c>
      <c r="T727" s="51">
        <f>IF(Q727=1,IF(H727&gt;=G727,1,0),0)</f>
        <v/>
      </c>
      <c r="U727" s="51">
        <f>S727*T727</f>
        <v/>
      </c>
      <c r="V727" s="51">
        <f>IF(Q727=1,MAX(0,F727-E727),0)</f>
        <v/>
      </c>
    </row>
    <row r="728">
      <c r="A728" s="43" t="inlineStr">
        <is>
          <t>PO100104</t>
        </is>
      </c>
      <c r="B728" s="43" t="inlineStr">
        <is>
          <t>CMD-0005</t>
        </is>
      </c>
      <c r="C728" s="43" t="inlineStr">
        <is>
          <t>S07</t>
        </is>
      </c>
      <c r="D728" s="47" t="n">
        <v>45818</v>
      </c>
      <c r="E728" s="47" t="n">
        <v>45909</v>
      </c>
      <c r="F728" s="47" t="n">
        <v>45909</v>
      </c>
      <c r="G728" s="46" t="n">
        <v>4273</v>
      </c>
      <c r="H728" s="46" t="n">
        <v>4273</v>
      </c>
      <c r="I728" s="46" t="n">
        <v>40</v>
      </c>
      <c r="J728" s="44" t="n">
        <v>5.63</v>
      </c>
      <c r="K728" s="43" t="inlineStr">
        <is>
          <t>Received</t>
        </is>
      </c>
      <c r="L728" s="17">
        <f>INDEX(Items!$C$2:$C$117,MATCH(B728,Items!$A$2:$A$117,0))</f>
        <v/>
      </c>
      <c r="M728" s="49">
        <f>INDEX(Items!$E$2:$E$117,MATCH(B728,Items!$A$2:$A$117,0))</f>
        <v/>
      </c>
      <c r="N728" s="17">
        <f>TEXT(D728,"yyyy-mm")</f>
        <v/>
      </c>
      <c r="O728" s="50">
        <f>G728*J728</f>
        <v/>
      </c>
      <c r="P728" s="50">
        <f>(J728-M728)*G728</f>
        <v/>
      </c>
      <c r="Q728" s="51">
        <f>IF(K728="Received",1,0)</f>
        <v/>
      </c>
      <c r="R728" s="51">
        <f>IF(Q728=1,F728-D728,0)</f>
        <v/>
      </c>
      <c r="S728" s="51">
        <f>IF(Q728=1,IF(F728&lt;=E728,1,0),0)</f>
        <v/>
      </c>
      <c r="T728" s="51">
        <f>IF(Q728=1,IF(H728&gt;=G728,1,0),0)</f>
        <v/>
      </c>
      <c r="U728" s="51">
        <f>S728*T728</f>
        <v/>
      </c>
      <c r="V728" s="51">
        <f>IF(Q728=1,MAX(0,F728-E728),0)</f>
        <v/>
      </c>
    </row>
    <row r="729">
      <c r="A729" s="43" t="inlineStr">
        <is>
          <t>PO100624</t>
        </is>
      </c>
      <c r="B729" s="43" t="inlineStr">
        <is>
          <t>CMD-0028</t>
        </is>
      </c>
      <c r="C729" s="43" t="inlineStr">
        <is>
          <t>S11</t>
        </is>
      </c>
      <c r="D729" s="47" t="n">
        <v>45818</v>
      </c>
      <c r="E729" s="47" t="n">
        <v>45895</v>
      </c>
      <c r="F729" s="47" t="n">
        <v>45910</v>
      </c>
      <c r="G729" s="46" t="n">
        <v>3680</v>
      </c>
      <c r="H729" s="46" t="n">
        <v>3680</v>
      </c>
      <c r="I729" s="46" t="n">
        <v>8</v>
      </c>
      <c r="J729" s="44" t="n">
        <v>15.84</v>
      </c>
      <c r="K729" s="43" t="inlineStr">
        <is>
          <t>Received</t>
        </is>
      </c>
      <c r="L729" s="17">
        <f>INDEX(Items!$C$2:$C$117,MATCH(B729,Items!$A$2:$A$117,0))</f>
        <v/>
      </c>
      <c r="M729" s="49">
        <f>INDEX(Items!$E$2:$E$117,MATCH(B729,Items!$A$2:$A$117,0))</f>
        <v/>
      </c>
      <c r="N729" s="17">
        <f>TEXT(D729,"yyyy-mm")</f>
        <v/>
      </c>
      <c r="O729" s="50">
        <f>G729*J729</f>
        <v/>
      </c>
      <c r="P729" s="50">
        <f>(J729-M729)*G729</f>
        <v/>
      </c>
      <c r="Q729" s="51">
        <f>IF(K729="Received",1,0)</f>
        <v/>
      </c>
      <c r="R729" s="51">
        <f>IF(Q729=1,F729-D729,0)</f>
        <v/>
      </c>
      <c r="S729" s="51">
        <f>IF(Q729=1,IF(F729&lt;=E729,1,0),0)</f>
        <v/>
      </c>
      <c r="T729" s="51">
        <f>IF(Q729=1,IF(H729&gt;=G729,1,0),0)</f>
        <v/>
      </c>
      <c r="U729" s="51">
        <f>S729*T729</f>
        <v/>
      </c>
      <c r="V729" s="51">
        <f>IF(Q729=1,MAX(0,F729-E729),0)</f>
        <v/>
      </c>
    </row>
    <row r="730">
      <c r="A730" s="43" t="inlineStr">
        <is>
          <t>PO100324</t>
        </is>
      </c>
      <c r="B730" s="43" t="inlineStr">
        <is>
          <t>CMD-0015</t>
        </is>
      </c>
      <c r="C730" s="43" t="inlineStr">
        <is>
          <t>S03</t>
        </is>
      </c>
      <c r="D730" s="47" t="n">
        <v>45818</v>
      </c>
      <c r="E730" s="47" t="n">
        <v>45951</v>
      </c>
      <c r="F730" s="47" t="n">
        <v>45951</v>
      </c>
      <c r="G730" s="46" t="n">
        <v>3000</v>
      </c>
      <c r="H730" s="46" t="n">
        <v>3000</v>
      </c>
      <c r="I730" s="46" t="n">
        <v>15</v>
      </c>
      <c r="J730" s="44" t="n">
        <v>5.66</v>
      </c>
      <c r="K730" s="43" t="inlineStr">
        <is>
          <t>Received</t>
        </is>
      </c>
      <c r="L730" s="17">
        <f>INDEX(Items!$C$2:$C$117,MATCH(B730,Items!$A$2:$A$117,0))</f>
        <v/>
      </c>
      <c r="M730" s="49">
        <f>INDEX(Items!$E$2:$E$117,MATCH(B730,Items!$A$2:$A$117,0))</f>
        <v/>
      </c>
      <c r="N730" s="17">
        <f>TEXT(D730,"yyyy-mm")</f>
        <v/>
      </c>
      <c r="O730" s="50">
        <f>G730*J730</f>
        <v/>
      </c>
      <c r="P730" s="50">
        <f>(J730-M730)*G730</f>
        <v/>
      </c>
      <c r="Q730" s="51">
        <f>IF(K730="Received",1,0)</f>
        <v/>
      </c>
      <c r="R730" s="51">
        <f>IF(Q730=1,F730-D730,0)</f>
        <v/>
      </c>
      <c r="S730" s="51">
        <f>IF(Q730=1,IF(F730&lt;=E730,1,0),0)</f>
        <v/>
      </c>
      <c r="T730" s="51">
        <f>IF(Q730=1,IF(H730&gt;=G730,1,0),0)</f>
        <v/>
      </c>
      <c r="U730" s="51">
        <f>S730*T730</f>
        <v/>
      </c>
      <c r="V730" s="51">
        <f>IF(Q730=1,MAX(0,F730-E730),0)</f>
        <v/>
      </c>
    </row>
    <row r="731">
      <c r="A731" s="43" t="inlineStr">
        <is>
          <t>PO101166</t>
        </is>
      </c>
      <c r="B731" s="43" t="inlineStr">
        <is>
          <t>CMD-0054</t>
        </is>
      </c>
      <c r="C731" s="43" t="inlineStr">
        <is>
          <t>S10</t>
        </is>
      </c>
      <c r="D731" s="47" t="n">
        <v>45818</v>
      </c>
      <c r="E731" s="47" t="n">
        <v>45846</v>
      </c>
      <c r="F731" s="47" t="n">
        <v>45846</v>
      </c>
      <c r="G731" s="46" t="n">
        <v>58960</v>
      </c>
      <c r="H731" s="46" t="n">
        <v>58960</v>
      </c>
      <c r="I731" s="46" t="n">
        <v>60</v>
      </c>
      <c r="J731" s="44" t="n">
        <v>0.1687</v>
      </c>
      <c r="K731" s="43" t="inlineStr">
        <is>
          <t>Received</t>
        </is>
      </c>
      <c r="L731" s="17">
        <f>INDEX(Items!$C$2:$C$117,MATCH(B731,Items!$A$2:$A$117,0))</f>
        <v/>
      </c>
      <c r="M731" s="49">
        <f>INDEX(Items!$E$2:$E$117,MATCH(B731,Items!$A$2:$A$117,0))</f>
        <v/>
      </c>
      <c r="N731" s="17">
        <f>TEXT(D731,"yyyy-mm")</f>
        <v/>
      </c>
      <c r="O731" s="50">
        <f>G731*J731</f>
        <v/>
      </c>
      <c r="P731" s="50">
        <f>(J731-M731)*G731</f>
        <v/>
      </c>
      <c r="Q731" s="51">
        <f>IF(K731="Received",1,0)</f>
        <v/>
      </c>
      <c r="R731" s="51">
        <f>IF(Q731=1,F731-D731,0)</f>
        <v/>
      </c>
      <c r="S731" s="51">
        <f>IF(Q731=1,IF(F731&lt;=E731,1,0),0)</f>
        <v/>
      </c>
      <c r="T731" s="51">
        <f>IF(Q731=1,IF(H731&gt;=G731,1,0),0)</f>
        <v/>
      </c>
      <c r="U731" s="51">
        <f>S731*T731</f>
        <v/>
      </c>
      <c r="V731" s="51">
        <f>IF(Q731=1,MAX(0,F731-E731),0)</f>
        <v/>
      </c>
    </row>
    <row r="732">
      <c r="A732" s="43" t="inlineStr">
        <is>
          <t>PO101792</t>
        </is>
      </c>
      <c r="B732" s="43" t="inlineStr">
        <is>
          <t>CMD-0097</t>
        </is>
      </c>
      <c r="C732" s="43" t="inlineStr">
        <is>
          <t>S09</t>
        </is>
      </c>
      <c r="D732" s="47" t="n">
        <v>45818</v>
      </c>
      <c r="E732" s="47" t="n">
        <v>45839</v>
      </c>
      <c r="F732" s="47" t="n">
        <v>45836</v>
      </c>
      <c r="G732" s="46" t="n">
        <v>494</v>
      </c>
      <c r="H732" s="46" t="n">
        <v>494</v>
      </c>
      <c r="I732" s="46" t="n">
        <v>2</v>
      </c>
      <c r="J732" s="44" t="n">
        <v>9.27</v>
      </c>
      <c r="K732" s="43" t="inlineStr">
        <is>
          <t>Received</t>
        </is>
      </c>
      <c r="L732" s="17">
        <f>INDEX(Items!$C$2:$C$117,MATCH(B732,Items!$A$2:$A$117,0))</f>
        <v/>
      </c>
      <c r="M732" s="49">
        <f>INDEX(Items!$E$2:$E$117,MATCH(B732,Items!$A$2:$A$117,0))</f>
        <v/>
      </c>
      <c r="N732" s="17">
        <f>TEXT(D732,"yyyy-mm")</f>
        <v/>
      </c>
      <c r="O732" s="50">
        <f>G732*J732</f>
        <v/>
      </c>
      <c r="P732" s="50">
        <f>(J732-M732)*G732</f>
        <v/>
      </c>
      <c r="Q732" s="51">
        <f>IF(K732="Received",1,0)</f>
        <v/>
      </c>
      <c r="R732" s="51">
        <f>IF(Q732=1,F732-D732,0)</f>
        <v/>
      </c>
      <c r="S732" s="51">
        <f>IF(Q732=1,IF(F732&lt;=E732,1,0),0)</f>
        <v/>
      </c>
      <c r="T732" s="51">
        <f>IF(Q732=1,IF(H732&gt;=G732,1,0),0)</f>
        <v/>
      </c>
      <c r="U732" s="51">
        <f>S732*T732</f>
        <v/>
      </c>
      <c r="V732" s="51">
        <f>IF(Q732=1,MAX(0,F732-E732),0)</f>
        <v/>
      </c>
    </row>
    <row r="733">
      <c r="A733" s="43" t="inlineStr">
        <is>
          <t>PO100460</t>
        </is>
      </c>
      <c r="B733" s="43" t="inlineStr">
        <is>
          <t>CMD-0021</t>
        </is>
      </c>
      <c r="C733" s="43" t="inlineStr">
        <is>
          <t>S04</t>
        </is>
      </c>
      <c r="D733" s="47" t="n">
        <v>45818</v>
      </c>
      <c r="E733" s="47" t="n">
        <v>45888</v>
      </c>
      <c r="F733" s="47" t="n">
        <v>45885</v>
      </c>
      <c r="G733" s="46" t="n">
        <v>1275</v>
      </c>
      <c r="H733" s="46" t="n">
        <v>1275</v>
      </c>
      <c r="I733" s="46" t="n">
        <v>9</v>
      </c>
      <c r="J733" s="44" t="n">
        <v>4.94</v>
      </c>
      <c r="K733" s="43" t="inlineStr">
        <is>
          <t>Received</t>
        </is>
      </c>
      <c r="L733" s="17">
        <f>INDEX(Items!$C$2:$C$117,MATCH(B733,Items!$A$2:$A$117,0))</f>
        <v/>
      </c>
      <c r="M733" s="49">
        <f>INDEX(Items!$E$2:$E$117,MATCH(B733,Items!$A$2:$A$117,0))</f>
        <v/>
      </c>
      <c r="N733" s="17">
        <f>TEXT(D733,"yyyy-mm")</f>
        <v/>
      </c>
      <c r="O733" s="50">
        <f>G733*J733</f>
        <v/>
      </c>
      <c r="P733" s="50">
        <f>(J733-M733)*G733</f>
        <v/>
      </c>
      <c r="Q733" s="51">
        <f>IF(K733="Received",1,0)</f>
        <v/>
      </c>
      <c r="R733" s="51">
        <f>IF(Q733=1,F733-D733,0)</f>
        <v/>
      </c>
      <c r="S733" s="51">
        <f>IF(Q733=1,IF(F733&lt;=E733,1,0),0)</f>
        <v/>
      </c>
      <c r="T733" s="51">
        <f>IF(Q733=1,IF(H733&gt;=G733,1,0),0)</f>
        <v/>
      </c>
      <c r="U733" s="51">
        <f>S733*T733</f>
        <v/>
      </c>
      <c r="V733" s="51">
        <f>IF(Q733=1,MAX(0,F733-E733),0)</f>
        <v/>
      </c>
    </row>
    <row r="734">
      <c r="A734" s="43" t="inlineStr">
        <is>
          <t>PO100874</t>
        </is>
      </c>
      <c r="B734" s="43" t="inlineStr">
        <is>
          <t>CMD-0039</t>
        </is>
      </c>
      <c r="C734" s="43" t="inlineStr">
        <is>
          <t>S07</t>
        </is>
      </c>
      <c r="D734" s="47" t="n">
        <v>45818</v>
      </c>
      <c r="E734" s="47" t="n">
        <v>45860</v>
      </c>
      <c r="F734" s="47" t="n">
        <v>45887</v>
      </c>
      <c r="G734" s="46" t="n">
        <v>359</v>
      </c>
      <c r="H734" s="46" t="n">
        <v>359</v>
      </c>
      <c r="I734" s="46" t="n">
        <v>3</v>
      </c>
      <c r="J734" s="44" t="n">
        <v>51.99</v>
      </c>
      <c r="K734" s="43" t="inlineStr">
        <is>
          <t>Received</t>
        </is>
      </c>
      <c r="L734" s="17">
        <f>INDEX(Items!$C$2:$C$117,MATCH(B734,Items!$A$2:$A$117,0))</f>
        <v/>
      </c>
      <c r="M734" s="49">
        <f>INDEX(Items!$E$2:$E$117,MATCH(B734,Items!$A$2:$A$117,0))</f>
        <v/>
      </c>
      <c r="N734" s="17">
        <f>TEXT(D734,"yyyy-mm")</f>
        <v/>
      </c>
      <c r="O734" s="50">
        <f>G734*J734</f>
        <v/>
      </c>
      <c r="P734" s="50">
        <f>(J734-M734)*G734</f>
        <v/>
      </c>
      <c r="Q734" s="51">
        <f>IF(K734="Received",1,0)</f>
        <v/>
      </c>
      <c r="R734" s="51">
        <f>IF(Q734=1,F734-D734,0)</f>
        <v/>
      </c>
      <c r="S734" s="51">
        <f>IF(Q734=1,IF(F734&lt;=E734,1,0),0)</f>
        <v/>
      </c>
      <c r="T734" s="51">
        <f>IF(Q734=1,IF(H734&gt;=G734,1,0),0)</f>
        <v/>
      </c>
      <c r="U734" s="51">
        <f>S734*T734</f>
        <v/>
      </c>
      <c r="V734" s="51">
        <f>IF(Q734=1,MAX(0,F734-E734),0)</f>
        <v/>
      </c>
    </row>
    <row r="735">
      <c r="A735" s="43" t="inlineStr">
        <is>
          <t>PO100576</t>
        </is>
      </c>
      <c r="B735" s="43" t="inlineStr">
        <is>
          <t>CMD-0026</t>
        </is>
      </c>
      <c r="C735" s="43" t="inlineStr">
        <is>
          <t>S04</t>
        </is>
      </c>
      <c r="D735" s="47" t="n">
        <v>45818</v>
      </c>
      <c r="E735" s="47" t="n">
        <v>45888</v>
      </c>
      <c r="F735" s="47" t="n">
        <v>45887</v>
      </c>
      <c r="G735" s="46" t="n">
        <v>8899</v>
      </c>
      <c r="H735" s="46" t="n">
        <v>8899</v>
      </c>
      <c r="I735" s="46" t="n">
        <v>73</v>
      </c>
      <c r="J735" s="44" t="n">
        <v>5.96</v>
      </c>
      <c r="K735" s="43" t="inlineStr">
        <is>
          <t>Received</t>
        </is>
      </c>
      <c r="L735" s="17">
        <f>INDEX(Items!$C$2:$C$117,MATCH(B735,Items!$A$2:$A$117,0))</f>
        <v/>
      </c>
      <c r="M735" s="49">
        <f>INDEX(Items!$E$2:$E$117,MATCH(B735,Items!$A$2:$A$117,0))</f>
        <v/>
      </c>
      <c r="N735" s="17">
        <f>TEXT(D735,"yyyy-mm")</f>
        <v/>
      </c>
      <c r="O735" s="50">
        <f>G735*J735</f>
        <v/>
      </c>
      <c r="P735" s="50">
        <f>(J735-M735)*G735</f>
        <v/>
      </c>
      <c r="Q735" s="51">
        <f>IF(K735="Received",1,0)</f>
        <v/>
      </c>
      <c r="R735" s="51">
        <f>IF(Q735=1,F735-D735,0)</f>
        <v/>
      </c>
      <c r="S735" s="51">
        <f>IF(Q735=1,IF(F735&lt;=E735,1,0),0)</f>
        <v/>
      </c>
      <c r="T735" s="51">
        <f>IF(Q735=1,IF(H735&gt;=G735,1,0),0)</f>
        <v/>
      </c>
      <c r="U735" s="51">
        <f>S735*T735</f>
        <v/>
      </c>
      <c r="V735" s="51">
        <f>IF(Q735=1,MAX(0,F735-E735),0)</f>
        <v/>
      </c>
    </row>
    <row r="736">
      <c r="A736" s="43" t="inlineStr">
        <is>
          <t>PO100528</t>
        </is>
      </c>
      <c r="B736" s="43" t="inlineStr">
        <is>
          <t>CMD-0024</t>
        </is>
      </c>
      <c r="C736" s="43" t="inlineStr">
        <is>
          <t>S04</t>
        </is>
      </c>
      <c r="D736" s="47" t="n">
        <v>45819</v>
      </c>
      <c r="E736" s="47" t="n">
        <v>45889</v>
      </c>
      <c r="F736" s="47" t="n">
        <v>45920</v>
      </c>
      <c r="G736" s="46" t="n">
        <v>3921</v>
      </c>
      <c r="H736" s="46" t="n">
        <v>3921</v>
      </c>
      <c r="I736" s="46" t="n">
        <v>30</v>
      </c>
      <c r="J736" s="44" t="n">
        <v>3.31</v>
      </c>
      <c r="K736" s="43" t="inlineStr">
        <is>
          <t>Received</t>
        </is>
      </c>
      <c r="L736" s="17">
        <f>INDEX(Items!$C$2:$C$117,MATCH(B736,Items!$A$2:$A$117,0))</f>
        <v/>
      </c>
      <c r="M736" s="49">
        <f>INDEX(Items!$E$2:$E$117,MATCH(B736,Items!$A$2:$A$117,0))</f>
        <v/>
      </c>
      <c r="N736" s="17">
        <f>TEXT(D736,"yyyy-mm")</f>
        <v/>
      </c>
      <c r="O736" s="50">
        <f>G736*J736</f>
        <v/>
      </c>
      <c r="P736" s="50">
        <f>(J736-M736)*G736</f>
        <v/>
      </c>
      <c r="Q736" s="51">
        <f>IF(K736="Received",1,0)</f>
        <v/>
      </c>
      <c r="R736" s="51">
        <f>IF(Q736=1,F736-D736,0)</f>
        <v/>
      </c>
      <c r="S736" s="51">
        <f>IF(Q736=1,IF(F736&lt;=E736,1,0),0)</f>
        <v/>
      </c>
      <c r="T736" s="51">
        <f>IF(Q736=1,IF(H736&gt;=G736,1,0),0)</f>
        <v/>
      </c>
      <c r="U736" s="51">
        <f>S736*T736</f>
        <v/>
      </c>
      <c r="V736" s="51">
        <f>IF(Q736=1,MAX(0,F736-E736),0)</f>
        <v/>
      </c>
    </row>
    <row r="737">
      <c r="A737" s="43" t="inlineStr">
        <is>
          <t>PO100348</t>
        </is>
      </c>
      <c r="B737" s="43" t="inlineStr">
        <is>
          <t>CMD-0016</t>
        </is>
      </c>
      <c r="C737" s="43" t="inlineStr">
        <is>
          <t>S07</t>
        </is>
      </c>
      <c r="D737" s="47" t="n">
        <v>45819</v>
      </c>
      <c r="E737" s="47" t="n">
        <v>45910</v>
      </c>
      <c r="F737" s="47" t="n">
        <v>45909</v>
      </c>
      <c r="G737" s="46" t="n">
        <v>6607</v>
      </c>
      <c r="H737" s="46" t="n">
        <v>6607</v>
      </c>
      <c r="I737" s="46" t="n">
        <v>55</v>
      </c>
      <c r="J737" s="44" t="n">
        <v>27.02</v>
      </c>
      <c r="K737" s="43" t="inlineStr">
        <is>
          <t>Received</t>
        </is>
      </c>
      <c r="L737" s="17">
        <f>INDEX(Items!$C$2:$C$117,MATCH(B737,Items!$A$2:$A$117,0))</f>
        <v/>
      </c>
      <c r="M737" s="49">
        <f>INDEX(Items!$E$2:$E$117,MATCH(B737,Items!$A$2:$A$117,0))</f>
        <v/>
      </c>
      <c r="N737" s="17">
        <f>TEXT(D737,"yyyy-mm")</f>
        <v/>
      </c>
      <c r="O737" s="50">
        <f>G737*J737</f>
        <v/>
      </c>
      <c r="P737" s="50">
        <f>(J737-M737)*G737</f>
        <v/>
      </c>
      <c r="Q737" s="51">
        <f>IF(K737="Received",1,0)</f>
        <v/>
      </c>
      <c r="R737" s="51">
        <f>IF(Q737=1,F737-D737,0)</f>
        <v/>
      </c>
      <c r="S737" s="51">
        <f>IF(Q737=1,IF(F737&lt;=E737,1,0),0)</f>
        <v/>
      </c>
      <c r="T737" s="51">
        <f>IF(Q737=1,IF(H737&gt;=G737,1,0),0)</f>
        <v/>
      </c>
      <c r="U737" s="51">
        <f>S737*T737</f>
        <v/>
      </c>
      <c r="V737" s="51">
        <f>IF(Q737=1,MAX(0,F737-E737),0)</f>
        <v/>
      </c>
    </row>
    <row r="738">
      <c r="A738" s="43" t="inlineStr">
        <is>
          <t>PO101488</t>
        </is>
      </c>
      <c r="B738" s="43" t="inlineStr">
        <is>
          <t>CMD-0079</t>
        </is>
      </c>
      <c r="C738" s="43" t="inlineStr">
        <is>
          <t>S06</t>
        </is>
      </c>
      <c r="D738" s="47" t="n">
        <v>45819</v>
      </c>
      <c r="E738" s="47" t="n">
        <v>45840</v>
      </c>
      <c r="F738" s="47" t="n">
        <v>45839</v>
      </c>
      <c r="G738" s="46" t="n">
        <v>1886</v>
      </c>
      <c r="H738" s="46" t="n">
        <v>1886</v>
      </c>
      <c r="I738" s="46" t="n">
        <v>12</v>
      </c>
      <c r="J738" s="44" t="n">
        <v>3.53</v>
      </c>
      <c r="K738" s="43" t="inlineStr">
        <is>
          <t>Received</t>
        </is>
      </c>
      <c r="L738" s="17">
        <f>INDEX(Items!$C$2:$C$117,MATCH(B738,Items!$A$2:$A$117,0))</f>
        <v/>
      </c>
      <c r="M738" s="49">
        <f>INDEX(Items!$E$2:$E$117,MATCH(B738,Items!$A$2:$A$117,0))</f>
        <v/>
      </c>
      <c r="N738" s="17">
        <f>TEXT(D738,"yyyy-mm")</f>
        <v/>
      </c>
      <c r="O738" s="50">
        <f>G738*J738</f>
        <v/>
      </c>
      <c r="P738" s="50">
        <f>(J738-M738)*G738</f>
        <v/>
      </c>
      <c r="Q738" s="51">
        <f>IF(K738="Received",1,0)</f>
        <v/>
      </c>
      <c r="R738" s="51">
        <f>IF(Q738=1,F738-D738,0)</f>
        <v/>
      </c>
      <c r="S738" s="51">
        <f>IF(Q738=1,IF(F738&lt;=E738,1,0),0)</f>
        <v/>
      </c>
      <c r="T738" s="51">
        <f>IF(Q738=1,IF(H738&gt;=G738,1,0),0)</f>
        <v/>
      </c>
      <c r="U738" s="51">
        <f>S738*T738</f>
        <v/>
      </c>
      <c r="V738" s="51">
        <f>IF(Q738=1,MAX(0,F738-E738),0)</f>
        <v/>
      </c>
    </row>
    <row r="739">
      <c r="A739" s="43" t="inlineStr">
        <is>
          <t>PO100826</t>
        </is>
      </c>
      <c r="B739" s="43" t="inlineStr">
        <is>
          <t>CMD-0037</t>
        </is>
      </c>
      <c r="C739" s="43" t="inlineStr">
        <is>
          <t>S07</t>
        </is>
      </c>
      <c r="D739" s="47" t="n">
        <v>45819</v>
      </c>
      <c r="E739" s="47" t="n">
        <v>45861</v>
      </c>
      <c r="F739" s="47" t="n">
        <v>45860</v>
      </c>
      <c r="G739" s="46" t="n">
        <v>436</v>
      </c>
      <c r="H739" s="46" t="n">
        <v>436</v>
      </c>
      <c r="I739" s="46" t="n">
        <v>5</v>
      </c>
      <c r="J739" s="44" t="n">
        <v>53.62</v>
      </c>
      <c r="K739" s="43" t="inlineStr">
        <is>
          <t>Received</t>
        </is>
      </c>
      <c r="L739" s="17">
        <f>INDEX(Items!$C$2:$C$117,MATCH(B739,Items!$A$2:$A$117,0))</f>
        <v/>
      </c>
      <c r="M739" s="49">
        <f>INDEX(Items!$E$2:$E$117,MATCH(B739,Items!$A$2:$A$117,0))</f>
        <v/>
      </c>
      <c r="N739" s="17">
        <f>TEXT(D739,"yyyy-mm")</f>
        <v/>
      </c>
      <c r="O739" s="50">
        <f>G739*J739</f>
        <v/>
      </c>
      <c r="P739" s="50">
        <f>(J739-M739)*G739</f>
        <v/>
      </c>
      <c r="Q739" s="51">
        <f>IF(K739="Received",1,0)</f>
        <v/>
      </c>
      <c r="R739" s="51">
        <f>IF(Q739=1,F739-D739,0)</f>
        <v/>
      </c>
      <c r="S739" s="51">
        <f>IF(Q739=1,IF(F739&lt;=E739,1,0),0)</f>
        <v/>
      </c>
      <c r="T739" s="51">
        <f>IF(Q739=1,IF(H739&gt;=G739,1,0),0)</f>
        <v/>
      </c>
      <c r="U739" s="51">
        <f>S739*T739</f>
        <v/>
      </c>
      <c r="V739" s="51">
        <f>IF(Q739=1,MAX(0,F739-E739),0)</f>
        <v/>
      </c>
    </row>
    <row r="740">
      <c r="A740" s="43" t="inlineStr">
        <is>
          <t>PO101674</t>
        </is>
      </c>
      <c r="B740" s="43" t="inlineStr">
        <is>
          <t>CMD-0092</t>
        </is>
      </c>
      <c r="C740" s="43" t="inlineStr">
        <is>
          <t>S08</t>
        </is>
      </c>
      <c r="D740" s="47" t="n">
        <v>45819</v>
      </c>
      <c r="E740" s="47" t="n">
        <v>45896</v>
      </c>
      <c r="F740" s="47" t="n">
        <v>45894</v>
      </c>
      <c r="G740" s="46" t="n">
        <v>321</v>
      </c>
      <c r="H740" s="46" t="n">
        <v>321</v>
      </c>
      <c r="I740" s="46" t="n">
        <v>3</v>
      </c>
      <c r="J740" s="44" t="n">
        <v>29.47</v>
      </c>
      <c r="K740" s="43" t="inlineStr">
        <is>
          <t>Received</t>
        </is>
      </c>
      <c r="L740" s="17">
        <f>INDEX(Items!$C$2:$C$117,MATCH(B740,Items!$A$2:$A$117,0))</f>
        <v/>
      </c>
      <c r="M740" s="49">
        <f>INDEX(Items!$E$2:$E$117,MATCH(B740,Items!$A$2:$A$117,0))</f>
        <v/>
      </c>
      <c r="N740" s="17">
        <f>TEXT(D740,"yyyy-mm")</f>
        <v/>
      </c>
      <c r="O740" s="50">
        <f>G740*J740</f>
        <v/>
      </c>
      <c r="P740" s="50">
        <f>(J740-M740)*G740</f>
        <v/>
      </c>
      <c r="Q740" s="51">
        <f>IF(K740="Received",1,0)</f>
        <v/>
      </c>
      <c r="R740" s="51">
        <f>IF(Q740=1,F740-D740,0)</f>
        <v/>
      </c>
      <c r="S740" s="51">
        <f>IF(Q740=1,IF(F740&lt;=E740,1,0),0)</f>
        <v/>
      </c>
      <c r="T740" s="51">
        <f>IF(Q740=1,IF(H740&gt;=G740,1,0),0)</f>
        <v/>
      </c>
      <c r="U740" s="51">
        <f>S740*T740</f>
        <v/>
      </c>
      <c r="V740" s="51">
        <f>IF(Q740=1,MAX(0,F740-E740),0)</f>
        <v/>
      </c>
    </row>
    <row r="741">
      <c r="A741" s="43" t="inlineStr">
        <is>
          <t>PO101940</t>
        </is>
      </c>
      <c r="B741" s="43" t="inlineStr">
        <is>
          <t>CMD-0107</t>
        </is>
      </c>
      <c r="C741" s="43" t="inlineStr">
        <is>
          <t>S09</t>
        </is>
      </c>
      <c r="D741" s="47" t="n">
        <v>45819</v>
      </c>
      <c r="E741" s="47" t="n">
        <v>45840</v>
      </c>
      <c r="F741" s="47" t="n">
        <v>45839</v>
      </c>
      <c r="G741" s="46" t="n">
        <v>1067</v>
      </c>
      <c r="H741" s="46" t="n">
        <v>1067</v>
      </c>
      <c r="I741" s="46" t="n">
        <v>2</v>
      </c>
      <c r="J741" s="44" t="n">
        <v>6.95</v>
      </c>
      <c r="K741" s="43" t="inlineStr">
        <is>
          <t>Received</t>
        </is>
      </c>
      <c r="L741" s="17">
        <f>INDEX(Items!$C$2:$C$117,MATCH(B741,Items!$A$2:$A$117,0))</f>
        <v/>
      </c>
      <c r="M741" s="49">
        <f>INDEX(Items!$E$2:$E$117,MATCH(B741,Items!$A$2:$A$117,0))</f>
        <v/>
      </c>
      <c r="N741" s="17">
        <f>TEXT(D741,"yyyy-mm")</f>
        <v/>
      </c>
      <c r="O741" s="50">
        <f>G741*J741</f>
        <v/>
      </c>
      <c r="P741" s="50">
        <f>(J741-M741)*G741</f>
        <v/>
      </c>
      <c r="Q741" s="51">
        <f>IF(K741="Received",1,0)</f>
        <v/>
      </c>
      <c r="R741" s="51">
        <f>IF(Q741=1,F741-D741,0)</f>
        <v/>
      </c>
      <c r="S741" s="51">
        <f>IF(Q741=1,IF(F741&lt;=E741,1,0),0)</f>
        <v/>
      </c>
      <c r="T741" s="51">
        <f>IF(Q741=1,IF(H741&gt;=G741,1,0),0)</f>
        <v/>
      </c>
      <c r="U741" s="51">
        <f>S741*T741</f>
        <v/>
      </c>
      <c r="V741" s="51">
        <f>IF(Q741=1,MAX(0,F741-E741),0)</f>
        <v/>
      </c>
    </row>
    <row r="742">
      <c r="A742" s="43" t="inlineStr">
        <is>
          <t>PO101698</t>
        </is>
      </c>
      <c r="B742" s="43" t="inlineStr">
        <is>
          <t>CMD-0093</t>
        </is>
      </c>
      <c r="C742" s="43" t="inlineStr">
        <is>
          <t>S08</t>
        </is>
      </c>
      <c r="D742" s="47" t="n">
        <v>45819</v>
      </c>
      <c r="E742" s="47" t="n">
        <v>45896</v>
      </c>
      <c r="F742" s="47" t="n">
        <v>45908</v>
      </c>
      <c r="G742" s="46" t="n">
        <v>695</v>
      </c>
      <c r="H742" s="46" t="n">
        <v>695</v>
      </c>
      <c r="I742" s="46" t="n">
        <v>10</v>
      </c>
      <c r="J742" s="44" t="n">
        <v>59.41</v>
      </c>
      <c r="K742" s="43" t="inlineStr">
        <is>
          <t>Received</t>
        </is>
      </c>
      <c r="L742" s="17">
        <f>INDEX(Items!$C$2:$C$117,MATCH(B742,Items!$A$2:$A$117,0))</f>
        <v/>
      </c>
      <c r="M742" s="49">
        <f>INDEX(Items!$E$2:$E$117,MATCH(B742,Items!$A$2:$A$117,0))</f>
        <v/>
      </c>
      <c r="N742" s="17">
        <f>TEXT(D742,"yyyy-mm")</f>
        <v/>
      </c>
      <c r="O742" s="50">
        <f>G742*J742</f>
        <v/>
      </c>
      <c r="P742" s="50">
        <f>(J742-M742)*G742</f>
        <v/>
      </c>
      <c r="Q742" s="51">
        <f>IF(K742="Received",1,0)</f>
        <v/>
      </c>
      <c r="R742" s="51">
        <f>IF(Q742=1,F742-D742,0)</f>
        <v/>
      </c>
      <c r="S742" s="51">
        <f>IF(Q742=1,IF(F742&lt;=E742,1,0),0)</f>
        <v/>
      </c>
      <c r="T742" s="51">
        <f>IF(Q742=1,IF(H742&gt;=G742,1,0),0)</f>
        <v/>
      </c>
      <c r="U742" s="51">
        <f>S742*T742</f>
        <v/>
      </c>
      <c r="V742" s="51">
        <f>IF(Q742=1,MAX(0,F742-E742),0)</f>
        <v/>
      </c>
    </row>
    <row r="743">
      <c r="A743" s="43" t="inlineStr">
        <is>
          <t>PO100966</t>
        </is>
      </c>
      <c r="B743" s="43" t="inlineStr">
        <is>
          <t>CMD-0044</t>
        </is>
      </c>
      <c r="C743" s="43" t="inlineStr">
        <is>
          <t>S05</t>
        </is>
      </c>
      <c r="D743" s="47" t="n">
        <v>45819</v>
      </c>
      <c r="E743" s="47" t="n">
        <v>45924</v>
      </c>
      <c r="F743" s="47" t="n">
        <v>45922</v>
      </c>
      <c r="G743" s="46" t="n">
        <v>7339</v>
      </c>
      <c r="H743" s="46" t="n">
        <v>7339</v>
      </c>
      <c r="I743" s="46" t="n">
        <v>137</v>
      </c>
      <c r="J743" s="44" t="n">
        <v>11.57</v>
      </c>
      <c r="K743" s="43" t="inlineStr">
        <is>
          <t>Received</t>
        </is>
      </c>
      <c r="L743" s="17">
        <f>INDEX(Items!$C$2:$C$117,MATCH(B743,Items!$A$2:$A$117,0))</f>
        <v/>
      </c>
      <c r="M743" s="49">
        <f>INDEX(Items!$E$2:$E$117,MATCH(B743,Items!$A$2:$A$117,0))</f>
        <v/>
      </c>
      <c r="N743" s="17">
        <f>TEXT(D743,"yyyy-mm")</f>
        <v/>
      </c>
      <c r="O743" s="50">
        <f>G743*J743</f>
        <v/>
      </c>
      <c r="P743" s="50">
        <f>(J743-M743)*G743</f>
        <v/>
      </c>
      <c r="Q743" s="51">
        <f>IF(K743="Received",1,0)</f>
        <v/>
      </c>
      <c r="R743" s="51">
        <f>IF(Q743=1,F743-D743,0)</f>
        <v/>
      </c>
      <c r="S743" s="51">
        <f>IF(Q743=1,IF(F743&lt;=E743,1,0),0)</f>
        <v/>
      </c>
      <c r="T743" s="51">
        <f>IF(Q743=1,IF(H743&gt;=G743,1,0),0)</f>
        <v/>
      </c>
      <c r="U743" s="51">
        <f>S743*T743</f>
        <v/>
      </c>
      <c r="V743" s="51">
        <f>IF(Q743=1,MAX(0,F743-E743),0)</f>
        <v/>
      </c>
    </row>
    <row r="744">
      <c r="A744" s="43" t="inlineStr">
        <is>
          <t>PO100600</t>
        </is>
      </c>
      <c r="B744" s="43" t="inlineStr">
        <is>
          <t>CMD-0027</t>
        </is>
      </c>
      <c r="C744" s="43" t="inlineStr">
        <is>
          <t>S04</t>
        </is>
      </c>
      <c r="D744" s="47" t="n">
        <v>45820</v>
      </c>
      <c r="E744" s="47" t="n">
        <v>45890</v>
      </c>
      <c r="F744" s="47" t="n">
        <v>45887</v>
      </c>
      <c r="G744" s="46" t="n">
        <v>8335</v>
      </c>
      <c r="H744" s="46" t="n">
        <v>8335</v>
      </c>
      <c r="I744" s="46" t="n">
        <v>80</v>
      </c>
      <c r="J744" s="44" t="n">
        <v>8.85</v>
      </c>
      <c r="K744" s="43" t="inlineStr">
        <is>
          <t>Received</t>
        </is>
      </c>
      <c r="L744" s="17">
        <f>INDEX(Items!$C$2:$C$117,MATCH(B744,Items!$A$2:$A$117,0))</f>
        <v/>
      </c>
      <c r="M744" s="49">
        <f>INDEX(Items!$E$2:$E$117,MATCH(B744,Items!$A$2:$A$117,0))</f>
        <v/>
      </c>
      <c r="N744" s="17">
        <f>TEXT(D744,"yyyy-mm")</f>
        <v/>
      </c>
      <c r="O744" s="50">
        <f>G744*J744</f>
        <v/>
      </c>
      <c r="P744" s="50">
        <f>(J744-M744)*G744</f>
        <v/>
      </c>
      <c r="Q744" s="51">
        <f>IF(K744="Received",1,0)</f>
        <v/>
      </c>
      <c r="R744" s="51">
        <f>IF(Q744=1,F744-D744,0)</f>
        <v/>
      </c>
      <c r="S744" s="51">
        <f>IF(Q744=1,IF(F744&lt;=E744,1,0),0)</f>
        <v/>
      </c>
      <c r="T744" s="51">
        <f>IF(Q744=1,IF(H744&gt;=G744,1,0),0)</f>
        <v/>
      </c>
      <c r="U744" s="51">
        <f>S744*T744</f>
        <v/>
      </c>
      <c r="V744" s="51">
        <f>IF(Q744=1,MAX(0,F744-E744),0)</f>
        <v/>
      </c>
    </row>
    <row r="745">
      <c r="A745" s="43" t="inlineStr">
        <is>
          <t>PO100648</t>
        </is>
      </c>
      <c r="B745" s="43" t="inlineStr">
        <is>
          <t>CMD-0029</t>
        </is>
      </c>
      <c r="C745" s="43" t="inlineStr">
        <is>
          <t>S11</t>
        </is>
      </c>
      <c r="D745" s="47" t="n">
        <v>45820</v>
      </c>
      <c r="E745" s="47" t="n">
        <v>45897</v>
      </c>
      <c r="F745" s="47" t="n">
        <v>45894</v>
      </c>
      <c r="G745" s="46" t="n">
        <v>4534</v>
      </c>
      <c r="H745" s="46" t="n">
        <v>4534</v>
      </c>
      <c r="I745" s="46" t="n">
        <v>11</v>
      </c>
      <c r="J745" s="44" t="n">
        <v>6.87</v>
      </c>
      <c r="K745" s="43" t="inlineStr">
        <is>
          <t>Received</t>
        </is>
      </c>
      <c r="L745" s="17">
        <f>INDEX(Items!$C$2:$C$117,MATCH(B745,Items!$A$2:$A$117,0))</f>
        <v/>
      </c>
      <c r="M745" s="49">
        <f>INDEX(Items!$E$2:$E$117,MATCH(B745,Items!$A$2:$A$117,0))</f>
        <v/>
      </c>
      <c r="N745" s="17">
        <f>TEXT(D745,"yyyy-mm")</f>
        <v/>
      </c>
      <c r="O745" s="50">
        <f>G745*J745</f>
        <v/>
      </c>
      <c r="P745" s="50">
        <f>(J745-M745)*G745</f>
        <v/>
      </c>
      <c r="Q745" s="51">
        <f>IF(K745="Received",1,0)</f>
        <v/>
      </c>
      <c r="R745" s="51">
        <f>IF(Q745=1,F745-D745,0)</f>
        <v/>
      </c>
      <c r="S745" s="51">
        <f>IF(Q745=1,IF(F745&lt;=E745,1,0),0)</f>
        <v/>
      </c>
      <c r="T745" s="51">
        <f>IF(Q745=1,IF(H745&gt;=G745,1,0),0)</f>
        <v/>
      </c>
      <c r="U745" s="51">
        <f>S745*T745</f>
        <v/>
      </c>
      <c r="V745" s="51">
        <f>IF(Q745=1,MAX(0,F745-E745),0)</f>
        <v/>
      </c>
    </row>
    <row r="746">
      <c r="A746" s="43" t="inlineStr">
        <is>
          <t>PO100504</t>
        </is>
      </c>
      <c r="B746" s="43" t="inlineStr">
        <is>
          <t>CMD-0023</t>
        </is>
      </c>
      <c r="C746" s="43" t="inlineStr">
        <is>
          <t>S04</t>
        </is>
      </c>
      <c r="D746" s="47" t="n">
        <v>45820</v>
      </c>
      <c r="E746" s="47" t="n">
        <v>45890</v>
      </c>
      <c r="F746" s="47" t="n">
        <v>45888</v>
      </c>
      <c r="G746" s="46" t="n">
        <v>4035</v>
      </c>
      <c r="H746" s="46" t="n">
        <v>4035</v>
      </c>
      <c r="I746" s="46" t="n">
        <v>35</v>
      </c>
      <c r="J746" s="44" t="n">
        <v>8.800000000000001</v>
      </c>
      <c r="K746" s="43" t="inlineStr">
        <is>
          <t>Received</t>
        </is>
      </c>
      <c r="L746" s="17">
        <f>INDEX(Items!$C$2:$C$117,MATCH(B746,Items!$A$2:$A$117,0))</f>
        <v/>
      </c>
      <c r="M746" s="49">
        <f>INDEX(Items!$E$2:$E$117,MATCH(B746,Items!$A$2:$A$117,0))</f>
        <v/>
      </c>
      <c r="N746" s="17">
        <f>TEXT(D746,"yyyy-mm")</f>
        <v/>
      </c>
      <c r="O746" s="50">
        <f>G746*J746</f>
        <v/>
      </c>
      <c r="P746" s="50">
        <f>(J746-M746)*G746</f>
        <v/>
      </c>
      <c r="Q746" s="51">
        <f>IF(K746="Received",1,0)</f>
        <v/>
      </c>
      <c r="R746" s="51">
        <f>IF(Q746=1,F746-D746,0)</f>
        <v/>
      </c>
      <c r="S746" s="51">
        <f>IF(Q746=1,IF(F746&lt;=E746,1,0),0)</f>
        <v/>
      </c>
      <c r="T746" s="51">
        <f>IF(Q746=1,IF(H746&gt;=G746,1,0),0)</f>
        <v/>
      </c>
      <c r="U746" s="51">
        <f>S746*T746</f>
        <v/>
      </c>
      <c r="V746" s="51">
        <f>IF(Q746=1,MAX(0,F746-E746),0)</f>
        <v/>
      </c>
    </row>
    <row r="747">
      <c r="A747" s="43" t="inlineStr">
        <is>
          <t>PO101090</t>
        </is>
      </c>
      <c r="B747" s="43" t="inlineStr">
        <is>
          <t>CMD-0050</t>
        </is>
      </c>
      <c r="C747" s="43" t="inlineStr">
        <is>
          <t>S10</t>
        </is>
      </c>
      <c r="D747" s="47" t="n">
        <v>45820</v>
      </c>
      <c r="E747" s="47" t="n">
        <v>45848</v>
      </c>
      <c r="F747" s="47" t="n">
        <v>45848</v>
      </c>
      <c r="G747" s="46" t="n">
        <v>76405</v>
      </c>
      <c r="H747" s="46" t="n">
        <v>76405</v>
      </c>
      <c r="I747" s="46" t="n">
        <v>66</v>
      </c>
      <c r="J747" s="44" t="n">
        <v>0.075</v>
      </c>
      <c r="K747" s="43" t="inlineStr">
        <is>
          <t>Received</t>
        </is>
      </c>
      <c r="L747" s="17">
        <f>INDEX(Items!$C$2:$C$117,MATCH(B747,Items!$A$2:$A$117,0))</f>
        <v/>
      </c>
      <c r="M747" s="49">
        <f>INDEX(Items!$E$2:$E$117,MATCH(B747,Items!$A$2:$A$117,0))</f>
        <v/>
      </c>
      <c r="N747" s="17">
        <f>TEXT(D747,"yyyy-mm")</f>
        <v/>
      </c>
      <c r="O747" s="50">
        <f>G747*J747</f>
        <v/>
      </c>
      <c r="P747" s="50">
        <f>(J747-M747)*G747</f>
        <v/>
      </c>
      <c r="Q747" s="51">
        <f>IF(K747="Received",1,0)</f>
        <v/>
      </c>
      <c r="R747" s="51">
        <f>IF(Q747=1,F747-D747,0)</f>
        <v/>
      </c>
      <c r="S747" s="51">
        <f>IF(Q747=1,IF(F747&lt;=E747,1,0),0)</f>
        <v/>
      </c>
      <c r="T747" s="51">
        <f>IF(Q747=1,IF(H747&gt;=G747,1,0),0)</f>
        <v/>
      </c>
      <c r="U747" s="51">
        <f>S747*T747</f>
        <v/>
      </c>
      <c r="V747" s="51">
        <f>IF(Q747=1,MAX(0,F747-E747),0)</f>
        <v/>
      </c>
    </row>
    <row r="748">
      <c r="A748" s="43" t="inlineStr">
        <is>
          <t>PO100694</t>
        </is>
      </c>
      <c r="B748" s="43" t="inlineStr">
        <is>
          <t>CMD-0031</t>
        </is>
      </c>
      <c r="C748" s="43" t="inlineStr">
        <is>
          <t>S01</t>
        </is>
      </c>
      <c r="D748" s="47" t="n">
        <v>45820</v>
      </c>
      <c r="E748" s="47" t="n">
        <v>45848</v>
      </c>
      <c r="F748" s="47" t="n">
        <v>45846</v>
      </c>
      <c r="G748" s="46" t="n">
        <v>624</v>
      </c>
      <c r="H748" s="46" t="n">
        <v>624</v>
      </c>
      <c r="I748" s="46" t="n">
        <v>1</v>
      </c>
      <c r="J748" s="44" t="n">
        <v>9.69</v>
      </c>
      <c r="K748" s="43" t="inlineStr">
        <is>
          <t>Received</t>
        </is>
      </c>
      <c r="L748" s="17">
        <f>INDEX(Items!$C$2:$C$117,MATCH(B748,Items!$A$2:$A$117,0))</f>
        <v/>
      </c>
      <c r="M748" s="49">
        <f>INDEX(Items!$E$2:$E$117,MATCH(B748,Items!$A$2:$A$117,0))</f>
        <v/>
      </c>
      <c r="N748" s="17">
        <f>TEXT(D748,"yyyy-mm")</f>
        <v/>
      </c>
      <c r="O748" s="50">
        <f>G748*J748</f>
        <v/>
      </c>
      <c r="P748" s="50">
        <f>(J748-M748)*G748</f>
        <v/>
      </c>
      <c r="Q748" s="51">
        <f>IF(K748="Received",1,0)</f>
        <v/>
      </c>
      <c r="R748" s="51">
        <f>IF(Q748=1,F748-D748,0)</f>
        <v/>
      </c>
      <c r="S748" s="51">
        <f>IF(Q748=1,IF(F748&lt;=E748,1,0),0)</f>
        <v/>
      </c>
      <c r="T748" s="51">
        <f>IF(Q748=1,IF(H748&gt;=G748,1,0),0)</f>
        <v/>
      </c>
      <c r="U748" s="51">
        <f>S748*T748</f>
        <v/>
      </c>
      <c r="V748" s="51">
        <f>IF(Q748=1,MAX(0,F748-E748),0)</f>
        <v/>
      </c>
    </row>
    <row r="749">
      <c r="A749" s="43" t="inlineStr">
        <is>
          <t>PO101236</t>
        </is>
      </c>
      <c r="B749" s="43" t="inlineStr">
        <is>
          <t>CMD-0058</t>
        </is>
      </c>
      <c r="C749" s="43" t="inlineStr">
        <is>
          <t>S04</t>
        </is>
      </c>
      <c r="D749" s="47" t="n">
        <v>45820</v>
      </c>
      <c r="E749" s="47" t="n">
        <v>45855</v>
      </c>
      <c r="F749" s="47" t="n">
        <v>45870</v>
      </c>
      <c r="G749" s="46" t="n">
        <v>59562</v>
      </c>
      <c r="H749" s="46" t="n">
        <v>59562</v>
      </c>
      <c r="I749" s="46" t="n">
        <v>623</v>
      </c>
      <c r="J749" s="44" t="n">
        <v>0.1178</v>
      </c>
      <c r="K749" s="43" t="inlineStr">
        <is>
          <t>Received</t>
        </is>
      </c>
      <c r="L749" s="17">
        <f>INDEX(Items!$C$2:$C$117,MATCH(B749,Items!$A$2:$A$117,0))</f>
        <v/>
      </c>
      <c r="M749" s="49">
        <f>INDEX(Items!$E$2:$E$117,MATCH(B749,Items!$A$2:$A$117,0))</f>
        <v/>
      </c>
      <c r="N749" s="17">
        <f>TEXT(D749,"yyyy-mm")</f>
        <v/>
      </c>
      <c r="O749" s="50">
        <f>G749*J749</f>
        <v/>
      </c>
      <c r="P749" s="50">
        <f>(J749-M749)*G749</f>
        <v/>
      </c>
      <c r="Q749" s="51">
        <f>IF(K749="Received",1,0)</f>
        <v/>
      </c>
      <c r="R749" s="51">
        <f>IF(Q749=1,F749-D749,0)</f>
        <v/>
      </c>
      <c r="S749" s="51">
        <f>IF(Q749=1,IF(F749&lt;=E749,1,0),0)</f>
        <v/>
      </c>
      <c r="T749" s="51">
        <f>IF(Q749=1,IF(H749&gt;=G749,1,0),0)</f>
        <v/>
      </c>
      <c r="U749" s="51">
        <f>S749*T749</f>
        <v/>
      </c>
      <c r="V749" s="51">
        <f>IF(Q749=1,MAX(0,F749-E749),0)</f>
        <v/>
      </c>
    </row>
    <row r="750">
      <c r="A750" s="43" t="inlineStr">
        <is>
          <t>PO100778</t>
        </is>
      </c>
      <c r="B750" s="43" t="inlineStr">
        <is>
          <t>CMD-0035</t>
        </is>
      </c>
      <c r="C750" s="43" t="inlineStr">
        <is>
          <t>S01</t>
        </is>
      </c>
      <c r="D750" s="47" t="n">
        <v>45820</v>
      </c>
      <c r="E750" s="47" t="n">
        <v>45848</v>
      </c>
      <c r="F750" s="47" t="n">
        <v>45845</v>
      </c>
      <c r="G750" s="46" t="n">
        <v>624</v>
      </c>
      <c r="H750" s="46" t="n">
        <v>624</v>
      </c>
      <c r="I750" s="46" t="n">
        <v>0</v>
      </c>
      <c r="J750" s="44" t="n">
        <v>9.369999999999999</v>
      </c>
      <c r="K750" s="43" t="inlineStr">
        <is>
          <t>Received</t>
        </is>
      </c>
      <c r="L750" s="17">
        <f>INDEX(Items!$C$2:$C$117,MATCH(B750,Items!$A$2:$A$117,0))</f>
        <v/>
      </c>
      <c r="M750" s="49">
        <f>INDEX(Items!$E$2:$E$117,MATCH(B750,Items!$A$2:$A$117,0))</f>
        <v/>
      </c>
      <c r="N750" s="17">
        <f>TEXT(D750,"yyyy-mm")</f>
        <v/>
      </c>
      <c r="O750" s="50">
        <f>G750*J750</f>
        <v/>
      </c>
      <c r="P750" s="50">
        <f>(J750-M750)*G750</f>
        <v/>
      </c>
      <c r="Q750" s="51">
        <f>IF(K750="Received",1,0)</f>
        <v/>
      </c>
      <c r="R750" s="51">
        <f>IF(Q750=1,F750-D750,0)</f>
        <v/>
      </c>
      <c r="S750" s="51">
        <f>IF(Q750=1,IF(F750&lt;=E750,1,0),0)</f>
        <v/>
      </c>
      <c r="T750" s="51">
        <f>IF(Q750=1,IF(H750&gt;=G750,1,0),0)</f>
        <v/>
      </c>
      <c r="U750" s="51">
        <f>S750*T750</f>
        <v/>
      </c>
      <c r="V750" s="51">
        <f>IF(Q750=1,MAX(0,F750-E750),0)</f>
        <v/>
      </c>
    </row>
    <row r="751">
      <c r="A751" s="43" t="inlineStr">
        <is>
          <t>PO100438</t>
        </is>
      </c>
      <c r="B751" s="43" t="inlineStr">
        <is>
          <t>CMD-0020</t>
        </is>
      </c>
      <c r="C751" s="43" t="inlineStr">
        <is>
          <t>S04</t>
        </is>
      </c>
      <c r="D751" s="47" t="n">
        <v>45820</v>
      </c>
      <c r="E751" s="47" t="n">
        <v>45890</v>
      </c>
      <c r="F751" s="47" t="n">
        <v>45889</v>
      </c>
      <c r="G751" s="46" t="n">
        <v>3463</v>
      </c>
      <c r="H751" s="46" t="n">
        <v>3463</v>
      </c>
      <c r="I751" s="46" t="n">
        <v>30</v>
      </c>
      <c r="J751" s="44" t="n">
        <v>5.03</v>
      </c>
      <c r="K751" s="43" t="inlineStr">
        <is>
          <t>Received</t>
        </is>
      </c>
      <c r="L751" s="17">
        <f>INDEX(Items!$C$2:$C$117,MATCH(B751,Items!$A$2:$A$117,0))</f>
        <v/>
      </c>
      <c r="M751" s="49">
        <f>INDEX(Items!$E$2:$E$117,MATCH(B751,Items!$A$2:$A$117,0))</f>
        <v/>
      </c>
      <c r="N751" s="17">
        <f>TEXT(D751,"yyyy-mm")</f>
        <v/>
      </c>
      <c r="O751" s="50">
        <f>G751*J751</f>
        <v/>
      </c>
      <c r="P751" s="50">
        <f>(J751-M751)*G751</f>
        <v/>
      </c>
      <c r="Q751" s="51">
        <f>IF(K751="Received",1,0)</f>
        <v/>
      </c>
      <c r="R751" s="51">
        <f>IF(Q751=1,F751-D751,0)</f>
        <v/>
      </c>
      <c r="S751" s="51">
        <f>IF(Q751=1,IF(F751&lt;=E751,1,0),0)</f>
        <v/>
      </c>
      <c r="T751" s="51">
        <f>IF(Q751=1,IF(H751&gt;=G751,1,0),0)</f>
        <v/>
      </c>
      <c r="U751" s="51">
        <f>S751*T751</f>
        <v/>
      </c>
      <c r="V751" s="51">
        <f>IF(Q751=1,MAX(0,F751-E751),0)</f>
        <v/>
      </c>
    </row>
    <row r="752">
      <c r="A752" s="43" t="inlineStr">
        <is>
          <t>PO100200</t>
        </is>
      </c>
      <c r="B752" s="43" t="inlineStr">
        <is>
          <t>CMD-0009</t>
        </is>
      </c>
      <c r="C752" s="43" t="inlineStr">
        <is>
          <t>S11</t>
        </is>
      </c>
      <c r="D752" s="47" t="n">
        <v>45820</v>
      </c>
      <c r="E752" s="47" t="n">
        <v>45939</v>
      </c>
      <c r="F752" s="47" t="n">
        <v>45939</v>
      </c>
      <c r="G752" s="46" t="n">
        <v>7167</v>
      </c>
      <c r="H752" s="46" t="n">
        <v>7167</v>
      </c>
      <c r="I752" s="46" t="n">
        <v>14</v>
      </c>
      <c r="J752" s="44" t="n">
        <v>6.29</v>
      </c>
      <c r="K752" s="43" t="inlineStr">
        <is>
          <t>Received</t>
        </is>
      </c>
      <c r="L752" s="17">
        <f>INDEX(Items!$C$2:$C$117,MATCH(B752,Items!$A$2:$A$117,0))</f>
        <v/>
      </c>
      <c r="M752" s="49">
        <f>INDEX(Items!$E$2:$E$117,MATCH(B752,Items!$A$2:$A$117,0))</f>
        <v/>
      </c>
      <c r="N752" s="17">
        <f>TEXT(D752,"yyyy-mm")</f>
        <v/>
      </c>
      <c r="O752" s="50">
        <f>G752*J752</f>
        <v/>
      </c>
      <c r="P752" s="50">
        <f>(J752-M752)*G752</f>
        <v/>
      </c>
      <c r="Q752" s="51">
        <f>IF(K752="Received",1,0)</f>
        <v/>
      </c>
      <c r="R752" s="51">
        <f>IF(Q752=1,F752-D752,0)</f>
        <v/>
      </c>
      <c r="S752" s="51">
        <f>IF(Q752=1,IF(F752&lt;=E752,1,0),0)</f>
        <v/>
      </c>
      <c r="T752" s="51">
        <f>IF(Q752=1,IF(H752&gt;=G752,1,0),0)</f>
        <v/>
      </c>
      <c r="U752" s="51">
        <f>S752*T752</f>
        <v/>
      </c>
      <c r="V752" s="51">
        <f>IF(Q752=1,MAX(0,F752-E752),0)</f>
        <v/>
      </c>
    </row>
    <row r="753">
      <c r="A753" s="43" t="inlineStr">
        <is>
          <t>PO100552</t>
        </is>
      </c>
      <c r="B753" s="43" t="inlineStr">
        <is>
          <t>CMD-0025</t>
        </is>
      </c>
      <c r="C753" s="43" t="inlineStr">
        <is>
          <t>S02</t>
        </is>
      </c>
      <c r="D753" s="47" t="n">
        <v>45821</v>
      </c>
      <c r="E753" s="47" t="n">
        <v>45877</v>
      </c>
      <c r="F753" s="47" t="n">
        <v>45875</v>
      </c>
      <c r="G753" s="46" t="n">
        <v>1035</v>
      </c>
      <c r="H753" s="46" t="n">
        <v>1035</v>
      </c>
      <c r="I753" s="46" t="n">
        <v>2</v>
      </c>
      <c r="J753" s="44" t="n">
        <v>10.52</v>
      </c>
      <c r="K753" s="43" t="inlineStr">
        <is>
          <t>Received</t>
        </is>
      </c>
      <c r="L753" s="17">
        <f>INDEX(Items!$C$2:$C$117,MATCH(B753,Items!$A$2:$A$117,0))</f>
        <v/>
      </c>
      <c r="M753" s="49">
        <f>INDEX(Items!$E$2:$E$117,MATCH(B753,Items!$A$2:$A$117,0))</f>
        <v/>
      </c>
      <c r="N753" s="17">
        <f>TEXT(D753,"yyyy-mm")</f>
        <v/>
      </c>
      <c r="O753" s="50">
        <f>G753*J753</f>
        <v/>
      </c>
      <c r="P753" s="50">
        <f>(J753-M753)*G753</f>
        <v/>
      </c>
      <c r="Q753" s="51">
        <f>IF(K753="Received",1,0)</f>
        <v/>
      </c>
      <c r="R753" s="51">
        <f>IF(Q753=1,F753-D753,0)</f>
        <v/>
      </c>
      <c r="S753" s="51">
        <f>IF(Q753=1,IF(F753&lt;=E753,1,0),0)</f>
        <v/>
      </c>
      <c r="T753" s="51">
        <f>IF(Q753=1,IF(H753&gt;=G753,1,0),0)</f>
        <v/>
      </c>
      <c r="U753" s="51">
        <f>S753*T753</f>
        <v/>
      </c>
      <c r="V753" s="51">
        <f>IF(Q753=1,MAX(0,F753-E753),0)</f>
        <v/>
      </c>
    </row>
    <row r="754">
      <c r="A754" s="43" t="inlineStr">
        <is>
          <t>PO101852</t>
        </is>
      </c>
      <c r="B754" s="43" t="inlineStr">
        <is>
          <t>CMD-0101</t>
        </is>
      </c>
      <c r="C754" s="43" t="inlineStr">
        <is>
          <t>S09</t>
        </is>
      </c>
      <c r="D754" s="47" t="n">
        <v>45821</v>
      </c>
      <c r="E754" s="47" t="n">
        <v>45842</v>
      </c>
      <c r="F754" s="47" t="n">
        <v>45842</v>
      </c>
      <c r="G754" s="46" t="n">
        <v>4344</v>
      </c>
      <c r="H754" s="46" t="n">
        <v>4344</v>
      </c>
      <c r="I754" s="46" t="n">
        <v>15</v>
      </c>
      <c r="J754" s="44" t="n">
        <v>3.7</v>
      </c>
      <c r="K754" s="43" t="inlineStr">
        <is>
          <t>Received</t>
        </is>
      </c>
      <c r="L754" s="17">
        <f>INDEX(Items!$C$2:$C$117,MATCH(B754,Items!$A$2:$A$117,0))</f>
        <v/>
      </c>
      <c r="M754" s="49">
        <f>INDEX(Items!$E$2:$E$117,MATCH(B754,Items!$A$2:$A$117,0))</f>
        <v/>
      </c>
      <c r="N754" s="17">
        <f>TEXT(D754,"yyyy-mm")</f>
        <v/>
      </c>
      <c r="O754" s="50">
        <f>G754*J754</f>
        <v/>
      </c>
      <c r="P754" s="50">
        <f>(J754-M754)*G754</f>
        <v/>
      </c>
      <c r="Q754" s="51">
        <f>IF(K754="Received",1,0)</f>
        <v/>
      </c>
      <c r="R754" s="51">
        <f>IF(Q754=1,F754-D754,0)</f>
        <v/>
      </c>
      <c r="S754" s="51">
        <f>IF(Q754=1,IF(F754&lt;=E754,1,0),0)</f>
        <v/>
      </c>
      <c r="T754" s="51">
        <f>IF(Q754=1,IF(H754&gt;=G754,1,0),0)</f>
        <v/>
      </c>
      <c r="U754" s="51">
        <f>S754*T754</f>
        <v/>
      </c>
      <c r="V754" s="51">
        <f>IF(Q754=1,MAX(0,F754-E754),0)</f>
        <v/>
      </c>
    </row>
    <row r="755">
      <c r="A755" s="43" t="inlineStr">
        <is>
          <t>PO100918</t>
        </is>
      </c>
      <c r="B755" s="43" t="inlineStr">
        <is>
          <t>CMD-0042</t>
        </is>
      </c>
      <c r="C755" s="43" t="inlineStr">
        <is>
          <t>S05</t>
        </is>
      </c>
      <c r="D755" s="47" t="n">
        <v>45821</v>
      </c>
      <c r="E755" s="47" t="n">
        <v>45926</v>
      </c>
      <c r="F755" s="47" t="n">
        <v>45925</v>
      </c>
      <c r="G755" s="46" t="n">
        <v>746</v>
      </c>
      <c r="H755" s="46" t="n">
        <v>746</v>
      </c>
      <c r="I755" s="46" t="n">
        <v>12</v>
      </c>
      <c r="J755" s="44" t="n">
        <v>8.91</v>
      </c>
      <c r="K755" s="43" t="inlineStr">
        <is>
          <t>Received</t>
        </is>
      </c>
      <c r="L755" s="17">
        <f>INDEX(Items!$C$2:$C$117,MATCH(B755,Items!$A$2:$A$117,0))</f>
        <v/>
      </c>
      <c r="M755" s="49">
        <f>INDEX(Items!$E$2:$E$117,MATCH(B755,Items!$A$2:$A$117,0))</f>
        <v/>
      </c>
      <c r="N755" s="17">
        <f>TEXT(D755,"yyyy-mm")</f>
        <v/>
      </c>
      <c r="O755" s="50">
        <f>G755*J755</f>
        <v/>
      </c>
      <c r="P755" s="50">
        <f>(J755-M755)*G755</f>
        <v/>
      </c>
      <c r="Q755" s="51">
        <f>IF(K755="Received",1,0)</f>
        <v/>
      </c>
      <c r="R755" s="51">
        <f>IF(Q755=1,F755-D755,0)</f>
        <v/>
      </c>
      <c r="S755" s="51">
        <f>IF(Q755=1,IF(F755&lt;=E755,1,0),0)</f>
        <v/>
      </c>
      <c r="T755" s="51">
        <f>IF(Q755=1,IF(H755&gt;=G755,1,0),0)</f>
        <v/>
      </c>
      <c r="U755" s="51">
        <f>S755*T755</f>
        <v/>
      </c>
      <c r="V755" s="51">
        <f>IF(Q755=1,MAX(0,F755-E755),0)</f>
        <v/>
      </c>
    </row>
    <row r="756">
      <c r="A756" s="43" t="inlineStr">
        <is>
          <t>PO101746</t>
        </is>
      </c>
      <c r="B756" s="43" t="inlineStr">
        <is>
          <t>CMD-0095</t>
        </is>
      </c>
      <c r="C756" s="43" t="inlineStr">
        <is>
          <t>S08</t>
        </is>
      </c>
      <c r="D756" s="47" t="n">
        <v>45821</v>
      </c>
      <c r="E756" s="47" t="n">
        <v>45898</v>
      </c>
      <c r="F756" s="47" t="n">
        <v>45897</v>
      </c>
      <c r="G756" s="46" t="n">
        <v>320</v>
      </c>
      <c r="H756" s="46" t="n">
        <v>320</v>
      </c>
      <c r="I756" s="46" t="n">
        <v>4</v>
      </c>
      <c r="J756" s="44" t="n">
        <v>91.83</v>
      </c>
      <c r="K756" s="43" t="inlineStr">
        <is>
          <t>Received</t>
        </is>
      </c>
      <c r="L756" s="17">
        <f>INDEX(Items!$C$2:$C$117,MATCH(B756,Items!$A$2:$A$117,0))</f>
        <v/>
      </c>
      <c r="M756" s="49">
        <f>INDEX(Items!$E$2:$E$117,MATCH(B756,Items!$A$2:$A$117,0))</f>
        <v/>
      </c>
      <c r="N756" s="17">
        <f>TEXT(D756,"yyyy-mm")</f>
        <v/>
      </c>
      <c r="O756" s="50">
        <f>G756*J756</f>
        <v/>
      </c>
      <c r="P756" s="50">
        <f>(J756-M756)*G756</f>
        <v/>
      </c>
      <c r="Q756" s="51">
        <f>IF(K756="Received",1,0)</f>
        <v/>
      </c>
      <c r="R756" s="51">
        <f>IF(Q756=1,F756-D756,0)</f>
        <v/>
      </c>
      <c r="S756" s="51">
        <f>IF(Q756=1,IF(F756&lt;=E756,1,0),0)</f>
        <v/>
      </c>
      <c r="T756" s="51">
        <f>IF(Q756=1,IF(H756&gt;=G756,1,0),0)</f>
        <v/>
      </c>
      <c r="U756" s="51">
        <f>S756*T756</f>
        <v/>
      </c>
      <c r="V756" s="51">
        <f>IF(Q756=1,MAX(0,F756-E756),0)</f>
        <v/>
      </c>
    </row>
    <row r="757">
      <c r="A757" s="43" t="inlineStr">
        <is>
          <t>PO100672</t>
        </is>
      </c>
      <c r="B757" s="43" t="inlineStr">
        <is>
          <t>CMD-0030</t>
        </is>
      </c>
      <c r="C757" s="43" t="inlineStr">
        <is>
          <t>S11</t>
        </is>
      </c>
      <c r="D757" s="47" t="n">
        <v>45821</v>
      </c>
      <c r="E757" s="47" t="n">
        <v>45898</v>
      </c>
      <c r="F757" s="47" t="n">
        <v>45895</v>
      </c>
      <c r="G757" s="46" t="n">
        <v>5287</v>
      </c>
      <c r="H757" s="46" t="n">
        <v>5287</v>
      </c>
      <c r="I757" s="46" t="n">
        <v>11</v>
      </c>
      <c r="J757" s="44" t="n">
        <v>23.19</v>
      </c>
      <c r="K757" s="43" t="inlineStr">
        <is>
          <t>Received</t>
        </is>
      </c>
      <c r="L757" s="17">
        <f>INDEX(Items!$C$2:$C$117,MATCH(B757,Items!$A$2:$A$117,0))</f>
        <v/>
      </c>
      <c r="M757" s="49">
        <f>INDEX(Items!$E$2:$E$117,MATCH(B757,Items!$A$2:$A$117,0))</f>
        <v/>
      </c>
      <c r="N757" s="17">
        <f>TEXT(D757,"yyyy-mm")</f>
        <v/>
      </c>
      <c r="O757" s="50">
        <f>G757*J757</f>
        <v/>
      </c>
      <c r="P757" s="50">
        <f>(J757-M757)*G757</f>
        <v/>
      </c>
      <c r="Q757" s="51">
        <f>IF(K757="Received",1,0)</f>
        <v/>
      </c>
      <c r="R757" s="51">
        <f>IF(Q757=1,F757-D757,0)</f>
        <v/>
      </c>
      <c r="S757" s="51">
        <f>IF(Q757=1,IF(F757&lt;=E757,1,0),0)</f>
        <v/>
      </c>
      <c r="T757" s="51">
        <f>IF(Q757=1,IF(H757&gt;=G757,1,0),0)</f>
        <v/>
      </c>
      <c r="U757" s="51">
        <f>S757*T757</f>
        <v/>
      </c>
      <c r="V757" s="51">
        <f>IF(Q757=1,MAX(0,F757-E757),0)</f>
        <v/>
      </c>
    </row>
    <row r="758">
      <c r="A758" s="43" t="inlineStr">
        <is>
          <t>PO101440</t>
        </is>
      </c>
      <c r="B758" s="43" t="inlineStr">
        <is>
          <t>CMD-0077</t>
        </is>
      </c>
      <c r="C758" s="43" t="inlineStr">
        <is>
          <t>S01</t>
        </is>
      </c>
      <c r="D758" s="47" t="n">
        <v>45821</v>
      </c>
      <c r="E758" s="47" t="n">
        <v>45835</v>
      </c>
      <c r="F758" s="47" t="n">
        <v>45835</v>
      </c>
      <c r="G758" s="46" t="n">
        <v>4882</v>
      </c>
      <c r="H758" s="46" t="n">
        <v>4882</v>
      </c>
      <c r="I758" s="46" t="n">
        <v>11</v>
      </c>
      <c r="J758" s="44" t="n">
        <v>8.75</v>
      </c>
      <c r="K758" s="43" t="inlineStr">
        <is>
          <t>Received</t>
        </is>
      </c>
      <c r="L758" s="17">
        <f>INDEX(Items!$C$2:$C$117,MATCH(B758,Items!$A$2:$A$117,0))</f>
        <v/>
      </c>
      <c r="M758" s="49">
        <f>INDEX(Items!$E$2:$E$117,MATCH(B758,Items!$A$2:$A$117,0))</f>
        <v/>
      </c>
      <c r="N758" s="17">
        <f>TEXT(D758,"yyyy-mm")</f>
        <v/>
      </c>
      <c r="O758" s="50">
        <f>G758*J758</f>
        <v/>
      </c>
      <c r="P758" s="50">
        <f>(J758-M758)*G758</f>
        <v/>
      </c>
      <c r="Q758" s="51">
        <f>IF(K758="Received",1,0)</f>
        <v/>
      </c>
      <c r="R758" s="51">
        <f>IF(Q758=1,F758-D758,0)</f>
        <v/>
      </c>
      <c r="S758" s="51">
        <f>IF(Q758=1,IF(F758&lt;=E758,1,0),0)</f>
        <v/>
      </c>
      <c r="T758" s="51">
        <f>IF(Q758=1,IF(H758&gt;=G758,1,0),0)</f>
        <v/>
      </c>
      <c r="U758" s="51">
        <f>S758*T758</f>
        <v/>
      </c>
      <c r="V758" s="51">
        <f>IF(Q758=1,MAX(0,F758-E758),0)</f>
        <v/>
      </c>
    </row>
    <row r="759">
      <c r="A759" s="43" t="inlineStr">
        <is>
          <t>PO101968</t>
        </is>
      </c>
      <c r="B759" s="43" t="inlineStr">
        <is>
          <t>CMD-0109</t>
        </is>
      </c>
      <c r="C759" s="43" t="inlineStr">
        <is>
          <t>S12</t>
        </is>
      </c>
      <c r="D759" s="47" t="n">
        <v>45821</v>
      </c>
      <c r="E759" s="47" t="n">
        <v>45828</v>
      </c>
      <c r="F759" s="47" t="n">
        <v>45826</v>
      </c>
      <c r="G759" s="46" t="n">
        <v>6626</v>
      </c>
      <c r="H759" s="46" t="n">
        <v>6626</v>
      </c>
      <c r="I759" s="46" t="n">
        <v>10</v>
      </c>
      <c r="J759" s="44" t="n">
        <v>1.7</v>
      </c>
      <c r="K759" s="43" t="inlineStr">
        <is>
          <t>Received</t>
        </is>
      </c>
      <c r="L759" s="17">
        <f>INDEX(Items!$C$2:$C$117,MATCH(B759,Items!$A$2:$A$117,0))</f>
        <v/>
      </c>
      <c r="M759" s="49">
        <f>INDEX(Items!$E$2:$E$117,MATCH(B759,Items!$A$2:$A$117,0))</f>
        <v/>
      </c>
      <c r="N759" s="17">
        <f>TEXT(D759,"yyyy-mm")</f>
        <v/>
      </c>
      <c r="O759" s="50">
        <f>G759*J759</f>
        <v/>
      </c>
      <c r="P759" s="50">
        <f>(J759-M759)*G759</f>
        <v/>
      </c>
      <c r="Q759" s="51">
        <f>IF(K759="Received",1,0)</f>
        <v/>
      </c>
      <c r="R759" s="51">
        <f>IF(Q759=1,F759-D759,0)</f>
        <v/>
      </c>
      <c r="S759" s="51">
        <f>IF(Q759=1,IF(F759&lt;=E759,1,0),0)</f>
        <v/>
      </c>
      <c r="T759" s="51">
        <f>IF(Q759=1,IF(H759&gt;=G759,1,0),0)</f>
        <v/>
      </c>
      <c r="U759" s="51">
        <f>S759*T759</f>
        <v/>
      </c>
      <c r="V759" s="51">
        <f>IF(Q759=1,MAX(0,F759-E759),0)</f>
        <v/>
      </c>
    </row>
    <row r="760">
      <c r="A760" s="43" t="inlineStr">
        <is>
          <t>PO101650</t>
        </is>
      </c>
      <c r="B760" s="43" t="inlineStr">
        <is>
          <t>CMD-0091</t>
        </is>
      </c>
      <c r="C760" s="43" t="inlineStr">
        <is>
          <t>S08</t>
        </is>
      </c>
      <c r="D760" s="47" t="n">
        <v>45822</v>
      </c>
      <c r="E760" s="47" t="n">
        <v>45899</v>
      </c>
      <c r="F760" s="47" t="n">
        <v>45898</v>
      </c>
      <c r="G760" s="46" t="n">
        <v>823</v>
      </c>
      <c r="H760" s="46" t="n">
        <v>823</v>
      </c>
      <c r="I760" s="46" t="n">
        <v>6</v>
      </c>
      <c r="J760" s="44" t="n">
        <v>23.8</v>
      </c>
      <c r="K760" s="43" t="inlineStr">
        <is>
          <t>Received</t>
        </is>
      </c>
      <c r="L760" s="17">
        <f>INDEX(Items!$C$2:$C$117,MATCH(B760,Items!$A$2:$A$117,0))</f>
        <v/>
      </c>
      <c r="M760" s="49">
        <f>INDEX(Items!$E$2:$E$117,MATCH(B760,Items!$A$2:$A$117,0))</f>
        <v/>
      </c>
      <c r="N760" s="17">
        <f>TEXT(D760,"yyyy-mm")</f>
        <v/>
      </c>
      <c r="O760" s="50">
        <f>G760*J760</f>
        <v/>
      </c>
      <c r="P760" s="50">
        <f>(J760-M760)*G760</f>
        <v/>
      </c>
      <c r="Q760" s="51">
        <f>IF(K760="Received",1,0)</f>
        <v/>
      </c>
      <c r="R760" s="51">
        <f>IF(Q760=1,F760-D760,0)</f>
        <v/>
      </c>
      <c r="S760" s="51">
        <f>IF(Q760=1,IF(F760&lt;=E760,1,0),0)</f>
        <v/>
      </c>
      <c r="T760" s="51">
        <f>IF(Q760=1,IF(H760&gt;=G760,1,0),0)</f>
        <v/>
      </c>
      <c r="U760" s="51">
        <f>S760*T760</f>
        <v/>
      </c>
      <c r="V760" s="51">
        <f>IF(Q760=1,MAX(0,F760-E760),0)</f>
        <v/>
      </c>
    </row>
    <row r="761">
      <c r="A761" s="43" t="inlineStr">
        <is>
          <t>PO101626</t>
        </is>
      </c>
      <c r="B761" s="43" t="inlineStr">
        <is>
          <t>CMD-0090</t>
        </is>
      </c>
      <c r="C761" s="43" t="inlineStr">
        <is>
          <t>S01</t>
        </is>
      </c>
      <c r="D761" s="47" t="n">
        <v>45822</v>
      </c>
      <c r="E761" s="47" t="n">
        <v>45836</v>
      </c>
      <c r="F761" s="47" t="n">
        <v>45841</v>
      </c>
      <c r="G761" s="46" t="n">
        <v>4904</v>
      </c>
      <c r="H761" s="46" t="n">
        <v>4904</v>
      </c>
      <c r="I761" s="46" t="n">
        <v>9</v>
      </c>
      <c r="J761" s="44" t="n">
        <v>6.99</v>
      </c>
      <c r="K761" s="43" t="inlineStr">
        <is>
          <t>Received</t>
        </is>
      </c>
      <c r="L761" s="17">
        <f>INDEX(Items!$C$2:$C$117,MATCH(B761,Items!$A$2:$A$117,0))</f>
        <v/>
      </c>
      <c r="M761" s="49">
        <f>INDEX(Items!$E$2:$E$117,MATCH(B761,Items!$A$2:$A$117,0))</f>
        <v/>
      </c>
      <c r="N761" s="17">
        <f>TEXT(D761,"yyyy-mm")</f>
        <v/>
      </c>
      <c r="O761" s="50">
        <f>G761*J761</f>
        <v/>
      </c>
      <c r="P761" s="50">
        <f>(J761-M761)*G761</f>
        <v/>
      </c>
      <c r="Q761" s="51">
        <f>IF(K761="Received",1,0)</f>
        <v/>
      </c>
      <c r="R761" s="51">
        <f>IF(Q761=1,F761-D761,0)</f>
        <v/>
      </c>
      <c r="S761" s="51">
        <f>IF(Q761=1,IF(F761&lt;=E761,1,0),0)</f>
        <v/>
      </c>
      <c r="T761" s="51">
        <f>IF(Q761=1,IF(H761&gt;=G761,1,0),0)</f>
        <v/>
      </c>
      <c r="U761" s="51">
        <f>S761*T761</f>
        <v/>
      </c>
      <c r="V761" s="51">
        <f>IF(Q761=1,MAX(0,F761-E761),0)</f>
        <v/>
      </c>
    </row>
    <row r="762">
      <c r="A762" s="43" t="inlineStr">
        <is>
          <t>PO101128</t>
        </is>
      </c>
      <c r="B762" s="43" t="inlineStr">
        <is>
          <t>CMD-0052</t>
        </is>
      </c>
      <c r="C762" s="43" t="inlineStr">
        <is>
          <t>S01</t>
        </is>
      </c>
      <c r="D762" s="47" t="n">
        <v>45822</v>
      </c>
      <c r="E762" s="47" t="n">
        <v>45843</v>
      </c>
      <c r="F762" s="47" t="n">
        <v>45843</v>
      </c>
      <c r="G762" s="46" t="n">
        <v>142458</v>
      </c>
      <c r="H762" s="46" t="n">
        <v>142458</v>
      </c>
      <c r="I762" s="46" t="n">
        <v>308</v>
      </c>
      <c r="J762" s="44" t="n">
        <v>0.2016</v>
      </c>
      <c r="K762" s="43" t="inlineStr">
        <is>
          <t>Received</t>
        </is>
      </c>
      <c r="L762" s="17">
        <f>INDEX(Items!$C$2:$C$117,MATCH(B762,Items!$A$2:$A$117,0))</f>
        <v/>
      </c>
      <c r="M762" s="49">
        <f>INDEX(Items!$E$2:$E$117,MATCH(B762,Items!$A$2:$A$117,0))</f>
        <v/>
      </c>
      <c r="N762" s="17">
        <f>TEXT(D762,"yyyy-mm")</f>
        <v/>
      </c>
      <c r="O762" s="50">
        <f>G762*J762</f>
        <v/>
      </c>
      <c r="P762" s="50">
        <f>(J762-M762)*G762</f>
        <v/>
      </c>
      <c r="Q762" s="51">
        <f>IF(K762="Received",1,0)</f>
        <v/>
      </c>
      <c r="R762" s="51">
        <f>IF(Q762=1,F762-D762,0)</f>
        <v/>
      </c>
      <c r="S762" s="51">
        <f>IF(Q762=1,IF(F762&lt;=E762,1,0),0)</f>
        <v/>
      </c>
      <c r="T762" s="51">
        <f>IF(Q762=1,IF(H762&gt;=G762,1,0),0)</f>
        <v/>
      </c>
      <c r="U762" s="51">
        <f>S762*T762</f>
        <v/>
      </c>
      <c r="V762" s="51">
        <f>IF(Q762=1,MAX(0,F762-E762),0)</f>
        <v/>
      </c>
    </row>
    <row r="763">
      <c r="A763" s="43" t="inlineStr">
        <is>
          <t>PO100248</t>
        </is>
      </c>
      <c r="B763" s="43" t="inlineStr">
        <is>
          <t>CMD-0011</t>
        </is>
      </c>
      <c r="C763" s="43" t="inlineStr">
        <is>
          <t>S07</t>
        </is>
      </c>
      <c r="D763" s="47" t="n">
        <v>45822</v>
      </c>
      <c r="E763" s="47" t="n">
        <v>45913</v>
      </c>
      <c r="F763" s="47" t="n">
        <v>45914</v>
      </c>
      <c r="G763" s="46" t="n">
        <v>3024</v>
      </c>
      <c r="H763" s="46" t="n">
        <v>3024</v>
      </c>
      <c r="I763" s="46" t="n">
        <v>19</v>
      </c>
      <c r="J763" s="44" t="n">
        <v>8.08</v>
      </c>
      <c r="K763" s="43" t="inlineStr">
        <is>
          <t>Received</t>
        </is>
      </c>
      <c r="L763" s="17">
        <f>INDEX(Items!$C$2:$C$117,MATCH(B763,Items!$A$2:$A$117,0))</f>
        <v/>
      </c>
      <c r="M763" s="49">
        <f>INDEX(Items!$E$2:$E$117,MATCH(B763,Items!$A$2:$A$117,0))</f>
        <v/>
      </c>
      <c r="N763" s="17">
        <f>TEXT(D763,"yyyy-mm")</f>
        <v/>
      </c>
      <c r="O763" s="50">
        <f>G763*J763</f>
        <v/>
      </c>
      <c r="P763" s="50">
        <f>(J763-M763)*G763</f>
        <v/>
      </c>
      <c r="Q763" s="51">
        <f>IF(K763="Received",1,0)</f>
        <v/>
      </c>
      <c r="R763" s="51">
        <f>IF(Q763=1,F763-D763,0)</f>
        <v/>
      </c>
      <c r="S763" s="51">
        <f>IF(Q763=1,IF(F763&lt;=E763,1,0),0)</f>
        <v/>
      </c>
      <c r="T763" s="51">
        <f>IF(Q763=1,IF(H763&gt;=G763,1,0),0)</f>
        <v/>
      </c>
      <c r="U763" s="51">
        <f>S763*T763</f>
        <v/>
      </c>
      <c r="V763" s="51">
        <f>IF(Q763=1,MAX(0,F763-E763),0)</f>
        <v/>
      </c>
    </row>
    <row r="764">
      <c r="A764" s="43" t="inlineStr">
        <is>
          <t>PO100080</t>
        </is>
      </c>
      <c r="B764" s="43" t="inlineStr">
        <is>
          <t>CMD-0004</t>
        </is>
      </c>
      <c r="C764" s="43" t="inlineStr">
        <is>
          <t>S07</t>
        </is>
      </c>
      <c r="D764" s="47" t="n">
        <v>45822</v>
      </c>
      <c r="E764" s="47" t="n">
        <v>45913</v>
      </c>
      <c r="F764" s="47" t="n">
        <v>45910</v>
      </c>
      <c r="G764" s="46" t="n">
        <v>3204</v>
      </c>
      <c r="H764" s="46" t="n">
        <v>3204</v>
      </c>
      <c r="I764" s="46" t="n">
        <v>19</v>
      </c>
      <c r="J764" s="44" t="n">
        <v>4.05</v>
      </c>
      <c r="K764" s="43" t="inlineStr">
        <is>
          <t>Received</t>
        </is>
      </c>
      <c r="L764" s="17">
        <f>INDEX(Items!$C$2:$C$117,MATCH(B764,Items!$A$2:$A$117,0))</f>
        <v/>
      </c>
      <c r="M764" s="49">
        <f>INDEX(Items!$E$2:$E$117,MATCH(B764,Items!$A$2:$A$117,0))</f>
        <v/>
      </c>
      <c r="N764" s="17">
        <f>TEXT(D764,"yyyy-mm")</f>
        <v/>
      </c>
      <c r="O764" s="50">
        <f>G764*J764</f>
        <v/>
      </c>
      <c r="P764" s="50">
        <f>(J764-M764)*G764</f>
        <v/>
      </c>
      <c r="Q764" s="51">
        <f>IF(K764="Received",1,0)</f>
        <v/>
      </c>
      <c r="R764" s="51">
        <f>IF(Q764=1,F764-D764,0)</f>
        <v/>
      </c>
      <c r="S764" s="51">
        <f>IF(Q764=1,IF(F764&lt;=E764,1,0),0)</f>
        <v/>
      </c>
      <c r="T764" s="51">
        <f>IF(Q764=1,IF(H764&gt;=G764,1,0),0)</f>
        <v/>
      </c>
      <c r="U764" s="51">
        <f>S764*T764</f>
        <v/>
      </c>
      <c r="V764" s="51">
        <f>IF(Q764=1,MAX(0,F764-E764),0)</f>
        <v/>
      </c>
    </row>
    <row r="765">
      <c r="A765" s="43" t="inlineStr">
        <is>
          <t>PO100942</t>
        </is>
      </c>
      <c r="B765" s="43" t="inlineStr">
        <is>
          <t>CMD-0043</t>
        </is>
      </c>
      <c r="C765" s="43" t="inlineStr">
        <is>
          <t>S05</t>
        </is>
      </c>
      <c r="D765" s="47" t="n">
        <v>45822</v>
      </c>
      <c r="E765" s="47" t="n">
        <v>45927</v>
      </c>
      <c r="F765" s="47" t="n">
        <v>45924</v>
      </c>
      <c r="G765" s="46" t="n">
        <v>5481</v>
      </c>
      <c r="H765" s="46" t="n">
        <v>5481</v>
      </c>
      <c r="I765" s="46" t="n">
        <v>118</v>
      </c>
      <c r="J765" s="44" t="n">
        <v>3.69</v>
      </c>
      <c r="K765" s="43" t="inlineStr">
        <is>
          <t>Received</t>
        </is>
      </c>
      <c r="L765" s="17">
        <f>INDEX(Items!$C$2:$C$117,MATCH(B765,Items!$A$2:$A$117,0))</f>
        <v/>
      </c>
      <c r="M765" s="49">
        <f>INDEX(Items!$E$2:$E$117,MATCH(B765,Items!$A$2:$A$117,0))</f>
        <v/>
      </c>
      <c r="N765" s="17">
        <f>TEXT(D765,"yyyy-mm")</f>
        <v/>
      </c>
      <c r="O765" s="50">
        <f>G765*J765</f>
        <v/>
      </c>
      <c r="P765" s="50">
        <f>(J765-M765)*G765</f>
        <v/>
      </c>
      <c r="Q765" s="51">
        <f>IF(K765="Received",1,0)</f>
        <v/>
      </c>
      <c r="R765" s="51">
        <f>IF(Q765=1,F765-D765,0)</f>
        <v/>
      </c>
      <c r="S765" s="51">
        <f>IF(Q765=1,IF(F765&lt;=E765,1,0),0)</f>
        <v/>
      </c>
      <c r="T765" s="51">
        <f>IF(Q765=1,IF(H765&gt;=G765,1,0),0)</f>
        <v/>
      </c>
      <c r="U765" s="51">
        <f>S765*T765</f>
        <v/>
      </c>
      <c r="V765" s="51">
        <f>IF(Q765=1,MAX(0,F765-E765),0)</f>
        <v/>
      </c>
    </row>
    <row r="766">
      <c r="A766" s="43" t="inlineStr">
        <is>
          <t>PO101572</t>
        </is>
      </c>
      <c r="B766" s="43" t="inlineStr">
        <is>
          <t>CMD-0085</t>
        </is>
      </c>
      <c r="C766" s="43" t="inlineStr">
        <is>
          <t>S06</t>
        </is>
      </c>
      <c r="D766" s="47" t="n">
        <v>45822</v>
      </c>
      <c r="E766" s="47" t="n">
        <v>45843</v>
      </c>
      <c r="F766" s="47" t="n">
        <v>45840</v>
      </c>
      <c r="G766" s="46" t="n">
        <v>880</v>
      </c>
      <c r="H766" s="46" t="n">
        <v>880</v>
      </c>
      <c r="I766" s="46" t="n">
        <v>3</v>
      </c>
      <c r="J766" s="44" t="n">
        <v>10.56</v>
      </c>
      <c r="K766" s="43" t="inlineStr">
        <is>
          <t>Received</t>
        </is>
      </c>
      <c r="L766" s="17">
        <f>INDEX(Items!$C$2:$C$117,MATCH(B766,Items!$A$2:$A$117,0))</f>
        <v/>
      </c>
      <c r="M766" s="49">
        <f>INDEX(Items!$E$2:$E$117,MATCH(B766,Items!$A$2:$A$117,0))</f>
        <v/>
      </c>
      <c r="N766" s="17">
        <f>TEXT(D766,"yyyy-mm")</f>
        <v/>
      </c>
      <c r="O766" s="50">
        <f>G766*J766</f>
        <v/>
      </c>
      <c r="P766" s="50">
        <f>(J766-M766)*G766</f>
        <v/>
      </c>
      <c r="Q766" s="51">
        <f>IF(K766="Received",1,0)</f>
        <v/>
      </c>
      <c r="R766" s="51">
        <f>IF(Q766=1,F766-D766,0)</f>
        <v/>
      </c>
      <c r="S766" s="51">
        <f>IF(Q766=1,IF(F766&lt;=E766,1,0),0)</f>
        <v/>
      </c>
      <c r="T766" s="51">
        <f>IF(Q766=1,IF(H766&gt;=G766,1,0),0)</f>
        <v/>
      </c>
      <c r="U766" s="51">
        <f>S766*T766</f>
        <v/>
      </c>
      <c r="V766" s="51">
        <f>IF(Q766=1,MAX(0,F766-E766),0)</f>
        <v/>
      </c>
    </row>
    <row r="767">
      <c r="A767" s="43" t="inlineStr">
        <is>
          <t>PO101606</t>
        </is>
      </c>
      <c r="B767" s="43" t="inlineStr">
        <is>
          <t>CMD-0089</t>
        </is>
      </c>
      <c r="C767" s="43" t="inlineStr">
        <is>
          <t>S01</t>
        </is>
      </c>
      <c r="D767" s="47" t="n">
        <v>45825</v>
      </c>
      <c r="E767" s="47" t="n">
        <v>45839</v>
      </c>
      <c r="F767" s="47" t="n">
        <v>45838</v>
      </c>
      <c r="G767" s="46" t="n">
        <v>682</v>
      </c>
      <c r="H767" s="46" t="n">
        <v>682</v>
      </c>
      <c r="I767" s="46" t="n">
        <v>1</v>
      </c>
      <c r="J767" s="44" t="n">
        <v>9.49</v>
      </c>
      <c r="K767" s="43" t="inlineStr">
        <is>
          <t>Received</t>
        </is>
      </c>
      <c r="L767" s="17">
        <f>INDEX(Items!$C$2:$C$117,MATCH(B767,Items!$A$2:$A$117,0))</f>
        <v/>
      </c>
      <c r="M767" s="49">
        <f>INDEX(Items!$E$2:$E$117,MATCH(B767,Items!$A$2:$A$117,0))</f>
        <v/>
      </c>
      <c r="N767" s="17">
        <f>TEXT(D767,"yyyy-mm")</f>
        <v/>
      </c>
      <c r="O767" s="50">
        <f>G767*J767</f>
        <v/>
      </c>
      <c r="P767" s="50">
        <f>(J767-M767)*G767</f>
        <v/>
      </c>
      <c r="Q767" s="51">
        <f>IF(K767="Received",1,0)</f>
        <v/>
      </c>
      <c r="R767" s="51">
        <f>IF(Q767=1,F767-D767,0)</f>
        <v/>
      </c>
      <c r="S767" s="51">
        <f>IF(Q767=1,IF(F767&lt;=E767,1,0),0)</f>
        <v/>
      </c>
      <c r="T767" s="51">
        <f>IF(Q767=1,IF(H767&gt;=G767,1,0),0)</f>
        <v/>
      </c>
      <c r="U767" s="51">
        <f>S767*T767</f>
        <v/>
      </c>
      <c r="V767" s="51">
        <f>IF(Q767=1,MAX(0,F767-E767),0)</f>
        <v/>
      </c>
    </row>
    <row r="768">
      <c r="A768" s="43" t="inlineStr">
        <is>
          <t>PO100418</t>
        </is>
      </c>
      <c r="B768" s="43" t="inlineStr">
        <is>
          <t>CMD-0019</t>
        </is>
      </c>
      <c r="C768" s="43" t="inlineStr">
        <is>
          <t>S11</t>
        </is>
      </c>
      <c r="D768" s="47" t="n">
        <v>45826</v>
      </c>
      <c r="E768" s="47" t="n">
        <v>45903</v>
      </c>
      <c r="F768" s="47" t="n">
        <v>45909</v>
      </c>
      <c r="G768" s="46" t="n">
        <v>941</v>
      </c>
      <c r="H768" s="46" t="n">
        <v>941</v>
      </c>
      <c r="I768" s="46" t="n">
        <v>2</v>
      </c>
      <c r="J768" s="44" t="n">
        <v>7.25</v>
      </c>
      <c r="K768" s="43" t="inlineStr">
        <is>
          <t>Received</t>
        </is>
      </c>
      <c r="L768" s="17">
        <f>INDEX(Items!$C$2:$C$117,MATCH(B768,Items!$A$2:$A$117,0))</f>
        <v/>
      </c>
      <c r="M768" s="49">
        <f>INDEX(Items!$E$2:$E$117,MATCH(B768,Items!$A$2:$A$117,0))</f>
        <v/>
      </c>
      <c r="N768" s="17">
        <f>TEXT(D768,"yyyy-mm")</f>
        <v/>
      </c>
      <c r="O768" s="50">
        <f>G768*J768</f>
        <v/>
      </c>
      <c r="P768" s="50">
        <f>(J768-M768)*G768</f>
        <v/>
      </c>
      <c r="Q768" s="51">
        <f>IF(K768="Received",1,0)</f>
        <v/>
      </c>
      <c r="R768" s="51">
        <f>IF(Q768=1,F768-D768,0)</f>
        <v/>
      </c>
      <c r="S768" s="51">
        <f>IF(Q768=1,IF(F768&lt;=E768,1,0),0)</f>
        <v/>
      </c>
      <c r="T768" s="51">
        <f>IF(Q768=1,IF(H768&gt;=G768,1,0),0)</f>
        <v/>
      </c>
      <c r="U768" s="51">
        <f>S768*T768</f>
        <v/>
      </c>
      <c r="V768" s="51">
        <f>IF(Q768=1,MAX(0,F768-E768),0)</f>
        <v/>
      </c>
    </row>
    <row r="769">
      <c r="A769" s="43" t="inlineStr">
        <is>
          <t>PO102008</t>
        </is>
      </c>
      <c r="B769" s="43" t="inlineStr">
        <is>
          <t>CMD-0114</t>
        </is>
      </c>
      <c r="C769" s="43" t="inlineStr">
        <is>
          <t>S12</t>
        </is>
      </c>
      <c r="D769" s="47" t="n">
        <v>45826</v>
      </c>
      <c r="E769" s="47" t="n">
        <v>45833</v>
      </c>
      <c r="F769" s="47" t="n">
        <v>45831</v>
      </c>
      <c r="G769" s="46" t="n">
        <v>13028</v>
      </c>
      <c r="H769" s="46" t="n">
        <v>13028</v>
      </c>
      <c r="I769" s="46" t="n">
        <v>7</v>
      </c>
      <c r="J769" s="44" t="n">
        <v>0.3431</v>
      </c>
      <c r="K769" s="43" t="inlineStr">
        <is>
          <t>Received</t>
        </is>
      </c>
      <c r="L769" s="17">
        <f>INDEX(Items!$C$2:$C$117,MATCH(B769,Items!$A$2:$A$117,0))</f>
        <v/>
      </c>
      <c r="M769" s="49">
        <f>INDEX(Items!$E$2:$E$117,MATCH(B769,Items!$A$2:$A$117,0))</f>
        <v/>
      </c>
      <c r="N769" s="17">
        <f>TEXT(D769,"yyyy-mm")</f>
        <v/>
      </c>
      <c r="O769" s="50">
        <f>G769*J769</f>
        <v/>
      </c>
      <c r="P769" s="50">
        <f>(J769-M769)*G769</f>
        <v/>
      </c>
      <c r="Q769" s="51">
        <f>IF(K769="Received",1,0)</f>
        <v/>
      </c>
      <c r="R769" s="51">
        <f>IF(Q769=1,F769-D769,0)</f>
        <v/>
      </c>
      <c r="S769" s="51">
        <f>IF(Q769=1,IF(F769&lt;=E769,1,0),0)</f>
        <v/>
      </c>
      <c r="T769" s="51">
        <f>IF(Q769=1,IF(H769&gt;=G769,1,0),0)</f>
        <v/>
      </c>
      <c r="U769" s="51">
        <f>S769*T769</f>
        <v/>
      </c>
      <c r="V769" s="51">
        <f>IF(Q769=1,MAX(0,F769-E769),0)</f>
        <v/>
      </c>
    </row>
    <row r="770">
      <c r="A770" s="43" t="inlineStr">
        <is>
          <t>PO101349</t>
        </is>
      </c>
      <c r="B770" s="43" t="inlineStr">
        <is>
          <t>CMD-0068</t>
        </is>
      </c>
      <c r="C770" s="43" t="inlineStr">
        <is>
          <t>S01</t>
        </is>
      </c>
      <c r="D770" s="47" t="n">
        <v>45831</v>
      </c>
      <c r="E770" s="47" t="n">
        <v>45852</v>
      </c>
      <c r="F770" s="47" t="n">
        <v>45852</v>
      </c>
      <c r="G770" s="46" t="n">
        <v>41329</v>
      </c>
      <c r="H770" s="46" t="n">
        <v>41329</v>
      </c>
      <c r="I770" s="46" t="n">
        <v>76</v>
      </c>
      <c r="J770" s="44" t="n">
        <v>0.1562</v>
      </c>
      <c r="K770" s="43" t="inlineStr">
        <is>
          <t>Received</t>
        </is>
      </c>
      <c r="L770" s="17">
        <f>INDEX(Items!$C$2:$C$117,MATCH(B770,Items!$A$2:$A$117,0))</f>
        <v/>
      </c>
      <c r="M770" s="49">
        <f>INDEX(Items!$E$2:$E$117,MATCH(B770,Items!$A$2:$A$117,0))</f>
        <v/>
      </c>
      <c r="N770" s="17">
        <f>TEXT(D770,"yyyy-mm")</f>
        <v/>
      </c>
      <c r="O770" s="50">
        <f>G770*J770</f>
        <v/>
      </c>
      <c r="P770" s="50">
        <f>(J770-M770)*G770</f>
        <v/>
      </c>
      <c r="Q770" s="51">
        <f>IF(K770="Received",1,0)</f>
        <v/>
      </c>
      <c r="R770" s="51">
        <f>IF(Q770=1,F770-D770,0)</f>
        <v/>
      </c>
      <c r="S770" s="51">
        <f>IF(Q770=1,IF(F770&lt;=E770,1,0),0)</f>
        <v/>
      </c>
      <c r="T770" s="51">
        <f>IF(Q770=1,IF(H770&gt;=G770,1,0),0)</f>
        <v/>
      </c>
      <c r="U770" s="51">
        <f>S770*T770</f>
        <v/>
      </c>
      <c r="V770" s="51">
        <f>IF(Q770=1,MAX(0,F770-E770),0)</f>
        <v/>
      </c>
    </row>
    <row r="771">
      <c r="A771" s="43" t="inlineStr">
        <is>
          <t>PO101038</t>
        </is>
      </c>
      <c r="B771" s="43" t="inlineStr">
        <is>
          <t>CMD-0047</t>
        </is>
      </c>
      <c r="C771" s="43" t="inlineStr">
        <is>
          <t>S04</t>
        </is>
      </c>
      <c r="D771" s="47" t="n">
        <v>45844</v>
      </c>
      <c r="E771" s="47" t="n">
        <v>45879</v>
      </c>
      <c r="F771" s="47" t="n">
        <v>45897</v>
      </c>
      <c r="G771" s="46" t="n">
        <v>21602</v>
      </c>
      <c r="H771" s="46" t="n">
        <v>21602</v>
      </c>
      <c r="I771" s="46" t="n">
        <v>222</v>
      </c>
      <c r="J771" s="44" t="n">
        <v>0.296</v>
      </c>
      <c r="K771" s="43" t="inlineStr">
        <is>
          <t>Received</t>
        </is>
      </c>
      <c r="L771" s="17">
        <f>INDEX(Items!$C$2:$C$117,MATCH(B771,Items!$A$2:$A$117,0))</f>
        <v/>
      </c>
      <c r="M771" s="49">
        <f>INDEX(Items!$E$2:$E$117,MATCH(B771,Items!$A$2:$A$117,0))</f>
        <v/>
      </c>
      <c r="N771" s="17">
        <f>TEXT(D771,"yyyy-mm")</f>
        <v/>
      </c>
      <c r="O771" s="50">
        <f>G771*J771</f>
        <v/>
      </c>
      <c r="P771" s="50">
        <f>(J771-M771)*G771</f>
        <v/>
      </c>
      <c r="Q771" s="51">
        <f>IF(K771="Received",1,0)</f>
        <v/>
      </c>
      <c r="R771" s="51">
        <f>IF(Q771=1,F771-D771,0)</f>
        <v/>
      </c>
      <c r="S771" s="51">
        <f>IF(Q771=1,IF(F771&lt;=E771,1,0),0)</f>
        <v/>
      </c>
      <c r="T771" s="51">
        <f>IF(Q771=1,IF(H771&gt;=G771,1,0),0)</f>
        <v/>
      </c>
      <c r="U771" s="51">
        <f>S771*T771</f>
        <v/>
      </c>
      <c r="V771" s="51">
        <f>IF(Q771=1,MAX(0,F771-E771),0)</f>
        <v/>
      </c>
    </row>
    <row r="772">
      <c r="A772" s="43" t="inlineStr">
        <is>
          <t>PO101257</t>
        </is>
      </c>
      <c r="B772" s="43" t="inlineStr">
        <is>
          <t>CMD-0059</t>
        </is>
      </c>
      <c r="C772" s="43" t="inlineStr">
        <is>
          <t>S01</t>
        </is>
      </c>
      <c r="D772" s="47" t="n">
        <v>45844</v>
      </c>
      <c r="E772" s="47" t="n">
        <v>45865</v>
      </c>
      <c r="F772" s="47" t="n">
        <v>45864</v>
      </c>
      <c r="G772" s="46" t="n">
        <v>167730</v>
      </c>
      <c r="H772" s="46" t="n">
        <v>167730</v>
      </c>
      <c r="I772" s="46" t="n">
        <v>314</v>
      </c>
      <c r="J772" s="44" t="n">
        <v>0.0281</v>
      </c>
      <c r="K772" s="43" t="inlineStr">
        <is>
          <t>Received</t>
        </is>
      </c>
      <c r="L772" s="17">
        <f>INDEX(Items!$C$2:$C$117,MATCH(B772,Items!$A$2:$A$117,0))</f>
        <v/>
      </c>
      <c r="M772" s="49">
        <f>INDEX(Items!$E$2:$E$117,MATCH(B772,Items!$A$2:$A$117,0))</f>
        <v/>
      </c>
      <c r="N772" s="17">
        <f>TEXT(D772,"yyyy-mm")</f>
        <v/>
      </c>
      <c r="O772" s="50">
        <f>G772*J772</f>
        <v/>
      </c>
      <c r="P772" s="50">
        <f>(J772-M772)*G772</f>
        <v/>
      </c>
      <c r="Q772" s="51">
        <f>IF(K772="Received",1,0)</f>
        <v/>
      </c>
      <c r="R772" s="51">
        <f>IF(Q772=1,F772-D772,0)</f>
        <v/>
      </c>
      <c r="S772" s="51">
        <f>IF(Q772=1,IF(F772&lt;=E772,1,0),0)</f>
        <v/>
      </c>
      <c r="T772" s="51">
        <f>IF(Q772=1,IF(H772&gt;=G772,1,0),0)</f>
        <v/>
      </c>
      <c r="U772" s="51">
        <f>S772*T772</f>
        <v/>
      </c>
      <c r="V772" s="51">
        <f>IF(Q772=1,MAX(0,F772-E772),0)</f>
        <v/>
      </c>
    </row>
    <row r="773">
      <c r="A773" s="43" t="inlineStr">
        <is>
          <t>PO100649</t>
        </is>
      </c>
      <c r="B773" s="43" t="inlineStr">
        <is>
          <t>CMD-0029</t>
        </is>
      </c>
      <c r="C773" s="43" t="inlineStr">
        <is>
          <t>S11</t>
        </is>
      </c>
      <c r="D773" s="47" t="n">
        <v>45845</v>
      </c>
      <c r="E773" s="47" t="n">
        <v>45922</v>
      </c>
      <c r="F773" s="47" t="n">
        <v>45922</v>
      </c>
      <c r="G773" s="46" t="n">
        <v>4397</v>
      </c>
      <c r="H773" s="46" t="n">
        <v>4397</v>
      </c>
      <c r="I773" s="46" t="n">
        <v>10</v>
      </c>
      <c r="J773" s="44" t="n">
        <v>6.87</v>
      </c>
      <c r="K773" s="43" t="inlineStr">
        <is>
          <t>Received</t>
        </is>
      </c>
      <c r="L773" s="17">
        <f>INDEX(Items!$C$2:$C$117,MATCH(B773,Items!$A$2:$A$117,0))</f>
        <v/>
      </c>
      <c r="M773" s="49">
        <f>INDEX(Items!$E$2:$E$117,MATCH(B773,Items!$A$2:$A$117,0))</f>
        <v/>
      </c>
      <c r="N773" s="17">
        <f>TEXT(D773,"yyyy-mm")</f>
        <v/>
      </c>
      <c r="O773" s="50">
        <f>G773*J773</f>
        <v/>
      </c>
      <c r="P773" s="50">
        <f>(J773-M773)*G773</f>
        <v/>
      </c>
      <c r="Q773" s="51">
        <f>IF(K773="Received",1,0)</f>
        <v/>
      </c>
      <c r="R773" s="51">
        <f>IF(Q773=1,F773-D773,0)</f>
        <v/>
      </c>
      <c r="S773" s="51">
        <f>IF(Q773=1,IF(F773&lt;=E773,1,0),0)</f>
        <v/>
      </c>
      <c r="T773" s="51">
        <f>IF(Q773=1,IF(H773&gt;=G773,1,0),0)</f>
        <v/>
      </c>
      <c r="U773" s="51">
        <f>S773*T773</f>
        <v/>
      </c>
      <c r="V773" s="51">
        <f>IF(Q773=1,MAX(0,F773-E773),0)</f>
        <v/>
      </c>
    </row>
    <row r="774">
      <c r="A774" s="43" t="inlineStr">
        <is>
          <t>PO101675</t>
        </is>
      </c>
      <c r="B774" s="43" t="inlineStr">
        <is>
          <t>CMD-0092</t>
        </is>
      </c>
      <c r="C774" s="43" t="inlineStr">
        <is>
          <t>S08</t>
        </is>
      </c>
      <c r="D774" s="47" t="n">
        <v>45845</v>
      </c>
      <c r="E774" s="47" t="n">
        <v>45922</v>
      </c>
      <c r="F774" s="47" t="n">
        <v>45921</v>
      </c>
      <c r="G774" s="46" t="n">
        <v>271</v>
      </c>
      <c r="H774" s="46" t="n">
        <v>271</v>
      </c>
      <c r="I774" s="46" t="n">
        <v>0</v>
      </c>
      <c r="J774" s="44" t="n">
        <v>29.47</v>
      </c>
      <c r="K774" s="43" t="inlineStr">
        <is>
          <t>Received</t>
        </is>
      </c>
      <c r="L774" s="17">
        <f>INDEX(Items!$C$2:$C$117,MATCH(B774,Items!$A$2:$A$117,0))</f>
        <v/>
      </c>
      <c r="M774" s="49">
        <f>INDEX(Items!$E$2:$E$117,MATCH(B774,Items!$A$2:$A$117,0))</f>
        <v/>
      </c>
      <c r="N774" s="17">
        <f>TEXT(D774,"yyyy-mm")</f>
        <v/>
      </c>
      <c r="O774" s="50">
        <f>G774*J774</f>
        <v/>
      </c>
      <c r="P774" s="50">
        <f>(J774-M774)*G774</f>
        <v/>
      </c>
      <c r="Q774" s="51">
        <f>IF(K774="Received",1,0)</f>
        <v/>
      </c>
      <c r="R774" s="51">
        <f>IF(Q774=1,F774-D774,0)</f>
        <v/>
      </c>
      <c r="S774" s="51">
        <f>IF(Q774=1,IF(F774&lt;=E774,1,0),0)</f>
        <v/>
      </c>
      <c r="T774" s="51">
        <f>IF(Q774=1,IF(H774&gt;=G774,1,0),0)</f>
        <v/>
      </c>
      <c r="U774" s="51">
        <f>S774*T774</f>
        <v/>
      </c>
      <c r="V774" s="51">
        <f>IF(Q774=1,MAX(0,F774-E774),0)</f>
        <v/>
      </c>
    </row>
    <row r="775">
      <c r="A775" s="43" t="inlineStr">
        <is>
          <t>PO101237</t>
        </is>
      </c>
      <c r="B775" s="43" t="inlineStr">
        <is>
          <t>CMD-0058</t>
        </is>
      </c>
      <c r="C775" s="43" t="inlineStr">
        <is>
          <t>S04</t>
        </is>
      </c>
      <c r="D775" s="47" t="n">
        <v>45845</v>
      </c>
      <c r="E775" s="47" t="n">
        <v>45880</v>
      </c>
      <c r="F775" s="47" t="n">
        <v>45877</v>
      </c>
      <c r="G775" s="46" t="n">
        <v>63740</v>
      </c>
      <c r="H775" s="46" t="n">
        <v>63740</v>
      </c>
      <c r="I775" s="46" t="n">
        <v>626</v>
      </c>
      <c r="J775" s="44" t="n">
        <v>0.1178</v>
      </c>
      <c r="K775" s="43" t="inlineStr">
        <is>
          <t>Received</t>
        </is>
      </c>
      <c r="L775" s="17">
        <f>INDEX(Items!$C$2:$C$117,MATCH(B775,Items!$A$2:$A$117,0))</f>
        <v/>
      </c>
      <c r="M775" s="49">
        <f>INDEX(Items!$E$2:$E$117,MATCH(B775,Items!$A$2:$A$117,0))</f>
        <v/>
      </c>
      <c r="N775" s="17">
        <f>TEXT(D775,"yyyy-mm")</f>
        <v/>
      </c>
      <c r="O775" s="50">
        <f>G775*J775</f>
        <v/>
      </c>
      <c r="P775" s="50">
        <f>(J775-M775)*G775</f>
        <v/>
      </c>
      <c r="Q775" s="51">
        <f>IF(K775="Received",1,0)</f>
        <v/>
      </c>
      <c r="R775" s="51">
        <f>IF(Q775=1,F775-D775,0)</f>
        <v/>
      </c>
      <c r="S775" s="51">
        <f>IF(Q775=1,IF(F775&lt;=E775,1,0),0)</f>
        <v/>
      </c>
      <c r="T775" s="51">
        <f>IF(Q775=1,IF(H775&gt;=G775,1,0),0)</f>
        <v/>
      </c>
      <c r="U775" s="51">
        <f>S775*T775</f>
        <v/>
      </c>
      <c r="V775" s="51">
        <f>IF(Q775=1,MAX(0,F775-E775),0)</f>
        <v/>
      </c>
    </row>
    <row r="776">
      <c r="A776" s="43" t="inlineStr">
        <is>
          <t>PO101489</t>
        </is>
      </c>
      <c r="B776" s="43" t="inlineStr">
        <is>
          <t>CMD-0079</t>
        </is>
      </c>
      <c r="C776" s="43" t="inlineStr">
        <is>
          <t>S06</t>
        </is>
      </c>
      <c r="D776" s="47" t="n">
        <v>45845</v>
      </c>
      <c r="E776" s="47" t="n">
        <v>45866</v>
      </c>
      <c r="F776" s="47" t="n">
        <v>45863</v>
      </c>
      <c r="G776" s="46" t="n">
        <v>2237</v>
      </c>
      <c r="H776" s="46" t="n">
        <v>2237</v>
      </c>
      <c r="I776" s="46" t="n">
        <v>9</v>
      </c>
      <c r="J776" s="44" t="n">
        <v>3.53</v>
      </c>
      <c r="K776" s="43" t="inlineStr">
        <is>
          <t>Received</t>
        </is>
      </c>
      <c r="L776" s="17">
        <f>INDEX(Items!$C$2:$C$117,MATCH(B776,Items!$A$2:$A$117,0))</f>
        <v/>
      </c>
      <c r="M776" s="49">
        <f>INDEX(Items!$E$2:$E$117,MATCH(B776,Items!$A$2:$A$117,0))</f>
        <v/>
      </c>
      <c r="N776" s="17">
        <f>TEXT(D776,"yyyy-mm")</f>
        <v/>
      </c>
      <c r="O776" s="50">
        <f>G776*J776</f>
        <v/>
      </c>
      <c r="P776" s="50">
        <f>(J776-M776)*G776</f>
        <v/>
      </c>
      <c r="Q776" s="51">
        <f>IF(K776="Received",1,0)</f>
        <v/>
      </c>
      <c r="R776" s="51">
        <f>IF(Q776=1,F776-D776,0)</f>
        <v/>
      </c>
      <c r="S776" s="51">
        <f>IF(Q776=1,IF(F776&lt;=E776,1,0),0)</f>
        <v/>
      </c>
      <c r="T776" s="51">
        <f>IF(Q776=1,IF(H776&gt;=G776,1,0),0)</f>
        <v/>
      </c>
      <c r="U776" s="51">
        <f>S776*T776</f>
        <v/>
      </c>
      <c r="V776" s="51">
        <f>IF(Q776=1,MAX(0,F776-E776),0)</f>
        <v/>
      </c>
    </row>
    <row r="777">
      <c r="A777" s="43" t="inlineStr">
        <is>
          <t>PO101061</t>
        </is>
      </c>
      <c r="B777" s="43" t="inlineStr">
        <is>
          <t>CMD-0048</t>
        </is>
      </c>
      <c r="C777" s="43" t="inlineStr">
        <is>
          <t>S10</t>
        </is>
      </c>
      <c r="D777" s="47" t="n">
        <v>45845</v>
      </c>
      <c r="E777" s="47" t="n">
        <v>45873</v>
      </c>
      <c r="F777" s="47" t="n">
        <v>45872</v>
      </c>
      <c r="G777" s="46" t="n">
        <v>19557</v>
      </c>
      <c r="H777" s="46" t="n">
        <v>19557</v>
      </c>
      <c r="I777" s="46" t="n">
        <v>21</v>
      </c>
      <c r="J777" s="44" t="n">
        <v>0.3231</v>
      </c>
      <c r="K777" s="43" t="inlineStr">
        <is>
          <t>Received</t>
        </is>
      </c>
      <c r="L777" s="17">
        <f>INDEX(Items!$C$2:$C$117,MATCH(B777,Items!$A$2:$A$117,0))</f>
        <v/>
      </c>
      <c r="M777" s="49">
        <f>INDEX(Items!$E$2:$E$117,MATCH(B777,Items!$A$2:$A$117,0))</f>
        <v/>
      </c>
      <c r="N777" s="17">
        <f>TEXT(D777,"yyyy-mm")</f>
        <v/>
      </c>
      <c r="O777" s="50">
        <f>G777*J777</f>
        <v/>
      </c>
      <c r="P777" s="50">
        <f>(J777-M777)*G777</f>
        <v/>
      </c>
      <c r="Q777" s="51">
        <f>IF(K777="Received",1,0)</f>
        <v/>
      </c>
      <c r="R777" s="51">
        <f>IF(Q777=1,F777-D777,0)</f>
        <v/>
      </c>
      <c r="S777" s="51">
        <f>IF(Q777=1,IF(F777&lt;=E777,1,0),0)</f>
        <v/>
      </c>
      <c r="T777" s="51">
        <f>IF(Q777=1,IF(H777&gt;=G777,1,0),0)</f>
        <v/>
      </c>
      <c r="U777" s="51">
        <f>S777*T777</f>
        <v/>
      </c>
      <c r="V777" s="51">
        <f>IF(Q777=1,MAX(0,F777-E777),0)</f>
        <v/>
      </c>
    </row>
    <row r="778">
      <c r="A778" s="43" t="inlineStr">
        <is>
          <t>PO101129</t>
        </is>
      </c>
      <c r="B778" s="43" t="inlineStr">
        <is>
          <t>CMD-0052</t>
        </is>
      </c>
      <c r="C778" s="43" t="inlineStr">
        <is>
          <t>S01</t>
        </is>
      </c>
      <c r="D778" s="47" t="n">
        <v>45845</v>
      </c>
      <c r="E778" s="47" t="n">
        <v>45866</v>
      </c>
      <c r="F778" s="47" t="n">
        <v>45864</v>
      </c>
      <c r="G778" s="46" t="n">
        <v>143071</v>
      </c>
      <c r="H778" s="46" t="n">
        <v>143071</v>
      </c>
      <c r="I778" s="46" t="n">
        <v>288</v>
      </c>
      <c r="J778" s="44" t="n">
        <v>0.2016</v>
      </c>
      <c r="K778" s="43" t="inlineStr">
        <is>
          <t>Received</t>
        </is>
      </c>
      <c r="L778" s="17">
        <f>INDEX(Items!$C$2:$C$117,MATCH(B778,Items!$A$2:$A$117,0))</f>
        <v/>
      </c>
      <c r="M778" s="49">
        <f>INDEX(Items!$E$2:$E$117,MATCH(B778,Items!$A$2:$A$117,0))</f>
        <v/>
      </c>
      <c r="N778" s="17">
        <f>TEXT(D778,"yyyy-mm")</f>
        <v/>
      </c>
      <c r="O778" s="50">
        <f>G778*J778</f>
        <v/>
      </c>
      <c r="P778" s="50">
        <f>(J778-M778)*G778</f>
        <v/>
      </c>
      <c r="Q778" s="51">
        <f>IF(K778="Received",1,0)</f>
        <v/>
      </c>
      <c r="R778" s="51">
        <f>IF(Q778=1,F778-D778,0)</f>
        <v/>
      </c>
      <c r="S778" s="51">
        <f>IF(Q778=1,IF(F778&lt;=E778,1,0),0)</f>
        <v/>
      </c>
      <c r="T778" s="51">
        <f>IF(Q778=1,IF(H778&gt;=G778,1,0),0)</f>
        <v/>
      </c>
      <c r="U778" s="51">
        <f>S778*T778</f>
        <v/>
      </c>
      <c r="V778" s="51">
        <f>IF(Q778=1,MAX(0,F778-E778),0)</f>
        <v/>
      </c>
    </row>
    <row r="779">
      <c r="A779" s="43" t="inlineStr">
        <is>
          <t>PO100057</t>
        </is>
      </c>
      <c r="B779" s="43" t="inlineStr">
        <is>
          <t>CMD-0003</t>
        </is>
      </c>
      <c r="C779" s="43" t="inlineStr">
        <is>
          <t>S11</t>
        </is>
      </c>
      <c r="D779" s="47" t="n">
        <v>45845</v>
      </c>
      <c r="E779" s="47" t="n">
        <v>45964</v>
      </c>
      <c r="F779" s="47" t="n">
        <v>45964</v>
      </c>
      <c r="G779" s="46" t="n">
        <v>9472</v>
      </c>
      <c r="H779" s="46" t="n">
        <v>9472</v>
      </c>
      <c r="I779" s="46" t="n">
        <v>21</v>
      </c>
      <c r="J779" s="44" t="n">
        <v>25.3582</v>
      </c>
      <c r="K779" s="43" t="inlineStr">
        <is>
          <t>Received</t>
        </is>
      </c>
      <c r="L779" s="17">
        <f>INDEX(Items!$C$2:$C$117,MATCH(B779,Items!$A$2:$A$117,0))</f>
        <v/>
      </c>
      <c r="M779" s="49">
        <f>INDEX(Items!$E$2:$E$117,MATCH(B779,Items!$A$2:$A$117,0))</f>
        <v/>
      </c>
      <c r="N779" s="17">
        <f>TEXT(D779,"yyyy-mm")</f>
        <v/>
      </c>
      <c r="O779" s="50">
        <f>G779*J779</f>
        <v/>
      </c>
      <c r="P779" s="50">
        <f>(J779-M779)*G779</f>
        <v/>
      </c>
      <c r="Q779" s="51">
        <f>IF(K779="Received",1,0)</f>
        <v/>
      </c>
      <c r="R779" s="51">
        <f>IF(Q779=1,F779-D779,0)</f>
        <v/>
      </c>
      <c r="S779" s="51">
        <f>IF(Q779=1,IF(F779&lt;=E779,1,0),0)</f>
        <v/>
      </c>
      <c r="T779" s="51">
        <f>IF(Q779=1,IF(H779&gt;=G779,1,0),0)</f>
        <v/>
      </c>
      <c r="U779" s="51">
        <f>S779*T779</f>
        <v/>
      </c>
      <c r="V779" s="51">
        <f>IF(Q779=1,MAX(0,F779-E779),0)</f>
        <v/>
      </c>
    </row>
    <row r="780">
      <c r="A780" s="43" t="inlineStr">
        <is>
          <t>PO100673</t>
        </is>
      </c>
      <c r="B780" s="43" t="inlineStr">
        <is>
          <t>CMD-0030</t>
        </is>
      </c>
      <c r="C780" s="43" t="inlineStr">
        <is>
          <t>S11</t>
        </is>
      </c>
      <c r="D780" s="47" t="n">
        <v>45845</v>
      </c>
      <c r="E780" s="47" t="n">
        <v>45922</v>
      </c>
      <c r="F780" s="47" t="n">
        <v>45920</v>
      </c>
      <c r="G780" s="46" t="n">
        <v>6103</v>
      </c>
      <c r="H780" s="46" t="n">
        <v>6103</v>
      </c>
      <c r="I780" s="46" t="n">
        <v>13</v>
      </c>
      <c r="J780" s="44" t="n">
        <v>23.19</v>
      </c>
      <c r="K780" s="43" t="inlineStr">
        <is>
          <t>Received</t>
        </is>
      </c>
      <c r="L780" s="17">
        <f>INDEX(Items!$C$2:$C$117,MATCH(B780,Items!$A$2:$A$117,0))</f>
        <v/>
      </c>
      <c r="M780" s="49">
        <f>INDEX(Items!$E$2:$E$117,MATCH(B780,Items!$A$2:$A$117,0))</f>
        <v/>
      </c>
      <c r="N780" s="17">
        <f>TEXT(D780,"yyyy-mm")</f>
        <v/>
      </c>
      <c r="O780" s="50">
        <f>G780*J780</f>
        <v/>
      </c>
      <c r="P780" s="50">
        <f>(J780-M780)*G780</f>
        <v/>
      </c>
      <c r="Q780" s="51">
        <f>IF(K780="Received",1,0)</f>
        <v/>
      </c>
      <c r="R780" s="51">
        <f>IF(Q780=1,F780-D780,0)</f>
        <v/>
      </c>
      <c r="S780" s="51">
        <f>IF(Q780=1,IF(F780&lt;=E780,1,0),0)</f>
        <v/>
      </c>
      <c r="T780" s="51">
        <f>IF(Q780=1,IF(H780&gt;=G780,1,0),0)</f>
        <v/>
      </c>
      <c r="U780" s="51">
        <f>S780*T780</f>
        <v/>
      </c>
      <c r="V780" s="51">
        <f>IF(Q780=1,MAX(0,F780-E780),0)</f>
        <v/>
      </c>
    </row>
    <row r="781">
      <c r="A781" s="43" t="inlineStr">
        <is>
          <t>PO101877</t>
        </is>
      </c>
      <c r="B781" s="43" t="inlineStr">
        <is>
          <t>CMD-0102</t>
        </is>
      </c>
      <c r="C781" s="43" t="inlineStr">
        <is>
          <t>S09</t>
        </is>
      </c>
      <c r="D781" s="47" t="n">
        <v>45846</v>
      </c>
      <c r="E781" s="47" t="n">
        <v>45867</v>
      </c>
      <c r="F781" s="47" t="n">
        <v>45865</v>
      </c>
      <c r="G781" s="46" t="n">
        <v>2435</v>
      </c>
      <c r="H781" s="46" t="n">
        <v>2435</v>
      </c>
      <c r="I781" s="46" t="n">
        <v>6</v>
      </c>
      <c r="J781" s="44" t="n">
        <v>6.71</v>
      </c>
      <c r="K781" s="43" t="inlineStr">
        <is>
          <t>Received</t>
        </is>
      </c>
      <c r="L781" s="17">
        <f>INDEX(Items!$C$2:$C$117,MATCH(B781,Items!$A$2:$A$117,0))</f>
        <v/>
      </c>
      <c r="M781" s="49">
        <f>INDEX(Items!$E$2:$E$117,MATCH(B781,Items!$A$2:$A$117,0))</f>
        <v/>
      </c>
      <c r="N781" s="17">
        <f>TEXT(D781,"yyyy-mm")</f>
        <v/>
      </c>
      <c r="O781" s="50">
        <f>G781*J781</f>
        <v/>
      </c>
      <c r="P781" s="50">
        <f>(J781-M781)*G781</f>
        <v/>
      </c>
      <c r="Q781" s="51">
        <f>IF(K781="Received",1,0)</f>
        <v/>
      </c>
      <c r="R781" s="51">
        <f>IF(Q781=1,F781-D781,0)</f>
        <v/>
      </c>
      <c r="S781" s="51">
        <f>IF(Q781=1,IF(F781&lt;=E781,1,0),0)</f>
        <v/>
      </c>
      <c r="T781" s="51">
        <f>IF(Q781=1,IF(H781&gt;=G781,1,0),0)</f>
        <v/>
      </c>
      <c r="U781" s="51">
        <f>S781*T781</f>
        <v/>
      </c>
      <c r="V781" s="51">
        <f>IF(Q781=1,MAX(0,F781-E781),0)</f>
        <v/>
      </c>
    </row>
    <row r="782">
      <c r="A782" s="43" t="inlineStr">
        <is>
          <t>PO100875</t>
        </is>
      </c>
      <c r="B782" s="43" t="inlineStr">
        <is>
          <t>CMD-0039</t>
        </is>
      </c>
      <c r="C782" s="43" t="inlineStr">
        <is>
          <t>S07</t>
        </is>
      </c>
      <c r="D782" s="47" t="n">
        <v>45846</v>
      </c>
      <c r="E782" s="47" t="n">
        <v>45888</v>
      </c>
      <c r="F782" s="47" t="n">
        <v>45887</v>
      </c>
      <c r="G782" s="46" t="n">
        <v>354</v>
      </c>
      <c r="H782" s="46" t="n">
        <v>354</v>
      </c>
      <c r="I782" s="46" t="n">
        <v>3</v>
      </c>
      <c r="J782" s="44" t="n">
        <v>51.99</v>
      </c>
      <c r="K782" s="43" t="inlineStr">
        <is>
          <t>Received</t>
        </is>
      </c>
      <c r="L782" s="17">
        <f>INDEX(Items!$C$2:$C$117,MATCH(B782,Items!$A$2:$A$117,0))</f>
        <v/>
      </c>
      <c r="M782" s="49">
        <f>INDEX(Items!$E$2:$E$117,MATCH(B782,Items!$A$2:$A$117,0))</f>
        <v/>
      </c>
      <c r="N782" s="17">
        <f>TEXT(D782,"yyyy-mm")</f>
        <v/>
      </c>
      <c r="O782" s="50">
        <f>G782*J782</f>
        <v/>
      </c>
      <c r="P782" s="50">
        <f>(J782-M782)*G782</f>
        <v/>
      </c>
      <c r="Q782" s="51">
        <f>IF(K782="Received",1,0)</f>
        <v/>
      </c>
      <c r="R782" s="51">
        <f>IF(Q782=1,F782-D782,0)</f>
        <v/>
      </c>
      <c r="S782" s="51">
        <f>IF(Q782=1,IF(F782&lt;=E782,1,0),0)</f>
        <v/>
      </c>
      <c r="T782" s="51">
        <f>IF(Q782=1,IF(H782&gt;=G782,1,0),0)</f>
        <v/>
      </c>
      <c r="U782" s="51">
        <f>S782*T782</f>
        <v/>
      </c>
      <c r="V782" s="51">
        <f>IF(Q782=1,MAX(0,F782-E782),0)</f>
        <v/>
      </c>
    </row>
    <row r="783">
      <c r="A783" s="43" t="inlineStr">
        <is>
          <t>PO100373</t>
        </is>
      </c>
      <c r="B783" s="43" t="inlineStr">
        <is>
          <t>CMD-0017</t>
        </is>
      </c>
      <c r="C783" s="43" t="inlineStr">
        <is>
          <t>S11</t>
        </is>
      </c>
      <c r="D783" s="47" t="n">
        <v>45846</v>
      </c>
      <c r="E783" s="47" t="n">
        <v>45923</v>
      </c>
      <c r="F783" s="47" t="n">
        <v>45922</v>
      </c>
      <c r="G783" s="46" t="n">
        <v>6736</v>
      </c>
      <c r="H783" s="46" t="n">
        <v>6736</v>
      </c>
      <c r="I783" s="46" t="n">
        <v>15</v>
      </c>
      <c r="J783" s="44" t="n">
        <v>12.69</v>
      </c>
      <c r="K783" s="43" t="inlineStr">
        <is>
          <t>Received</t>
        </is>
      </c>
      <c r="L783" s="17">
        <f>INDEX(Items!$C$2:$C$117,MATCH(B783,Items!$A$2:$A$117,0))</f>
        <v/>
      </c>
      <c r="M783" s="49">
        <f>INDEX(Items!$E$2:$E$117,MATCH(B783,Items!$A$2:$A$117,0))</f>
        <v/>
      </c>
      <c r="N783" s="17">
        <f>TEXT(D783,"yyyy-mm")</f>
        <v/>
      </c>
      <c r="O783" s="50">
        <f>G783*J783</f>
        <v/>
      </c>
      <c r="P783" s="50">
        <f>(J783-M783)*G783</f>
        <v/>
      </c>
      <c r="Q783" s="51">
        <f>IF(K783="Received",1,0)</f>
        <v/>
      </c>
      <c r="R783" s="51">
        <f>IF(Q783=1,F783-D783,0)</f>
        <v/>
      </c>
      <c r="S783" s="51">
        <f>IF(Q783=1,IF(F783&lt;=E783,1,0),0)</f>
        <v/>
      </c>
      <c r="T783" s="51">
        <f>IF(Q783=1,IF(H783&gt;=G783,1,0),0)</f>
        <v/>
      </c>
      <c r="U783" s="51">
        <f>S783*T783</f>
        <v/>
      </c>
      <c r="V783" s="51">
        <f>IF(Q783=1,MAX(0,F783-E783),0)</f>
        <v/>
      </c>
    </row>
    <row r="784">
      <c r="A784" s="43" t="inlineStr">
        <is>
          <t>PO101969</t>
        </is>
      </c>
      <c r="B784" s="43" t="inlineStr">
        <is>
          <t>CMD-0109</t>
        </is>
      </c>
      <c r="C784" s="43" t="inlineStr">
        <is>
          <t>S12</t>
        </is>
      </c>
      <c r="D784" s="47" t="n">
        <v>45846</v>
      </c>
      <c r="E784" s="47" t="n">
        <v>45853</v>
      </c>
      <c r="F784" s="47" t="n">
        <v>45851</v>
      </c>
      <c r="G784" s="46" t="n">
        <v>7632</v>
      </c>
      <c r="H784" s="46" t="n">
        <v>7632</v>
      </c>
      <c r="I784" s="46" t="n">
        <v>9</v>
      </c>
      <c r="J784" s="44" t="n">
        <v>1.7</v>
      </c>
      <c r="K784" s="43" t="inlineStr">
        <is>
          <t>Received</t>
        </is>
      </c>
      <c r="L784" s="17">
        <f>INDEX(Items!$C$2:$C$117,MATCH(B784,Items!$A$2:$A$117,0))</f>
        <v/>
      </c>
      <c r="M784" s="49">
        <f>INDEX(Items!$E$2:$E$117,MATCH(B784,Items!$A$2:$A$117,0))</f>
        <v/>
      </c>
      <c r="N784" s="17">
        <f>TEXT(D784,"yyyy-mm")</f>
        <v/>
      </c>
      <c r="O784" s="50">
        <f>G784*J784</f>
        <v/>
      </c>
      <c r="P784" s="50">
        <f>(J784-M784)*G784</f>
        <v/>
      </c>
      <c r="Q784" s="51">
        <f>IF(K784="Received",1,0)</f>
        <v/>
      </c>
      <c r="R784" s="51">
        <f>IF(Q784=1,F784-D784,0)</f>
        <v/>
      </c>
      <c r="S784" s="51">
        <f>IF(Q784=1,IF(F784&lt;=E784,1,0),0)</f>
        <v/>
      </c>
      <c r="T784" s="51">
        <f>IF(Q784=1,IF(H784&gt;=G784,1,0),0)</f>
        <v/>
      </c>
      <c r="U784" s="51">
        <f>S784*T784</f>
        <v/>
      </c>
      <c r="V784" s="51">
        <f>IF(Q784=1,MAX(0,F784-E784),0)</f>
        <v/>
      </c>
    </row>
    <row r="785">
      <c r="A785" s="43" t="inlineStr">
        <is>
          <t>PO100803</t>
        </is>
      </c>
      <c r="B785" s="43" t="inlineStr">
        <is>
          <t>CMD-0036</t>
        </is>
      </c>
      <c r="C785" s="43" t="inlineStr">
        <is>
          <t>S04</t>
        </is>
      </c>
      <c r="D785" s="47" t="n">
        <v>45846</v>
      </c>
      <c r="E785" s="47" t="n">
        <v>45888</v>
      </c>
      <c r="F785" s="47" t="n">
        <v>45887</v>
      </c>
      <c r="G785" s="46" t="n">
        <v>564</v>
      </c>
      <c r="H785" s="46" t="n">
        <v>564</v>
      </c>
      <c r="I785" s="46" t="n">
        <v>6</v>
      </c>
      <c r="J785" s="44" t="n">
        <v>12.36</v>
      </c>
      <c r="K785" s="43" t="inlineStr">
        <is>
          <t>Received</t>
        </is>
      </c>
      <c r="L785" s="17">
        <f>INDEX(Items!$C$2:$C$117,MATCH(B785,Items!$A$2:$A$117,0))</f>
        <v/>
      </c>
      <c r="M785" s="49">
        <f>INDEX(Items!$E$2:$E$117,MATCH(B785,Items!$A$2:$A$117,0))</f>
        <v/>
      </c>
      <c r="N785" s="17">
        <f>TEXT(D785,"yyyy-mm")</f>
        <v/>
      </c>
      <c r="O785" s="50">
        <f>G785*J785</f>
        <v/>
      </c>
      <c r="P785" s="50">
        <f>(J785-M785)*G785</f>
        <v/>
      </c>
      <c r="Q785" s="51">
        <f>IF(K785="Received",1,0)</f>
        <v/>
      </c>
      <c r="R785" s="51">
        <f>IF(Q785=1,F785-D785,0)</f>
        <v/>
      </c>
      <c r="S785" s="51">
        <f>IF(Q785=1,IF(F785&lt;=E785,1,0),0)</f>
        <v/>
      </c>
      <c r="T785" s="51">
        <f>IF(Q785=1,IF(H785&gt;=G785,1,0),0)</f>
        <v/>
      </c>
      <c r="U785" s="51">
        <f>S785*T785</f>
        <v/>
      </c>
      <c r="V785" s="51">
        <f>IF(Q785=1,MAX(0,F785-E785),0)</f>
        <v/>
      </c>
    </row>
    <row r="786">
      <c r="A786" s="43" t="inlineStr">
        <is>
          <t>PO101723</t>
        </is>
      </c>
      <c r="B786" s="43" t="inlineStr">
        <is>
          <t>CMD-0094</t>
        </is>
      </c>
      <c r="C786" s="43" t="inlineStr">
        <is>
          <t>S08</t>
        </is>
      </c>
      <c r="D786" s="47" t="n">
        <v>45846</v>
      </c>
      <c r="E786" s="47" t="n">
        <v>45923</v>
      </c>
      <c r="F786" s="47" t="n">
        <v>45923</v>
      </c>
      <c r="G786" s="46" t="n">
        <v>440</v>
      </c>
      <c r="H786" s="46" t="n">
        <v>440</v>
      </c>
      <c r="I786" s="46" t="n">
        <v>5</v>
      </c>
      <c r="J786" s="44" t="n">
        <v>74.09</v>
      </c>
      <c r="K786" s="43" t="inlineStr">
        <is>
          <t>Received</t>
        </is>
      </c>
      <c r="L786" s="17">
        <f>INDEX(Items!$C$2:$C$117,MATCH(B786,Items!$A$2:$A$117,0))</f>
        <v/>
      </c>
      <c r="M786" s="49">
        <f>INDEX(Items!$E$2:$E$117,MATCH(B786,Items!$A$2:$A$117,0))</f>
        <v/>
      </c>
      <c r="N786" s="17">
        <f>TEXT(D786,"yyyy-mm")</f>
        <v/>
      </c>
      <c r="O786" s="50">
        <f>G786*J786</f>
        <v/>
      </c>
      <c r="P786" s="50">
        <f>(J786-M786)*G786</f>
        <v/>
      </c>
      <c r="Q786" s="51">
        <f>IF(K786="Received",1,0)</f>
        <v/>
      </c>
      <c r="R786" s="51">
        <f>IF(Q786=1,F786-D786,0)</f>
        <v/>
      </c>
      <c r="S786" s="51">
        <f>IF(Q786=1,IF(F786&lt;=E786,1,0),0)</f>
        <v/>
      </c>
      <c r="T786" s="51">
        <f>IF(Q786=1,IF(H786&gt;=G786,1,0),0)</f>
        <v/>
      </c>
      <c r="U786" s="51">
        <f>S786*T786</f>
        <v/>
      </c>
      <c r="V786" s="51">
        <f>IF(Q786=1,MAX(0,F786-E786),0)</f>
        <v/>
      </c>
    </row>
    <row r="787">
      <c r="A787" s="43" t="inlineStr">
        <is>
          <t>PO101285</t>
        </is>
      </c>
      <c r="B787" s="43" t="inlineStr">
        <is>
          <t>CMD-0062</t>
        </is>
      </c>
      <c r="C787" s="43" t="inlineStr">
        <is>
          <t>S01</t>
        </is>
      </c>
      <c r="D787" s="47" t="n">
        <v>45846</v>
      </c>
      <c r="E787" s="47" t="n">
        <v>45867</v>
      </c>
      <c r="F787" s="47" t="n">
        <v>45865</v>
      </c>
      <c r="G787" s="46" t="n">
        <v>86329</v>
      </c>
      <c r="H787" s="46" t="n">
        <v>86329</v>
      </c>
      <c r="I787" s="46" t="n">
        <v>177</v>
      </c>
      <c r="J787" s="44" t="n">
        <v>0.1139</v>
      </c>
      <c r="K787" s="43" t="inlineStr">
        <is>
          <t>Received</t>
        </is>
      </c>
      <c r="L787" s="17">
        <f>INDEX(Items!$C$2:$C$117,MATCH(B787,Items!$A$2:$A$117,0))</f>
        <v/>
      </c>
      <c r="M787" s="49">
        <f>INDEX(Items!$E$2:$E$117,MATCH(B787,Items!$A$2:$A$117,0))</f>
        <v/>
      </c>
      <c r="N787" s="17">
        <f>TEXT(D787,"yyyy-mm")</f>
        <v/>
      </c>
      <c r="O787" s="50">
        <f>G787*J787</f>
        <v/>
      </c>
      <c r="P787" s="50">
        <f>(J787-M787)*G787</f>
        <v/>
      </c>
      <c r="Q787" s="51">
        <f>IF(K787="Received",1,0)</f>
        <v/>
      </c>
      <c r="R787" s="51">
        <f>IF(Q787=1,F787-D787,0)</f>
        <v/>
      </c>
      <c r="S787" s="51">
        <f>IF(Q787=1,IF(F787&lt;=E787,1,0),0)</f>
        <v/>
      </c>
      <c r="T787" s="51">
        <f>IF(Q787=1,IF(H787&gt;=G787,1,0),0)</f>
        <v/>
      </c>
      <c r="U787" s="51">
        <f>S787*T787</f>
        <v/>
      </c>
      <c r="V787" s="51">
        <f>IF(Q787=1,MAX(0,F787-E787),0)</f>
        <v/>
      </c>
    </row>
    <row r="788">
      <c r="A788" s="43" t="inlineStr">
        <is>
          <t>PO101829</t>
        </is>
      </c>
      <c r="B788" s="43" t="inlineStr">
        <is>
          <t>CMD-0100</t>
        </is>
      </c>
      <c r="C788" s="43" t="inlineStr">
        <is>
          <t>S09</t>
        </is>
      </c>
      <c r="D788" s="47" t="n">
        <v>45846</v>
      </c>
      <c r="E788" s="47" t="n">
        <v>45867</v>
      </c>
      <c r="F788" s="47" t="n">
        <v>45865</v>
      </c>
      <c r="G788" s="46" t="n">
        <v>7514</v>
      </c>
      <c r="H788" s="46" t="n">
        <v>7514</v>
      </c>
      <c r="I788" s="46" t="n">
        <v>21</v>
      </c>
      <c r="J788" s="44" t="n">
        <v>4.94</v>
      </c>
      <c r="K788" s="43" t="inlineStr">
        <is>
          <t>Received</t>
        </is>
      </c>
      <c r="L788" s="17">
        <f>INDEX(Items!$C$2:$C$117,MATCH(B788,Items!$A$2:$A$117,0))</f>
        <v/>
      </c>
      <c r="M788" s="49">
        <f>INDEX(Items!$E$2:$E$117,MATCH(B788,Items!$A$2:$A$117,0))</f>
        <v/>
      </c>
      <c r="N788" s="17">
        <f>TEXT(D788,"yyyy-mm")</f>
        <v/>
      </c>
      <c r="O788" s="50">
        <f>G788*J788</f>
        <v/>
      </c>
      <c r="P788" s="50">
        <f>(J788-M788)*G788</f>
        <v/>
      </c>
      <c r="Q788" s="51">
        <f>IF(K788="Received",1,0)</f>
        <v/>
      </c>
      <c r="R788" s="51">
        <f>IF(Q788=1,F788-D788,0)</f>
        <v/>
      </c>
      <c r="S788" s="51">
        <f>IF(Q788=1,IF(F788&lt;=E788,1,0),0)</f>
        <v/>
      </c>
      <c r="T788" s="51">
        <f>IF(Q788=1,IF(H788&gt;=G788,1,0),0)</f>
        <v/>
      </c>
      <c r="U788" s="51">
        <f>S788*T788</f>
        <v/>
      </c>
      <c r="V788" s="51">
        <f>IF(Q788=1,MAX(0,F788-E788),0)</f>
        <v/>
      </c>
    </row>
    <row r="789">
      <c r="A789" s="43" t="inlineStr">
        <is>
          <t>PO100249</t>
        </is>
      </c>
      <c r="B789" s="43" t="inlineStr">
        <is>
          <t>CMD-0011</t>
        </is>
      </c>
      <c r="C789" s="43" t="inlineStr">
        <is>
          <t>S07</t>
        </is>
      </c>
      <c r="D789" s="47" t="n">
        <v>45847</v>
      </c>
      <c r="E789" s="47" t="n">
        <v>45938</v>
      </c>
      <c r="F789" s="47" t="n">
        <v>45945</v>
      </c>
      <c r="G789" s="46" t="n">
        <v>3317</v>
      </c>
      <c r="H789" s="46" t="n">
        <v>3317</v>
      </c>
      <c r="I789" s="46" t="n">
        <v>20</v>
      </c>
      <c r="J789" s="44" t="n">
        <v>9.5344</v>
      </c>
      <c r="K789" s="43" t="inlineStr">
        <is>
          <t>Received</t>
        </is>
      </c>
      <c r="L789" s="17">
        <f>INDEX(Items!$C$2:$C$117,MATCH(B789,Items!$A$2:$A$117,0))</f>
        <v/>
      </c>
      <c r="M789" s="49">
        <f>INDEX(Items!$E$2:$E$117,MATCH(B789,Items!$A$2:$A$117,0))</f>
        <v/>
      </c>
      <c r="N789" s="17">
        <f>TEXT(D789,"yyyy-mm")</f>
        <v/>
      </c>
      <c r="O789" s="50">
        <f>G789*J789</f>
        <v/>
      </c>
      <c r="P789" s="50">
        <f>(J789-M789)*G789</f>
        <v/>
      </c>
      <c r="Q789" s="51">
        <f>IF(K789="Received",1,0)</f>
        <v/>
      </c>
      <c r="R789" s="51">
        <f>IF(Q789=1,F789-D789,0)</f>
        <v/>
      </c>
      <c r="S789" s="51">
        <f>IF(Q789=1,IF(F789&lt;=E789,1,0),0)</f>
        <v/>
      </c>
      <c r="T789" s="51">
        <f>IF(Q789=1,IF(H789&gt;=G789,1,0),0)</f>
        <v/>
      </c>
      <c r="U789" s="51">
        <f>S789*T789</f>
        <v/>
      </c>
      <c r="V789" s="51">
        <f>IF(Q789=1,MAX(0,F789-E789),0)</f>
        <v/>
      </c>
    </row>
    <row r="790">
      <c r="A790" s="43" t="inlineStr">
        <is>
          <t>PO100625</t>
        </is>
      </c>
      <c r="B790" s="43" t="inlineStr">
        <is>
          <t>CMD-0028</t>
        </is>
      </c>
      <c r="C790" s="43" t="inlineStr">
        <is>
          <t>S11</t>
        </is>
      </c>
      <c r="D790" s="47" t="n">
        <v>45847</v>
      </c>
      <c r="E790" s="47" t="n">
        <v>45924</v>
      </c>
      <c r="F790" s="47" t="n">
        <v>45921</v>
      </c>
      <c r="G790" s="46" t="n">
        <v>3762</v>
      </c>
      <c r="H790" s="46" t="n">
        <v>3762</v>
      </c>
      <c r="I790" s="46" t="n">
        <v>7</v>
      </c>
      <c r="J790" s="44" t="n">
        <v>15.84</v>
      </c>
      <c r="K790" s="43" t="inlineStr">
        <is>
          <t>Received</t>
        </is>
      </c>
      <c r="L790" s="17">
        <f>INDEX(Items!$C$2:$C$117,MATCH(B790,Items!$A$2:$A$117,0))</f>
        <v/>
      </c>
      <c r="M790" s="49">
        <f>INDEX(Items!$E$2:$E$117,MATCH(B790,Items!$A$2:$A$117,0))</f>
        <v/>
      </c>
      <c r="N790" s="17">
        <f>TEXT(D790,"yyyy-mm")</f>
        <v/>
      </c>
      <c r="O790" s="50">
        <f>G790*J790</f>
        <v/>
      </c>
      <c r="P790" s="50">
        <f>(J790-M790)*G790</f>
        <v/>
      </c>
      <c r="Q790" s="51">
        <f>IF(K790="Received",1,0)</f>
        <v/>
      </c>
      <c r="R790" s="51">
        <f>IF(Q790=1,F790-D790,0)</f>
        <v/>
      </c>
      <c r="S790" s="51">
        <f>IF(Q790=1,IF(F790&lt;=E790,1,0),0)</f>
        <v/>
      </c>
      <c r="T790" s="51">
        <f>IF(Q790=1,IF(H790&gt;=G790,1,0),0)</f>
        <v/>
      </c>
      <c r="U790" s="51">
        <f>S790*T790</f>
        <v/>
      </c>
      <c r="V790" s="51">
        <f>IF(Q790=1,MAX(0,F790-E790),0)</f>
        <v/>
      </c>
    </row>
    <row r="791">
      <c r="A791" s="43" t="inlineStr">
        <is>
          <t>PO100397</t>
        </is>
      </c>
      <c r="B791" s="43" t="inlineStr">
        <is>
          <t>CMD-0018</t>
        </is>
      </c>
      <c r="C791" s="43" t="inlineStr">
        <is>
          <t>S02</t>
        </is>
      </c>
      <c r="D791" s="47" t="n">
        <v>45847</v>
      </c>
      <c r="E791" s="47" t="n">
        <v>45903</v>
      </c>
      <c r="F791" s="47" t="n">
        <v>45900</v>
      </c>
      <c r="G791" s="46" t="n">
        <v>6767</v>
      </c>
      <c r="H791" s="46" t="n">
        <v>6767</v>
      </c>
      <c r="I791" s="46" t="n">
        <v>27</v>
      </c>
      <c r="J791" s="44" t="n">
        <v>37.92</v>
      </c>
      <c r="K791" s="43" t="inlineStr">
        <is>
          <t>Received</t>
        </is>
      </c>
      <c r="L791" s="17">
        <f>INDEX(Items!$C$2:$C$117,MATCH(B791,Items!$A$2:$A$117,0))</f>
        <v/>
      </c>
      <c r="M791" s="49">
        <f>INDEX(Items!$E$2:$E$117,MATCH(B791,Items!$A$2:$A$117,0))</f>
        <v/>
      </c>
      <c r="N791" s="17">
        <f>TEXT(D791,"yyyy-mm")</f>
        <v/>
      </c>
      <c r="O791" s="50">
        <f>G791*J791</f>
        <v/>
      </c>
      <c r="P791" s="50">
        <f>(J791-M791)*G791</f>
        <v/>
      </c>
      <c r="Q791" s="51">
        <f>IF(K791="Received",1,0)</f>
        <v/>
      </c>
      <c r="R791" s="51">
        <f>IF(Q791=1,F791-D791,0)</f>
        <v/>
      </c>
      <c r="S791" s="51">
        <f>IF(Q791=1,IF(F791&lt;=E791,1,0),0)</f>
        <v/>
      </c>
      <c r="T791" s="51">
        <f>IF(Q791=1,IF(H791&gt;=G791,1,0),0)</f>
        <v/>
      </c>
      <c r="U791" s="51">
        <f>S791*T791</f>
        <v/>
      </c>
      <c r="V791" s="51">
        <f>IF(Q791=1,MAX(0,F791-E791),0)</f>
        <v/>
      </c>
    </row>
    <row r="792">
      <c r="A792" s="43" t="inlineStr">
        <is>
          <t>PO101111</t>
        </is>
      </c>
      <c r="B792" s="43" t="inlineStr">
        <is>
          <t>CMD-0051</t>
        </is>
      </c>
      <c r="C792" s="43" t="inlineStr">
        <is>
          <t>S01</t>
        </is>
      </c>
      <c r="D792" s="47" t="n">
        <v>45847</v>
      </c>
      <c r="E792" s="47" t="n">
        <v>45868</v>
      </c>
      <c r="F792" s="47" t="n">
        <v>45866</v>
      </c>
      <c r="G792" s="46" t="n">
        <v>226424</v>
      </c>
      <c r="H792" s="46" t="n">
        <v>194083</v>
      </c>
      <c r="I792" s="46" t="n">
        <v>393</v>
      </c>
      <c r="J792" s="44" t="n">
        <v>0.0236</v>
      </c>
      <c r="K792" s="43" t="inlineStr">
        <is>
          <t>Received</t>
        </is>
      </c>
      <c r="L792" s="17">
        <f>INDEX(Items!$C$2:$C$117,MATCH(B792,Items!$A$2:$A$117,0))</f>
        <v/>
      </c>
      <c r="M792" s="49">
        <f>INDEX(Items!$E$2:$E$117,MATCH(B792,Items!$A$2:$A$117,0))</f>
        <v/>
      </c>
      <c r="N792" s="17">
        <f>TEXT(D792,"yyyy-mm")</f>
        <v/>
      </c>
      <c r="O792" s="50">
        <f>G792*J792</f>
        <v/>
      </c>
      <c r="P792" s="50">
        <f>(J792-M792)*G792</f>
        <v/>
      </c>
      <c r="Q792" s="51">
        <f>IF(K792="Received",1,0)</f>
        <v/>
      </c>
      <c r="R792" s="51">
        <f>IF(Q792=1,F792-D792,0)</f>
        <v/>
      </c>
      <c r="S792" s="51">
        <f>IF(Q792=1,IF(F792&lt;=E792,1,0),0)</f>
        <v/>
      </c>
      <c r="T792" s="51">
        <f>IF(Q792=1,IF(H792&gt;=G792,1,0),0)</f>
        <v/>
      </c>
      <c r="U792" s="51">
        <f>S792*T792</f>
        <v/>
      </c>
      <c r="V792" s="51">
        <f>IF(Q792=1,MAX(0,F792-E792),0)</f>
        <v/>
      </c>
    </row>
    <row r="793">
      <c r="A793" s="43" t="inlineStr">
        <is>
          <t>PO100755</t>
        </is>
      </c>
      <c r="B793" s="43" t="inlineStr">
        <is>
          <t>CMD-0034</t>
        </is>
      </c>
      <c r="C793" s="43" t="inlineStr">
        <is>
          <t>S04</t>
        </is>
      </c>
      <c r="D793" s="47" t="n">
        <v>45847</v>
      </c>
      <c r="E793" s="47" t="n">
        <v>45889</v>
      </c>
      <c r="F793" s="47" t="n">
        <v>45887</v>
      </c>
      <c r="G793" s="46" t="n">
        <v>643</v>
      </c>
      <c r="H793" s="46" t="n">
        <v>643</v>
      </c>
      <c r="I793" s="46" t="n">
        <v>0</v>
      </c>
      <c r="J793" s="44" t="n">
        <v>10.55</v>
      </c>
      <c r="K793" s="43" t="inlineStr">
        <is>
          <t>Received</t>
        </is>
      </c>
      <c r="L793" s="17">
        <f>INDEX(Items!$C$2:$C$117,MATCH(B793,Items!$A$2:$A$117,0))</f>
        <v/>
      </c>
      <c r="M793" s="49">
        <f>INDEX(Items!$E$2:$E$117,MATCH(B793,Items!$A$2:$A$117,0))</f>
        <v/>
      </c>
      <c r="N793" s="17">
        <f>TEXT(D793,"yyyy-mm")</f>
        <v/>
      </c>
      <c r="O793" s="50">
        <f>G793*J793</f>
        <v/>
      </c>
      <c r="P793" s="50">
        <f>(J793-M793)*G793</f>
        <v/>
      </c>
      <c r="Q793" s="51">
        <f>IF(K793="Received",1,0)</f>
        <v/>
      </c>
      <c r="R793" s="51">
        <f>IF(Q793=1,F793-D793,0)</f>
        <v/>
      </c>
      <c r="S793" s="51">
        <f>IF(Q793=1,IF(F793&lt;=E793,1,0),0)</f>
        <v/>
      </c>
      <c r="T793" s="51">
        <f>IF(Q793=1,IF(H793&gt;=G793,1,0),0)</f>
        <v/>
      </c>
      <c r="U793" s="51">
        <f>S793*T793</f>
        <v/>
      </c>
      <c r="V793" s="51">
        <f>IF(Q793=1,MAX(0,F793-E793),0)</f>
        <v/>
      </c>
    </row>
    <row r="794">
      <c r="A794" s="43" t="inlineStr">
        <is>
          <t>PO101191</t>
        </is>
      </c>
      <c r="B794" s="43" t="inlineStr">
        <is>
          <t>CMD-0055</t>
        </is>
      </c>
      <c r="C794" s="43" t="inlineStr">
        <is>
          <t>S04</t>
        </is>
      </c>
      <c r="D794" s="47" t="n">
        <v>45847</v>
      </c>
      <c r="E794" s="47" t="n">
        <v>45882</v>
      </c>
      <c r="F794" s="47" t="n">
        <v>45879</v>
      </c>
      <c r="G794" s="46" t="n">
        <v>114544</v>
      </c>
      <c r="H794" s="46" t="n">
        <v>114544</v>
      </c>
      <c r="I794" s="46" t="n">
        <v>1128</v>
      </c>
      <c r="J794" s="44" t="n">
        <v>0.09379999999999999</v>
      </c>
      <c r="K794" s="43" t="inlineStr">
        <is>
          <t>Received</t>
        </is>
      </c>
      <c r="L794" s="17">
        <f>INDEX(Items!$C$2:$C$117,MATCH(B794,Items!$A$2:$A$117,0))</f>
        <v/>
      </c>
      <c r="M794" s="49">
        <f>INDEX(Items!$E$2:$E$117,MATCH(B794,Items!$A$2:$A$117,0))</f>
        <v/>
      </c>
      <c r="N794" s="17">
        <f>TEXT(D794,"yyyy-mm")</f>
        <v/>
      </c>
      <c r="O794" s="50">
        <f>G794*J794</f>
        <v/>
      </c>
      <c r="P794" s="50">
        <f>(J794-M794)*G794</f>
        <v/>
      </c>
      <c r="Q794" s="51">
        <f>IF(K794="Received",1,0)</f>
        <v/>
      </c>
      <c r="R794" s="51">
        <f>IF(Q794=1,F794-D794,0)</f>
        <v/>
      </c>
      <c r="S794" s="51">
        <f>IF(Q794=1,IF(F794&lt;=E794,1,0),0)</f>
        <v/>
      </c>
      <c r="T794" s="51">
        <f>IF(Q794=1,IF(H794&gt;=G794,1,0),0)</f>
        <v/>
      </c>
      <c r="U794" s="51">
        <f>S794*T794</f>
        <v/>
      </c>
      <c r="V794" s="51">
        <f>IF(Q794=1,MAX(0,F794-E794),0)</f>
        <v/>
      </c>
    </row>
    <row r="795">
      <c r="A795" s="43" t="inlineStr">
        <is>
          <t>PO100153</t>
        </is>
      </c>
      <c r="B795" s="43" t="inlineStr">
        <is>
          <t>CMD-0007</t>
        </is>
      </c>
      <c r="C795" s="43" t="inlineStr">
        <is>
          <t>S03</t>
        </is>
      </c>
      <c r="D795" s="47" t="n">
        <v>45848</v>
      </c>
      <c r="E795" s="47" t="n">
        <v>45981</v>
      </c>
      <c r="F795" s="47" t="n">
        <v>45980</v>
      </c>
      <c r="G795" s="46" t="n">
        <v>5283</v>
      </c>
      <c r="H795" s="46" t="n">
        <v>5283</v>
      </c>
      <c r="I795" s="46" t="n">
        <v>37</v>
      </c>
      <c r="J795" s="44" t="n">
        <v>22.8802</v>
      </c>
      <c r="K795" s="43" t="inlineStr">
        <is>
          <t>Received</t>
        </is>
      </c>
      <c r="L795" s="17">
        <f>INDEX(Items!$C$2:$C$117,MATCH(B795,Items!$A$2:$A$117,0))</f>
        <v/>
      </c>
      <c r="M795" s="49">
        <f>INDEX(Items!$E$2:$E$117,MATCH(B795,Items!$A$2:$A$117,0))</f>
        <v/>
      </c>
      <c r="N795" s="17">
        <f>TEXT(D795,"yyyy-mm")</f>
        <v/>
      </c>
      <c r="O795" s="50">
        <f>G795*J795</f>
        <v/>
      </c>
      <c r="P795" s="50">
        <f>(J795-M795)*G795</f>
        <v/>
      </c>
      <c r="Q795" s="51">
        <f>IF(K795="Received",1,0)</f>
        <v/>
      </c>
      <c r="R795" s="51">
        <f>IF(Q795=1,F795-D795,0)</f>
        <v/>
      </c>
      <c r="S795" s="51">
        <f>IF(Q795=1,IF(F795&lt;=E795,1,0),0)</f>
        <v/>
      </c>
      <c r="T795" s="51">
        <f>IF(Q795=1,IF(H795&gt;=G795,1,0),0)</f>
        <v/>
      </c>
      <c r="U795" s="51">
        <f>S795*T795</f>
        <v/>
      </c>
      <c r="V795" s="51">
        <f>IF(Q795=1,MAX(0,F795-E795),0)</f>
        <v/>
      </c>
    </row>
    <row r="796">
      <c r="A796" s="43" t="inlineStr">
        <is>
          <t>PO100033</t>
        </is>
      </c>
      <c r="B796" s="43" t="inlineStr">
        <is>
          <t>CMD-0002</t>
        </is>
      </c>
      <c r="C796" s="43" t="inlineStr">
        <is>
          <t>S11</t>
        </is>
      </c>
      <c r="D796" s="47" t="n">
        <v>45848</v>
      </c>
      <c r="E796" s="47" t="n">
        <v>45967</v>
      </c>
      <c r="F796" s="47" t="n">
        <v>45964</v>
      </c>
      <c r="G796" s="46" t="n">
        <v>7581</v>
      </c>
      <c r="H796" s="46" t="n">
        <v>7581</v>
      </c>
      <c r="I796" s="46" t="n">
        <v>10</v>
      </c>
      <c r="J796" s="44" t="n">
        <v>8.083</v>
      </c>
      <c r="K796" s="43" t="inlineStr">
        <is>
          <t>Received</t>
        </is>
      </c>
      <c r="L796" s="17">
        <f>INDEX(Items!$C$2:$C$117,MATCH(B796,Items!$A$2:$A$117,0))</f>
        <v/>
      </c>
      <c r="M796" s="49">
        <f>INDEX(Items!$E$2:$E$117,MATCH(B796,Items!$A$2:$A$117,0))</f>
        <v/>
      </c>
      <c r="N796" s="17">
        <f>TEXT(D796,"yyyy-mm")</f>
        <v/>
      </c>
      <c r="O796" s="50">
        <f>G796*J796</f>
        <v/>
      </c>
      <c r="P796" s="50">
        <f>(J796-M796)*G796</f>
        <v/>
      </c>
      <c r="Q796" s="51">
        <f>IF(K796="Received",1,0)</f>
        <v/>
      </c>
      <c r="R796" s="51">
        <f>IF(Q796=1,F796-D796,0)</f>
        <v/>
      </c>
      <c r="S796" s="51">
        <f>IF(Q796=1,IF(F796&lt;=E796,1,0),0)</f>
        <v/>
      </c>
      <c r="T796" s="51">
        <f>IF(Q796=1,IF(H796&gt;=G796,1,0),0)</f>
        <v/>
      </c>
      <c r="U796" s="51">
        <f>S796*T796</f>
        <v/>
      </c>
      <c r="V796" s="51">
        <f>IF(Q796=1,MAX(0,F796-E796),0)</f>
        <v/>
      </c>
    </row>
    <row r="797">
      <c r="A797" s="43" t="inlineStr">
        <is>
          <t>PO100301</t>
        </is>
      </c>
      <c r="B797" s="43" t="inlineStr">
        <is>
          <t>CMD-0014</t>
        </is>
      </c>
      <c r="C797" s="43" t="inlineStr">
        <is>
          <t>S03</t>
        </is>
      </c>
      <c r="D797" s="47" t="n">
        <v>45848</v>
      </c>
      <c r="E797" s="47" t="n">
        <v>45981</v>
      </c>
      <c r="F797" s="47" t="n">
        <v>45980</v>
      </c>
      <c r="G797" s="46" t="n">
        <v>5073</v>
      </c>
      <c r="H797" s="46" t="n">
        <v>5073</v>
      </c>
      <c r="I797" s="46" t="n">
        <v>44</v>
      </c>
      <c r="J797" s="44" t="n">
        <v>14.8916</v>
      </c>
      <c r="K797" s="43" t="inlineStr">
        <is>
          <t>Received</t>
        </is>
      </c>
      <c r="L797" s="17">
        <f>INDEX(Items!$C$2:$C$117,MATCH(B797,Items!$A$2:$A$117,0))</f>
        <v/>
      </c>
      <c r="M797" s="49">
        <f>INDEX(Items!$E$2:$E$117,MATCH(B797,Items!$A$2:$A$117,0))</f>
        <v/>
      </c>
      <c r="N797" s="17">
        <f>TEXT(D797,"yyyy-mm")</f>
        <v/>
      </c>
      <c r="O797" s="50">
        <f>G797*J797</f>
        <v/>
      </c>
      <c r="P797" s="50">
        <f>(J797-M797)*G797</f>
        <v/>
      </c>
      <c r="Q797" s="51">
        <f>IF(K797="Received",1,0)</f>
        <v/>
      </c>
      <c r="R797" s="51">
        <f>IF(Q797=1,F797-D797,0)</f>
        <v/>
      </c>
      <c r="S797" s="51">
        <f>IF(Q797=1,IF(F797&lt;=E797,1,0),0)</f>
        <v/>
      </c>
      <c r="T797" s="51">
        <f>IF(Q797=1,IF(H797&gt;=G797,1,0),0)</f>
        <v/>
      </c>
      <c r="U797" s="51">
        <f>S797*T797</f>
        <v/>
      </c>
      <c r="V797" s="51">
        <f>IF(Q797=1,MAX(0,F797-E797),0)</f>
        <v/>
      </c>
    </row>
    <row r="798">
      <c r="A798" s="43" t="inlineStr">
        <is>
          <t>PO101211</t>
        </is>
      </c>
      <c r="B798" s="43" t="inlineStr">
        <is>
          <t>CMD-0056</t>
        </is>
      </c>
      <c r="C798" s="43" t="inlineStr">
        <is>
          <t>S04</t>
        </is>
      </c>
      <c r="D798" s="47" t="n">
        <v>45848</v>
      </c>
      <c r="E798" s="47" t="n">
        <v>45883</v>
      </c>
      <c r="F798" s="47" t="n">
        <v>45882</v>
      </c>
      <c r="G798" s="46" t="n">
        <v>61612</v>
      </c>
      <c r="H798" s="46" t="n">
        <v>61612</v>
      </c>
      <c r="I798" s="46" t="n">
        <v>664</v>
      </c>
      <c r="J798" s="44" t="n">
        <v>0.1015</v>
      </c>
      <c r="K798" s="43" t="inlineStr">
        <is>
          <t>Received</t>
        </is>
      </c>
      <c r="L798" s="17">
        <f>INDEX(Items!$C$2:$C$117,MATCH(B798,Items!$A$2:$A$117,0))</f>
        <v/>
      </c>
      <c r="M798" s="49">
        <f>INDEX(Items!$E$2:$E$117,MATCH(B798,Items!$A$2:$A$117,0))</f>
        <v/>
      </c>
      <c r="N798" s="17">
        <f>TEXT(D798,"yyyy-mm")</f>
        <v/>
      </c>
      <c r="O798" s="50">
        <f>G798*J798</f>
        <v/>
      </c>
      <c r="P798" s="50">
        <f>(J798-M798)*G798</f>
        <v/>
      </c>
      <c r="Q798" s="51">
        <f>IF(K798="Received",1,0)</f>
        <v/>
      </c>
      <c r="R798" s="51">
        <f>IF(Q798=1,F798-D798,0)</f>
        <v/>
      </c>
      <c r="S798" s="51">
        <f>IF(Q798=1,IF(F798&lt;=E798,1,0),0)</f>
        <v/>
      </c>
      <c r="T798" s="51">
        <f>IF(Q798=1,IF(H798&gt;=G798,1,0),0)</f>
        <v/>
      </c>
      <c r="U798" s="51">
        <f>S798*T798</f>
        <v/>
      </c>
      <c r="V798" s="51">
        <f>IF(Q798=1,MAX(0,F798-E798),0)</f>
        <v/>
      </c>
    </row>
    <row r="799">
      <c r="A799" s="43" t="inlineStr">
        <is>
          <t>PO101573</t>
        </is>
      </c>
      <c r="B799" s="43" t="inlineStr">
        <is>
          <t>CMD-0085</t>
        </is>
      </c>
      <c r="C799" s="43" t="inlineStr">
        <is>
          <t>S06</t>
        </is>
      </c>
      <c r="D799" s="47" t="n">
        <v>45848</v>
      </c>
      <c r="E799" s="47" t="n">
        <v>45869</v>
      </c>
      <c r="F799" s="47" t="n">
        <v>45878</v>
      </c>
      <c r="G799" s="46" t="n">
        <v>1052</v>
      </c>
      <c r="H799" s="46" t="n">
        <v>1052</v>
      </c>
      <c r="I799" s="46" t="n">
        <v>2</v>
      </c>
      <c r="J799" s="44" t="n">
        <v>10.56</v>
      </c>
      <c r="K799" s="43" t="inlineStr">
        <is>
          <t>Received</t>
        </is>
      </c>
      <c r="L799" s="17">
        <f>INDEX(Items!$C$2:$C$117,MATCH(B799,Items!$A$2:$A$117,0))</f>
        <v/>
      </c>
      <c r="M799" s="49">
        <f>INDEX(Items!$E$2:$E$117,MATCH(B799,Items!$A$2:$A$117,0))</f>
        <v/>
      </c>
      <c r="N799" s="17">
        <f>TEXT(D799,"yyyy-mm")</f>
        <v/>
      </c>
      <c r="O799" s="50">
        <f>G799*J799</f>
        <v/>
      </c>
      <c r="P799" s="50">
        <f>(J799-M799)*G799</f>
        <v/>
      </c>
      <c r="Q799" s="51">
        <f>IF(K799="Received",1,0)</f>
        <v/>
      </c>
      <c r="R799" s="51">
        <f>IF(Q799=1,F799-D799,0)</f>
        <v/>
      </c>
      <c r="S799" s="51">
        <f>IF(Q799=1,IF(F799&lt;=E799,1,0),0)</f>
        <v/>
      </c>
      <c r="T799" s="51">
        <f>IF(Q799=1,IF(H799&gt;=G799,1,0),0)</f>
        <v/>
      </c>
      <c r="U799" s="51">
        <f>S799*T799</f>
        <v/>
      </c>
      <c r="V799" s="51">
        <f>IF(Q799=1,MAX(0,F799-E799),0)</f>
        <v/>
      </c>
    </row>
    <row r="800">
      <c r="A800" s="43" t="inlineStr">
        <is>
          <t>PO101149</t>
        </is>
      </c>
      <c r="B800" s="43" t="inlineStr">
        <is>
          <t>CMD-0053</t>
        </is>
      </c>
      <c r="C800" s="43" t="inlineStr">
        <is>
          <t>S04</t>
        </is>
      </c>
      <c r="D800" s="47" t="n">
        <v>45848</v>
      </c>
      <c r="E800" s="47" t="n">
        <v>45883</v>
      </c>
      <c r="F800" s="47" t="n">
        <v>45881</v>
      </c>
      <c r="G800" s="46" t="n">
        <v>55335</v>
      </c>
      <c r="H800" s="46" t="n">
        <v>55335</v>
      </c>
      <c r="I800" s="46" t="n">
        <v>551</v>
      </c>
      <c r="J800" s="44" t="n">
        <v>0.0968</v>
      </c>
      <c r="K800" s="43" t="inlineStr">
        <is>
          <t>Received</t>
        </is>
      </c>
      <c r="L800" s="17">
        <f>INDEX(Items!$C$2:$C$117,MATCH(B800,Items!$A$2:$A$117,0))</f>
        <v/>
      </c>
      <c r="M800" s="49">
        <f>INDEX(Items!$E$2:$E$117,MATCH(B800,Items!$A$2:$A$117,0))</f>
        <v/>
      </c>
      <c r="N800" s="17">
        <f>TEXT(D800,"yyyy-mm")</f>
        <v/>
      </c>
      <c r="O800" s="50">
        <f>G800*J800</f>
        <v/>
      </c>
      <c r="P800" s="50">
        <f>(J800-M800)*G800</f>
        <v/>
      </c>
      <c r="Q800" s="51">
        <f>IF(K800="Received",1,0)</f>
        <v/>
      </c>
      <c r="R800" s="51">
        <f>IF(Q800=1,F800-D800,0)</f>
        <v/>
      </c>
      <c r="S800" s="51">
        <f>IF(Q800=1,IF(F800&lt;=E800,1,0),0)</f>
        <v/>
      </c>
      <c r="T800" s="51">
        <f>IF(Q800=1,IF(H800&gt;=G800,1,0),0)</f>
        <v/>
      </c>
      <c r="U800" s="51">
        <f>S800*T800</f>
        <v/>
      </c>
      <c r="V800" s="51">
        <f>IF(Q800=1,MAX(0,F800-E800),0)</f>
        <v/>
      </c>
    </row>
    <row r="801">
      <c r="A801" s="43" t="inlineStr">
        <is>
          <t>PO100731</t>
        </is>
      </c>
      <c r="B801" s="43" t="inlineStr">
        <is>
          <t>CMD-0033</t>
        </is>
      </c>
      <c r="C801" s="43" t="inlineStr">
        <is>
          <t>S07</t>
        </is>
      </c>
      <c r="D801" s="47" t="n">
        <v>45848</v>
      </c>
      <c r="E801" s="47" t="n">
        <v>45890</v>
      </c>
      <c r="F801" s="47" t="n">
        <v>45890</v>
      </c>
      <c r="G801" s="46" t="n">
        <v>3964</v>
      </c>
      <c r="H801" s="46" t="n">
        <v>3964</v>
      </c>
      <c r="I801" s="46" t="n">
        <v>27</v>
      </c>
      <c r="J801" s="44" t="n">
        <v>58.36</v>
      </c>
      <c r="K801" s="43" t="inlineStr">
        <is>
          <t>Received</t>
        </is>
      </c>
      <c r="L801" s="17">
        <f>INDEX(Items!$C$2:$C$117,MATCH(B801,Items!$A$2:$A$117,0))</f>
        <v/>
      </c>
      <c r="M801" s="49">
        <f>INDEX(Items!$E$2:$E$117,MATCH(B801,Items!$A$2:$A$117,0))</f>
        <v/>
      </c>
      <c r="N801" s="17">
        <f>TEXT(D801,"yyyy-mm")</f>
        <v/>
      </c>
      <c r="O801" s="50">
        <f>G801*J801</f>
        <v/>
      </c>
      <c r="P801" s="50">
        <f>(J801-M801)*G801</f>
        <v/>
      </c>
      <c r="Q801" s="51">
        <f>IF(K801="Received",1,0)</f>
        <v/>
      </c>
      <c r="R801" s="51">
        <f>IF(Q801=1,F801-D801,0)</f>
        <v/>
      </c>
      <c r="S801" s="51">
        <f>IF(Q801=1,IF(F801&lt;=E801,1,0),0)</f>
        <v/>
      </c>
      <c r="T801" s="51">
        <f>IF(Q801=1,IF(H801&gt;=G801,1,0),0)</f>
        <v/>
      </c>
      <c r="U801" s="51">
        <f>S801*T801</f>
        <v/>
      </c>
      <c r="V801" s="51">
        <f>IF(Q801=1,MAX(0,F801-E801),0)</f>
        <v/>
      </c>
    </row>
    <row r="802">
      <c r="A802" s="43" t="inlineStr">
        <is>
          <t>PO100105</t>
        </is>
      </c>
      <c r="B802" s="43" t="inlineStr">
        <is>
          <t>CMD-0005</t>
        </is>
      </c>
      <c r="C802" s="43" t="inlineStr">
        <is>
          <t>S07</t>
        </is>
      </c>
      <c r="D802" s="47" t="n">
        <v>45848</v>
      </c>
      <c r="E802" s="47" t="n">
        <v>45939</v>
      </c>
      <c r="F802" s="47" t="n">
        <v>45936</v>
      </c>
      <c r="G802" s="46" t="n">
        <v>4215</v>
      </c>
      <c r="H802" s="46" t="n">
        <v>4215</v>
      </c>
      <c r="I802" s="46" t="n">
        <v>42</v>
      </c>
      <c r="J802" s="44" t="n">
        <v>6.6434</v>
      </c>
      <c r="K802" s="43" t="inlineStr">
        <is>
          <t>Received</t>
        </is>
      </c>
      <c r="L802" s="17">
        <f>INDEX(Items!$C$2:$C$117,MATCH(B802,Items!$A$2:$A$117,0))</f>
        <v/>
      </c>
      <c r="M802" s="49">
        <f>INDEX(Items!$E$2:$E$117,MATCH(B802,Items!$A$2:$A$117,0))</f>
        <v/>
      </c>
      <c r="N802" s="17">
        <f>TEXT(D802,"yyyy-mm")</f>
        <v/>
      </c>
      <c r="O802" s="50">
        <f>G802*J802</f>
        <v/>
      </c>
      <c r="P802" s="50">
        <f>(J802-M802)*G802</f>
        <v/>
      </c>
      <c r="Q802" s="51">
        <f>IF(K802="Received",1,0)</f>
        <v/>
      </c>
      <c r="R802" s="51">
        <f>IF(Q802=1,F802-D802,0)</f>
        <v/>
      </c>
      <c r="S802" s="51">
        <f>IF(Q802=1,IF(F802&lt;=E802,1,0),0)</f>
        <v/>
      </c>
      <c r="T802" s="51">
        <f>IF(Q802=1,IF(H802&gt;=G802,1,0),0)</f>
        <v/>
      </c>
      <c r="U802" s="51">
        <f>S802*T802</f>
        <v/>
      </c>
      <c r="V802" s="51">
        <f>IF(Q802=1,MAX(0,F802-E802),0)</f>
        <v/>
      </c>
    </row>
    <row r="803">
      <c r="A803" s="43" t="inlineStr">
        <is>
          <t>PO100577</t>
        </is>
      </c>
      <c r="B803" s="43" t="inlineStr">
        <is>
          <t>CMD-0026</t>
        </is>
      </c>
      <c r="C803" s="43" t="inlineStr">
        <is>
          <t>S04</t>
        </is>
      </c>
      <c r="D803" s="47" t="n">
        <v>45848</v>
      </c>
      <c r="E803" s="47" t="n">
        <v>45918</v>
      </c>
      <c r="F803" s="47" t="n">
        <v>45916</v>
      </c>
      <c r="G803" s="46" t="n">
        <v>6969</v>
      </c>
      <c r="H803" s="46" t="n">
        <v>6969</v>
      </c>
      <c r="I803" s="46" t="n">
        <v>86</v>
      </c>
      <c r="J803" s="44" t="n">
        <v>5.96</v>
      </c>
      <c r="K803" s="43" t="inlineStr">
        <is>
          <t>Received</t>
        </is>
      </c>
      <c r="L803" s="17">
        <f>INDEX(Items!$C$2:$C$117,MATCH(B803,Items!$A$2:$A$117,0))</f>
        <v/>
      </c>
      <c r="M803" s="49">
        <f>INDEX(Items!$E$2:$E$117,MATCH(B803,Items!$A$2:$A$117,0))</f>
        <v/>
      </c>
      <c r="N803" s="17">
        <f>TEXT(D803,"yyyy-mm")</f>
        <v/>
      </c>
      <c r="O803" s="50">
        <f>G803*J803</f>
        <v/>
      </c>
      <c r="P803" s="50">
        <f>(J803-M803)*G803</f>
        <v/>
      </c>
      <c r="Q803" s="51">
        <f>IF(K803="Received",1,0)</f>
        <v/>
      </c>
      <c r="R803" s="51">
        <f>IF(Q803=1,F803-D803,0)</f>
        <v/>
      </c>
      <c r="S803" s="51">
        <f>IF(Q803=1,IF(F803&lt;=E803,1,0),0)</f>
        <v/>
      </c>
      <c r="T803" s="51">
        <f>IF(Q803=1,IF(H803&gt;=G803,1,0),0)</f>
        <v/>
      </c>
      <c r="U803" s="51">
        <f>S803*T803</f>
        <v/>
      </c>
      <c r="V803" s="51">
        <f>IF(Q803=1,MAX(0,F803-E803),0)</f>
        <v/>
      </c>
    </row>
    <row r="804">
      <c r="A804" s="43" t="inlineStr">
        <is>
          <t>PO101941</t>
        </is>
      </c>
      <c r="B804" s="43" t="inlineStr">
        <is>
          <t>CMD-0107</t>
        </is>
      </c>
      <c r="C804" s="43" t="inlineStr">
        <is>
          <t>S09</t>
        </is>
      </c>
      <c r="D804" s="47" t="n">
        <v>45848</v>
      </c>
      <c r="E804" s="47" t="n">
        <v>45869</v>
      </c>
      <c r="F804" s="47" t="n">
        <v>45868</v>
      </c>
      <c r="G804" s="46" t="n">
        <v>1328</v>
      </c>
      <c r="H804" s="46" t="n">
        <v>1328</v>
      </c>
      <c r="I804" s="46" t="n">
        <v>4</v>
      </c>
      <c r="J804" s="44" t="n">
        <v>6.95</v>
      </c>
      <c r="K804" s="43" t="inlineStr">
        <is>
          <t>Received</t>
        </is>
      </c>
      <c r="L804" s="17">
        <f>INDEX(Items!$C$2:$C$117,MATCH(B804,Items!$A$2:$A$117,0))</f>
        <v/>
      </c>
      <c r="M804" s="49">
        <f>INDEX(Items!$E$2:$E$117,MATCH(B804,Items!$A$2:$A$117,0))</f>
        <v/>
      </c>
      <c r="N804" s="17">
        <f>TEXT(D804,"yyyy-mm")</f>
        <v/>
      </c>
      <c r="O804" s="50">
        <f>G804*J804</f>
        <v/>
      </c>
      <c r="P804" s="50">
        <f>(J804-M804)*G804</f>
        <v/>
      </c>
      <c r="Q804" s="51">
        <f>IF(K804="Received",1,0)</f>
        <v/>
      </c>
      <c r="R804" s="51">
        <f>IF(Q804=1,F804-D804,0)</f>
        <v/>
      </c>
      <c r="S804" s="51">
        <f>IF(Q804=1,IF(F804&lt;=E804,1,0),0)</f>
        <v/>
      </c>
      <c r="T804" s="51">
        <f>IF(Q804=1,IF(H804&gt;=G804,1,0),0)</f>
        <v/>
      </c>
      <c r="U804" s="51">
        <f>S804*T804</f>
        <v/>
      </c>
      <c r="V804" s="51">
        <f>IF(Q804=1,MAX(0,F804-E804),0)</f>
        <v/>
      </c>
    </row>
    <row r="805">
      <c r="A805" s="43" t="inlineStr">
        <is>
          <t>PO101317</t>
        </is>
      </c>
      <c r="B805" s="43" t="inlineStr">
        <is>
          <t>CMD-0065</t>
        </is>
      </c>
      <c r="C805" s="43" t="inlineStr">
        <is>
          <t>S10</t>
        </is>
      </c>
      <c r="D805" s="47" t="n">
        <v>45848</v>
      </c>
      <c r="E805" s="47" t="n">
        <v>45876</v>
      </c>
      <c r="F805" s="47" t="n">
        <v>45876</v>
      </c>
      <c r="G805" s="46" t="n">
        <v>113202</v>
      </c>
      <c r="H805" s="46" t="n">
        <v>113202</v>
      </c>
      <c r="I805" s="46" t="n">
        <v>107</v>
      </c>
      <c r="J805" s="44" t="n">
        <v>0.1155</v>
      </c>
      <c r="K805" s="43" t="inlineStr">
        <is>
          <t>Received</t>
        </is>
      </c>
      <c r="L805" s="17">
        <f>INDEX(Items!$C$2:$C$117,MATCH(B805,Items!$A$2:$A$117,0))</f>
        <v/>
      </c>
      <c r="M805" s="49">
        <f>INDEX(Items!$E$2:$E$117,MATCH(B805,Items!$A$2:$A$117,0))</f>
        <v/>
      </c>
      <c r="N805" s="17">
        <f>TEXT(D805,"yyyy-mm")</f>
        <v/>
      </c>
      <c r="O805" s="50">
        <f>G805*J805</f>
        <v/>
      </c>
      <c r="P805" s="50">
        <f>(J805-M805)*G805</f>
        <v/>
      </c>
      <c r="Q805" s="51">
        <f>IF(K805="Received",1,0)</f>
        <v/>
      </c>
      <c r="R805" s="51">
        <f>IF(Q805=1,F805-D805,0)</f>
        <v/>
      </c>
      <c r="S805" s="51">
        <f>IF(Q805=1,IF(F805&lt;=E805,1,0),0)</f>
        <v/>
      </c>
      <c r="T805" s="51">
        <f>IF(Q805=1,IF(H805&gt;=G805,1,0),0)</f>
        <v/>
      </c>
      <c r="U805" s="51">
        <f>S805*T805</f>
        <v/>
      </c>
      <c r="V805" s="51">
        <f>IF(Q805=1,MAX(0,F805-E805),0)</f>
        <v/>
      </c>
    </row>
    <row r="806">
      <c r="A806" s="43" t="inlineStr">
        <is>
          <t>PO100967</t>
        </is>
      </c>
      <c r="B806" s="43" t="inlineStr">
        <is>
          <t>CMD-0044</t>
        </is>
      </c>
      <c r="C806" s="43" t="inlineStr">
        <is>
          <t>S05</t>
        </is>
      </c>
      <c r="D806" s="47" t="n">
        <v>45848</v>
      </c>
      <c r="E806" s="47" t="n">
        <v>45953</v>
      </c>
      <c r="F806" s="47" t="n">
        <v>45950</v>
      </c>
      <c r="G806" s="46" t="n">
        <v>6642</v>
      </c>
      <c r="H806" s="46" t="n">
        <v>6642</v>
      </c>
      <c r="I806" s="46" t="n">
        <v>111</v>
      </c>
      <c r="J806" s="44" t="n">
        <v>11.57</v>
      </c>
      <c r="K806" s="43" t="inlineStr">
        <is>
          <t>Received</t>
        </is>
      </c>
      <c r="L806" s="17">
        <f>INDEX(Items!$C$2:$C$117,MATCH(B806,Items!$A$2:$A$117,0))</f>
        <v/>
      </c>
      <c r="M806" s="49">
        <f>INDEX(Items!$E$2:$E$117,MATCH(B806,Items!$A$2:$A$117,0))</f>
        <v/>
      </c>
      <c r="N806" s="17">
        <f>TEXT(D806,"yyyy-mm")</f>
        <v/>
      </c>
      <c r="O806" s="50">
        <f>G806*J806</f>
        <v/>
      </c>
      <c r="P806" s="50">
        <f>(J806-M806)*G806</f>
        <v/>
      </c>
      <c r="Q806" s="51">
        <f>IF(K806="Received",1,0)</f>
        <v/>
      </c>
      <c r="R806" s="51">
        <f>IF(Q806=1,F806-D806,0)</f>
        <v/>
      </c>
      <c r="S806" s="51">
        <f>IF(Q806=1,IF(F806&lt;=E806,1,0),0)</f>
        <v/>
      </c>
      <c r="T806" s="51">
        <f>IF(Q806=1,IF(H806&gt;=G806,1,0),0)</f>
        <v/>
      </c>
      <c r="U806" s="51">
        <f>S806*T806</f>
        <v/>
      </c>
      <c r="V806" s="51">
        <f>IF(Q806=1,MAX(0,F806-E806),0)</f>
        <v/>
      </c>
    </row>
    <row r="807">
      <c r="A807" s="43" t="inlineStr">
        <is>
          <t>PO101699</t>
        </is>
      </c>
      <c r="B807" s="43" t="inlineStr">
        <is>
          <t>CMD-0093</t>
        </is>
      </c>
      <c r="C807" s="43" t="inlineStr">
        <is>
          <t>S08</t>
        </is>
      </c>
      <c r="D807" s="47" t="n">
        <v>45849</v>
      </c>
      <c r="E807" s="47" t="n">
        <v>45926</v>
      </c>
      <c r="F807" s="47" t="n">
        <v>45924</v>
      </c>
      <c r="G807" s="46" t="n">
        <v>664</v>
      </c>
      <c r="H807" s="46" t="n">
        <v>664</v>
      </c>
      <c r="I807" s="46" t="n">
        <v>10</v>
      </c>
      <c r="J807" s="44" t="n">
        <v>59.41</v>
      </c>
      <c r="K807" s="43" t="inlineStr">
        <is>
          <t>Received</t>
        </is>
      </c>
      <c r="L807" s="17">
        <f>INDEX(Items!$C$2:$C$117,MATCH(B807,Items!$A$2:$A$117,0))</f>
        <v/>
      </c>
      <c r="M807" s="49">
        <f>INDEX(Items!$E$2:$E$117,MATCH(B807,Items!$A$2:$A$117,0))</f>
        <v/>
      </c>
      <c r="N807" s="17">
        <f>TEXT(D807,"yyyy-mm")</f>
        <v/>
      </c>
      <c r="O807" s="50">
        <f>G807*J807</f>
        <v/>
      </c>
      <c r="P807" s="50">
        <f>(J807-M807)*G807</f>
        <v/>
      </c>
      <c r="Q807" s="51">
        <f>IF(K807="Received",1,0)</f>
        <v/>
      </c>
      <c r="R807" s="51">
        <f>IF(Q807=1,F807-D807,0)</f>
        <v/>
      </c>
      <c r="S807" s="51">
        <f>IF(Q807=1,IF(F807&lt;=E807,1,0),0)</f>
        <v/>
      </c>
      <c r="T807" s="51">
        <f>IF(Q807=1,IF(H807&gt;=G807,1,0),0)</f>
        <v/>
      </c>
      <c r="U807" s="51">
        <f>S807*T807</f>
        <v/>
      </c>
      <c r="V807" s="51">
        <f>IF(Q807=1,MAX(0,F807-E807),0)</f>
        <v/>
      </c>
    </row>
    <row r="808">
      <c r="A808" s="43" t="inlineStr">
        <is>
          <t>PO101091</t>
        </is>
      </c>
      <c r="B808" s="43" t="inlineStr">
        <is>
          <t>CMD-0050</t>
        </is>
      </c>
      <c r="C808" s="43" t="inlineStr">
        <is>
          <t>S10</t>
        </is>
      </c>
      <c r="D808" s="47" t="n">
        <v>45849</v>
      </c>
      <c r="E808" s="47" t="n">
        <v>45877</v>
      </c>
      <c r="F808" s="47" t="n">
        <v>45877</v>
      </c>
      <c r="G808" s="46" t="n">
        <v>79834</v>
      </c>
      <c r="H808" s="46" t="n">
        <v>79834</v>
      </c>
      <c r="I808" s="46" t="n">
        <v>72</v>
      </c>
      <c r="J808" s="44" t="n">
        <v>0.075</v>
      </c>
      <c r="K808" s="43" t="inlineStr">
        <is>
          <t>Received</t>
        </is>
      </c>
      <c r="L808" s="17">
        <f>INDEX(Items!$C$2:$C$117,MATCH(B808,Items!$A$2:$A$117,0))</f>
        <v/>
      </c>
      <c r="M808" s="49">
        <f>INDEX(Items!$E$2:$E$117,MATCH(B808,Items!$A$2:$A$117,0))</f>
        <v/>
      </c>
      <c r="N808" s="17">
        <f>TEXT(D808,"yyyy-mm")</f>
        <v/>
      </c>
      <c r="O808" s="50">
        <f>G808*J808</f>
        <v/>
      </c>
      <c r="P808" s="50">
        <f>(J808-M808)*G808</f>
        <v/>
      </c>
      <c r="Q808" s="51">
        <f>IF(K808="Received",1,0)</f>
        <v/>
      </c>
      <c r="R808" s="51">
        <f>IF(Q808=1,F808-D808,0)</f>
        <v/>
      </c>
      <c r="S808" s="51">
        <f>IF(Q808=1,IF(F808&lt;=E808,1,0),0)</f>
        <v/>
      </c>
      <c r="T808" s="51">
        <f>IF(Q808=1,IF(H808&gt;=G808,1,0),0)</f>
        <v/>
      </c>
      <c r="U808" s="51">
        <f>S808*T808</f>
        <v/>
      </c>
      <c r="V808" s="51">
        <f>IF(Q808=1,MAX(0,F808-E808),0)</f>
        <v/>
      </c>
    </row>
    <row r="809">
      <c r="A809" s="43" t="inlineStr">
        <is>
          <t>PO100225</t>
        </is>
      </c>
      <c r="B809" s="43" t="inlineStr">
        <is>
          <t>CMD-0010</t>
        </is>
      </c>
      <c r="C809" s="43" t="inlineStr">
        <is>
          <t>S03</t>
        </is>
      </c>
      <c r="D809" s="47" t="n">
        <v>45849</v>
      </c>
      <c r="E809" s="47" t="n">
        <v>45982</v>
      </c>
      <c r="F809" s="47" t="n">
        <v>45985</v>
      </c>
      <c r="G809" s="46" t="n">
        <v>4052</v>
      </c>
      <c r="H809" s="46" t="n">
        <v>4052</v>
      </c>
      <c r="I809" s="46" t="n">
        <v>31</v>
      </c>
      <c r="J809" s="44" t="n">
        <v>5.4634</v>
      </c>
      <c r="K809" s="43" t="inlineStr">
        <is>
          <t>Received</t>
        </is>
      </c>
      <c r="L809" s="17">
        <f>INDEX(Items!$C$2:$C$117,MATCH(B809,Items!$A$2:$A$117,0))</f>
        <v/>
      </c>
      <c r="M809" s="49">
        <f>INDEX(Items!$E$2:$E$117,MATCH(B809,Items!$A$2:$A$117,0))</f>
        <v/>
      </c>
      <c r="N809" s="17">
        <f>TEXT(D809,"yyyy-mm")</f>
        <v/>
      </c>
      <c r="O809" s="50">
        <f>G809*J809</f>
        <v/>
      </c>
      <c r="P809" s="50">
        <f>(J809-M809)*G809</f>
        <v/>
      </c>
      <c r="Q809" s="51">
        <f>IF(K809="Received",1,0)</f>
        <v/>
      </c>
      <c r="R809" s="51">
        <f>IF(Q809=1,F809-D809,0)</f>
        <v/>
      </c>
      <c r="S809" s="51">
        <f>IF(Q809=1,IF(F809&lt;=E809,1,0),0)</f>
        <v/>
      </c>
      <c r="T809" s="51">
        <f>IF(Q809=1,IF(H809&gt;=G809,1,0),0)</f>
        <v/>
      </c>
      <c r="U809" s="51">
        <f>S809*T809</f>
        <v/>
      </c>
      <c r="V809" s="51">
        <f>IF(Q809=1,MAX(0,F809-E809),0)</f>
        <v/>
      </c>
    </row>
    <row r="810">
      <c r="A810" s="43" t="inlineStr">
        <is>
          <t>PO100943</t>
        </is>
      </c>
      <c r="B810" s="43" t="inlineStr">
        <is>
          <t>CMD-0043</t>
        </is>
      </c>
      <c r="C810" s="43" t="inlineStr">
        <is>
          <t>S05</t>
        </is>
      </c>
      <c r="D810" s="47" t="n">
        <v>45849</v>
      </c>
      <c r="E810" s="47" t="n">
        <v>45954</v>
      </c>
      <c r="F810" s="47" t="n">
        <v>45994</v>
      </c>
      <c r="G810" s="46" t="n">
        <v>6011</v>
      </c>
      <c r="H810" s="46" t="n">
        <v>6011</v>
      </c>
      <c r="I810" s="46" t="n">
        <v>107</v>
      </c>
      <c r="J810" s="44" t="n">
        <v>3.69</v>
      </c>
      <c r="K810" s="43" t="inlineStr">
        <is>
          <t>Received</t>
        </is>
      </c>
      <c r="L810" s="17">
        <f>INDEX(Items!$C$2:$C$117,MATCH(B810,Items!$A$2:$A$117,0))</f>
        <v/>
      </c>
      <c r="M810" s="49">
        <f>INDEX(Items!$E$2:$E$117,MATCH(B810,Items!$A$2:$A$117,0))</f>
        <v/>
      </c>
      <c r="N810" s="17">
        <f>TEXT(D810,"yyyy-mm")</f>
        <v/>
      </c>
      <c r="O810" s="50">
        <f>G810*J810</f>
        <v/>
      </c>
      <c r="P810" s="50">
        <f>(J810-M810)*G810</f>
        <v/>
      </c>
      <c r="Q810" s="51">
        <f>IF(K810="Received",1,0)</f>
        <v/>
      </c>
      <c r="R810" s="51">
        <f>IF(Q810=1,F810-D810,0)</f>
        <v/>
      </c>
      <c r="S810" s="51">
        <f>IF(Q810=1,IF(F810&lt;=E810,1,0),0)</f>
        <v/>
      </c>
      <c r="T810" s="51">
        <f>IF(Q810=1,IF(H810&gt;=G810,1,0),0)</f>
        <v/>
      </c>
      <c r="U810" s="51">
        <f>S810*T810</f>
        <v/>
      </c>
      <c r="V810" s="51">
        <f>IF(Q810=1,MAX(0,F810-E810),0)</f>
        <v/>
      </c>
    </row>
    <row r="811">
      <c r="A811" s="43" t="inlineStr">
        <is>
          <t>PO100553</t>
        </is>
      </c>
      <c r="B811" s="43" t="inlineStr">
        <is>
          <t>CMD-0025</t>
        </is>
      </c>
      <c r="C811" s="43" t="inlineStr">
        <is>
          <t>S02</t>
        </is>
      </c>
      <c r="D811" s="47" t="n">
        <v>45849</v>
      </c>
      <c r="E811" s="47" t="n">
        <v>45905</v>
      </c>
      <c r="F811" s="47" t="n">
        <v>45905</v>
      </c>
      <c r="G811" s="46" t="n">
        <v>1088</v>
      </c>
      <c r="H811" s="46" t="n">
        <v>1088</v>
      </c>
      <c r="I811" s="46" t="n">
        <v>5</v>
      </c>
      <c r="J811" s="44" t="n">
        <v>10.52</v>
      </c>
      <c r="K811" s="43" t="inlineStr">
        <is>
          <t>Received</t>
        </is>
      </c>
      <c r="L811" s="17">
        <f>INDEX(Items!$C$2:$C$117,MATCH(B811,Items!$A$2:$A$117,0))</f>
        <v/>
      </c>
      <c r="M811" s="49">
        <f>INDEX(Items!$E$2:$E$117,MATCH(B811,Items!$A$2:$A$117,0))</f>
        <v/>
      </c>
      <c r="N811" s="17">
        <f>TEXT(D811,"yyyy-mm")</f>
        <v/>
      </c>
      <c r="O811" s="50">
        <f>G811*J811</f>
        <v/>
      </c>
      <c r="P811" s="50">
        <f>(J811-M811)*G811</f>
        <v/>
      </c>
      <c r="Q811" s="51">
        <f>IF(K811="Received",1,0)</f>
        <v/>
      </c>
      <c r="R811" s="51">
        <f>IF(Q811=1,F811-D811,0)</f>
        <v/>
      </c>
      <c r="S811" s="51">
        <f>IF(Q811=1,IF(F811&lt;=E811,1,0),0)</f>
        <v/>
      </c>
      <c r="T811" s="51">
        <f>IF(Q811=1,IF(H811&gt;=G811,1,0),0)</f>
        <v/>
      </c>
      <c r="U811" s="51">
        <f>S811*T811</f>
        <v/>
      </c>
      <c r="V811" s="51">
        <f>IF(Q811=1,MAX(0,F811-E811),0)</f>
        <v/>
      </c>
    </row>
    <row r="812">
      <c r="A812" s="43" t="inlineStr">
        <is>
          <t>PO100349</t>
        </is>
      </c>
      <c r="B812" s="43" t="inlineStr">
        <is>
          <t>CMD-0016</t>
        </is>
      </c>
      <c r="C812" s="43" t="inlineStr">
        <is>
          <t>S07</t>
        </is>
      </c>
      <c r="D812" s="47" t="n">
        <v>45849</v>
      </c>
      <c r="E812" s="47" t="n">
        <v>45940</v>
      </c>
      <c r="F812" s="47" t="n">
        <v>45938</v>
      </c>
      <c r="G812" s="46" t="n">
        <v>8243</v>
      </c>
      <c r="H812" s="46" t="n">
        <v>8243</v>
      </c>
      <c r="I812" s="46" t="n">
        <v>73</v>
      </c>
      <c r="J812" s="44" t="n">
        <v>31.8836</v>
      </c>
      <c r="K812" s="43" t="inlineStr">
        <is>
          <t>Received</t>
        </is>
      </c>
      <c r="L812" s="17">
        <f>INDEX(Items!$C$2:$C$117,MATCH(B812,Items!$A$2:$A$117,0))</f>
        <v/>
      </c>
      <c r="M812" s="49">
        <f>INDEX(Items!$E$2:$E$117,MATCH(B812,Items!$A$2:$A$117,0))</f>
        <v/>
      </c>
      <c r="N812" s="17">
        <f>TEXT(D812,"yyyy-mm")</f>
        <v/>
      </c>
      <c r="O812" s="50">
        <f>G812*J812</f>
        <v/>
      </c>
      <c r="P812" s="50">
        <f>(J812-M812)*G812</f>
        <v/>
      </c>
      <c r="Q812" s="51">
        <f>IF(K812="Received",1,0)</f>
        <v/>
      </c>
      <c r="R812" s="51">
        <f>IF(Q812=1,F812-D812,0)</f>
        <v/>
      </c>
      <c r="S812" s="51">
        <f>IF(Q812=1,IF(F812&lt;=E812,1,0),0)</f>
        <v/>
      </c>
      <c r="T812" s="51">
        <f>IF(Q812=1,IF(H812&gt;=G812,1,0),0)</f>
        <v/>
      </c>
      <c r="U812" s="51">
        <f>S812*T812</f>
        <v/>
      </c>
      <c r="V812" s="51">
        <f>IF(Q812=1,MAX(0,F812-E812),0)</f>
        <v/>
      </c>
    </row>
    <row r="813">
      <c r="A813" s="43" t="inlineStr">
        <is>
          <t>PO101441</t>
        </is>
      </c>
      <c r="B813" s="43" t="inlineStr">
        <is>
          <t>CMD-0077</t>
        </is>
      </c>
      <c r="C813" s="43" t="inlineStr">
        <is>
          <t>S01</t>
        </is>
      </c>
      <c r="D813" s="47" t="n">
        <v>45849</v>
      </c>
      <c r="E813" s="47" t="n">
        <v>45863</v>
      </c>
      <c r="F813" s="47" t="n">
        <v>45888</v>
      </c>
      <c r="G813" s="46" t="n">
        <v>3940</v>
      </c>
      <c r="H813" s="46" t="n">
        <v>3940</v>
      </c>
      <c r="I813" s="46" t="n">
        <v>8</v>
      </c>
      <c r="J813" s="44" t="n">
        <v>8.75</v>
      </c>
      <c r="K813" s="43" t="inlineStr">
        <is>
          <t>Received</t>
        </is>
      </c>
      <c r="L813" s="17">
        <f>INDEX(Items!$C$2:$C$117,MATCH(B813,Items!$A$2:$A$117,0))</f>
        <v/>
      </c>
      <c r="M813" s="49">
        <f>INDEX(Items!$E$2:$E$117,MATCH(B813,Items!$A$2:$A$117,0))</f>
        <v/>
      </c>
      <c r="N813" s="17">
        <f>TEXT(D813,"yyyy-mm")</f>
        <v/>
      </c>
      <c r="O813" s="50">
        <f>G813*J813</f>
        <v/>
      </c>
      <c r="P813" s="50">
        <f>(J813-M813)*G813</f>
        <v/>
      </c>
      <c r="Q813" s="51">
        <f>IF(K813="Received",1,0)</f>
        <v/>
      </c>
      <c r="R813" s="51">
        <f>IF(Q813=1,F813-D813,0)</f>
        <v/>
      </c>
      <c r="S813" s="51">
        <f>IF(Q813=1,IF(F813&lt;=E813,1,0),0)</f>
        <v/>
      </c>
      <c r="T813" s="51">
        <f>IF(Q813=1,IF(H813&gt;=G813,1,0),0)</f>
        <v/>
      </c>
      <c r="U813" s="51">
        <f>S813*T813</f>
        <v/>
      </c>
      <c r="V813" s="51">
        <f>IF(Q813=1,MAX(0,F813-E813),0)</f>
        <v/>
      </c>
    </row>
    <row r="814">
      <c r="A814" s="43" t="inlineStr">
        <is>
          <t>PO101923</t>
        </is>
      </c>
      <c r="B814" s="43" t="inlineStr">
        <is>
          <t>CMD-0106</t>
        </is>
      </c>
      <c r="C814" s="43" t="inlineStr">
        <is>
          <t>S09</t>
        </is>
      </c>
      <c r="D814" s="47" t="n">
        <v>45849</v>
      </c>
      <c r="E814" s="47" t="n">
        <v>45870</v>
      </c>
      <c r="F814" s="47" t="n">
        <v>45870</v>
      </c>
      <c r="G814" s="46" t="n">
        <v>597</v>
      </c>
      <c r="H814" s="46" t="n">
        <v>597</v>
      </c>
      <c r="I814" s="46" t="n">
        <v>1</v>
      </c>
      <c r="J814" s="44" t="n">
        <v>10.42</v>
      </c>
      <c r="K814" s="43" t="inlineStr">
        <is>
          <t>Received</t>
        </is>
      </c>
      <c r="L814" s="17">
        <f>INDEX(Items!$C$2:$C$117,MATCH(B814,Items!$A$2:$A$117,0))</f>
        <v/>
      </c>
      <c r="M814" s="49">
        <f>INDEX(Items!$E$2:$E$117,MATCH(B814,Items!$A$2:$A$117,0))</f>
        <v/>
      </c>
      <c r="N814" s="17">
        <f>TEXT(D814,"yyyy-mm")</f>
        <v/>
      </c>
      <c r="O814" s="50">
        <f>G814*J814</f>
        <v/>
      </c>
      <c r="P814" s="50">
        <f>(J814-M814)*G814</f>
        <v/>
      </c>
      <c r="Q814" s="51">
        <f>IF(K814="Received",1,0)</f>
        <v/>
      </c>
      <c r="R814" s="51">
        <f>IF(Q814=1,F814-D814,0)</f>
        <v/>
      </c>
      <c r="S814" s="51">
        <f>IF(Q814=1,IF(F814&lt;=E814,1,0),0)</f>
        <v/>
      </c>
      <c r="T814" s="51">
        <f>IF(Q814=1,IF(H814&gt;=G814,1,0),0)</f>
        <v/>
      </c>
      <c r="U814" s="51">
        <f>S814*T814</f>
        <v/>
      </c>
      <c r="V814" s="51">
        <f>IF(Q814=1,MAX(0,F814-E814),0)</f>
        <v/>
      </c>
    </row>
    <row r="815">
      <c r="A815" s="43" t="inlineStr">
        <is>
          <t>PO100827</t>
        </is>
      </c>
      <c r="B815" s="43" t="inlineStr">
        <is>
          <t>CMD-0037</t>
        </is>
      </c>
      <c r="C815" s="43" t="inlineStr">
        <is>
          <t>S07</t>
        </is>
      </c>
      <c r="D815" s="47" t="n">
        <v>45850</v>
      </c>
      <c r="E815" s="47" t="n">
        <v>45892</v>
      </c>
      <c r="F815" s="47" t="n">
        <v>45891</v>
      </c>
      <c r="G815" s="46" t="n">
        <v>360</v>
      </c>
      <c r="H815" s="46" t="n">
        <v>360</v>
      </c>
      <c r="I815" s="46" t="n">
        <v>4</v>
      </c>
      <c r="J815" s="44" t="n">
        <v>53.62</v>
      </c>
      <c r="K815" s="43" t="inlineStr">
        <is>
          <t>Received</t>
        </is>
      </c>
      <c r="L815" s="17">
        <f>INDEX(Items!$C$2:$C$117,MATCH(B815,Items!$A$2:$A$117,0))</f>
        <v/>
      </c>
      <c r="M815" s="49">
        <f>INDEX(Items!$E$2:$E$117,MATCH(B815,Items!$A$2:$A$117,0))</f>
        <v/>
      </c>
      <c r="N815" s="17">
        <f>TEXT(D815,"yyyy-mm")</f>
        <v/>
      </c>
      <c r="O815" s="50">
        <f>G815*J815</f>
        <v/>
      </c>
      <c r="P815" s="50">
        <f>(J815-M815)*G815</f>
        <v/>
      </c>
      <c r="Q815" s="51">
        <f>IF(K815="Received",1,0)</f>
        <v/>
      </c>
      <c r="R815" s="51">
        <f>IF(Q815=1,F815-D815,0)</f>
        <v/>
      </c>
      <c r="S815" s="51">
        <f>IF(Q815=1,IF(F815&lt;=E815,1,0),0)</f>
        <v/>
      </c>
      <c r="T815" s="51">
        <f>IF(Q815=1,IF(H815&gt;=G815,1,0),0)</f>
        <v/>
      </c>
      <c r="U815" s="51">
        <f>S815*T815</f>
        <v/>
      </c>
      <c r="V815" s="51">
        <f>IF(Q815=1,MAX(0,F815-E815),0)</f>
        <v/>
      </c>
    </row>
    <row r="816">
      <c r="A816" s="43" t="inlineStr">
        <is>
          <t>PO101513</t>
        </is>
      </c>
      <c r="B816" s="43" t="inlineStr">
        <is>
          <t>CMD-0080</t>
        </is>
      </c>
      <c r="C816" s="43" t="inlineStr">
        <is>
          <t>S06</t>
        </is>
      </c>
      <c r="D816" s="47" t="n">
        <v>45850</v>
      </c>
      <c r="E816" s="47" t="n">
        <v>45871</v>
      </c>
      <c r="F816" s="47" t="n">
        <v>45871</v>
      </c>
      <c r="G816" s="46" t="n">
        <v>4752</v>
      </c>
      <c r="H816" s="46" t="n">
        <v>4752</v>
      </c>
      <c r="I816" s="46" t="n">
        <v>22</v>
      </c>
      <c r="J816" s="44" t="n">
        <v>5.53</v>
      </c>
      <c r="K816" s="43" t="inlineStr">
        <is>
          <t>Received</t>
        </is>
      </c>
      <c r="L816" s="17">
        <f>INDEX(Items!$C$2:$C$117,MATCH(B816,Items!$A$2:$A$117,0))</f>
        <v/>
      </c>
      <c r="M816" s="49">
        <f>INDEX(Items!$E$2:$E$117,MATCH(B816,Items!$A$2:$A$117,0))</f>
        <v/>
      </c>
      <c r="N816" s="17">
        <f>TEXT(D816,"yyyy-mm")</f>
        <v/>
      </c>
      <c r="O816" s="50">
        <f>G816*J816</f>
        <v/>
      </c>
      <c r="P816" s="50">
        <f>(J816-M816)*G816</f>
        <v/>
      </c>
      <c r="Q816" s="51">
        <f>IF(K816="Received",1,0)</f>
        <v/>
      </c>
      <c r="R816" s="51">
        <f>IF(Q816=1,F816-D816,0)</f>
        <v/>
      </c>
      <c r="S816" s="51">
        <f>IF(Q816=1,IF(F816&lt;=E816,1,0),0)</f>
        <v/>
      </c>
      <c r="T816" s="51">
        <f>IF(Q816=1,IF(H816&gt;=G816,1,0),0)</f>
        <v/>
      </c>
      <c r="U816" s="51">
        <f>S816*T816</f>
        <v/>
      </c>
      <c r="V816" s="51">
        <f>IF(Q816=1,MAX(0,F816-E816),0)</f>
        <v/>
      </c>
    </row>
    <row r="817">
      <c r="A817" s="43" t="inlineStr">
        <is>
          <t>PO101651</t>
        </is>
      </c>
      <c r="B817" s="43" t="inlineStr">
        <is>
          <t>CMD-0091</t>
        </is>
      </c>
      <c r="C817" s="43" t="inlineStr">
        <is>
          <t>S08</t>
        </is>
      </c>
      <c r="D817" s="47" t="n">
        <v>45850</v>
      </c>
      <c r="E817" s="47" t="n">
        <v>45927</v>
      </c>
      <c r="F817" s="47" t="n">
        <v>45924</v>
      </c>
      <c r="G817" s="46" t="n">
        <v>1076</v>
      </c>
      <c r="H817" s="46" t="n">
        <v>1076</v>
      </c>
      <c r="I817" s="46" t="n">
        <v>16</v>
      </c>
      <c r="J817" s="44" t="n">
        <v>23.8</v>
      </c>
      <c r="K817" s="43" t="inlineStr">
        <is>
          <t>Received</t>
        </is>
      </c>
      <c r="L817" s="17">
        <f>INDEX(Items!$C$2:$C$117,MATCH(B817,Items!$A$2:$A$117,0))</f>
        <v/>
      </c>
      <c r="M817" s="49">
        <f>INDEX(Items!$E$2:$E$117,MATCH(B817,Items!$A$2:$A$117,0))</f>
        <v/>
      </c>
      <c r="N817" s="17">
        <f>TEXT(D817,"yyyy-mm")</f>
        <v/>
      </c>
      <c r="O817" s="50">
        <f>G817*J817</f>
        <v/>
      </c>
      <c r="P817" s="50">
        <f>(J817-M817)*G817</f>
        <v/>
      </c>
      <c r="Q817" s="51">
        <f>IF(K817="Received",1,0)</f>
        <v/>
      </c>
      <c r="R817" s="51">
        <f>IF(Q817=1,F817-D817,0)</f>
        <v/>
      </c>
      <c r="S817" s="51">
        <f>IF(Q817=1,IF(F817&lt;=E817,1,0),0)</f>
        <v/>
      </c>
      <c r="T817" s="51">
        <f>IF(Q817=1,IF(H817&gt;=G817,1,0),0)</f>
        <v/>
      </c>
      <c r="U817" s="51">
        <f>S817*T817</f>
        <v/>
      </c>
      <c r="V817" s="51">
        <f>IF(Q817=1,MAX(0,F817-E817),0)</f>
        <v/>
      </c>
    </row>
    <row r="818">
      <c r="A818" s="43" t="inlineStr">
        <is>
          <t>PO101771</t>
        </is>
      </c>
      <c r="B818" s="43" t="inlineStr">
        <is>
          <t>CMD-0096</t>
        </is>
      </c>
      <c r="C818" s="43" t="inlineStr">
        <is>
          <t>S09</t>
        </is>
      </c>
      <c r="D818" s="47" t="n">
        <v>45850</v>
      </c>
      <c r="E818" s="47" t="n">
        <v>45871</v>
      </c>
      <c r="F818" s="47" t="n">
        <v>45871</v>
      </c>
      <c r="G818" s="46" t="n">
        <v>733</v>
      </c>
      <c r="H818" s="46" t="n">
        <v>733</v>
      </c>
      <c r="I818" s="46" t="n">
        <v>0</v>
      </c>
      <c r="J818" s="44" t="n">
        <v>6.42</v>
      </c>
      <c r="K818" s="43" t="inlineStr">
        <is>
          <t>Received</t>
        </is>
      </c>
      <c r="L818" s="17">
        <f>INDEX(Items!$C$2:$C$117,MATCH(B818,Items!$A$2:$A$117,0))</f>
        <v/>
      </c>
      <c r="M818" s="49">
        <f>INDEX(Items!$E$2:$E$117,MATCH(B818,Items!$A$2:$A$117,0))</f>
        <v/>
      </c>
      <c r="N818" s="17">
        <f>TEXT(D818,"yyyy-mm")</f>
        <v/>
      </c>
      <c r="O818" s="50">
        <f>G818*J818</f>
        <v/>
      </c>
      <c r="P818" s="50">
        <f>(J818-M818)*G818</f>
        <v/>
      </c>
      <c r="Q818" s="51">
        <f>IF(K818="Received",1,0)</f>
        <v/>
      </c>
      <c r="R818" s="51">
        <f>IF(Q818=1,F818-D818,0)</f>
        <v/>
      </c>
      <c r="S818" s="51">
        <f>IF(Q818=1,IF(F818&lt;=E818,1,0),0)</f>
        <v/>
      </c>
      <c r="T818" s="51">
        <f>IF(Q818=1,IF(H818&gt;=G818,1,0),0)</f>
        <v/>
      </c>
      <c r="U818" s="51">
        <f>S818*T818</f>
        <v/>
      </c>
      <c r="V818" s="51">
        <f>IF(Q818=1,MAX(0,F818-E818),0)</f>
        <v/>
      </c>
    </row>
    <row r="819">
      <c r="A819" s="43" t="inlineStr">
        <is>
          <t>PO101015</t>
        </is>
      </c>
      <c r="B819" s="43" t="inlineStr">
        <is>
          <t>CMD-0046</t>
        </is>
      </c>
      <c r="C819" s="43" t="inlineStr">
        <is>
          <t>S05</t>
        </is>
      </c>
      <c r="D819" s="47" t="n">
        <v>45850</v>
      </c>
      <c r="E819" s="47" t="n">
        <v>45955</v>
      </c>
      <c r="F819" s="47" t="n">
        <v>45955</v>
      </c>
      <c r="G819" s="46" t="n">
        <v>9945</v>
      </c>
      <c r="H819" s="46" t="n">
        <v>9945</v>
      </c>
      <c r="I819" s="46" t="n">
        <v>185</v>
      </c>
      <c r="J819" s="44" t="n">
        <v>10.57</v>
      </c>
      <c r="K819" s="43" t="inlineStr">
        <is>
          <t>Received</t>
        </is>
      </c>
      <c r="L819" s="17">
        <f>INDEX(Items!$C$2:$C$117,MATCH(B819,Items!$A$2:$A$117,0))</f>
        <v/>
      </c>
      <c r="M819" s="49">
        <f>INDEX(Items!$E$2:$E$117,MATCH(B819,Items!$A$2:$A$117,0))</f>
        <v/>
      </c>
      <c r="N819" s="17">
        <f>TEXT(D819,"yyyy-mm")</f>
        <v/>
      </c>
      <c r="O819" s="50">
        <f>G819*J819</f>
        <v/>
      </c>
      <c r="P819" s="50">
        <f>(J819-M819)*G819</f>
        <v/>
      </c>
      <c r="Q819" s="51">
        <f>IF(K819="Received",1,0)</f>
        <v/>
      </c>
      <c r="R819" s="51">
        <f>IF(Q819=1,F819-D819,0)</f>
        <v/>
      </c>
      <c r="S819" s="51">
        <f>IF(Q819=1,IF(F819&lt;=E819,1,0),0)</f>
        <v/>
      </c>
      <c r="T819" s="51">
        <f>IF(Q819=1,IF(H819&gt;=G819,1,0),0)</f>
        <v/>
      </c>
      <c r="U819" s="51">
        <f>S819*T819</f>
        <v/>
      </c>
      <c r="V819" s="51">
        <f>IF(Q819=1,MAX(0,F819-E819),0)</f>
        <v/>
      </c>
    </row>
    <row r="820">
      <c r="A820" s="43" t="inlineStr">
        <is>
          <t>PO101405</t>
        </is>
      </c>
      <c r="B820" s="43" t="inlineStr">
        <is>
          <t>CMD-0074</t>
        </is>
      </c>
      <c r="C820" s="43" t="inlineStr">
        <is>
          <t>S10</t>
        </is>
      </c>
      <c r="D820" s="47" t="n">
        <v>45850</v>
      </c>
      <c r="E820" s="47" t="n">
        <v>45878</v>
      </c>
      <c r="F820" s="47" t="n">
        <v>45878</v>
      </c>
      <c r="G820" s="46" t="n">
        <v>61348</v>
      </c>
      <c r="H820" s="46" t="n">
        <v>61348</v>
      </c>
      <c r="I820" s="46" t="n">
        <v>54</v>
      </c>
      <c r="J820" s="44" t="n">
        <v>0.3496</v>
      </c>
      <c r="K820" s="43" t="inlineStr">
        <is>
          <t>Received</t>
        </is>
      </c>
      <c r="L820" s="17">
        <f>INDEX(Items!$C$2:$C$117,MATCH(B820,Items!$A$2:$A$117,0))</f>
        <v/>
      </c>
      <c r="M820" s="49">
        <f>INDEX(Items!$E$2:$E$117,MATCH(B820,Items!$A$2:$A$117,0))</f>
        <v/>
      </c>
      <c r="N820" s="17">
        <f>TEXT(D820,"yyyy-mm")</f>
        <v/>
      </c>
      <c r="O820" s="50">
        <f>G820*J820</f>
        <v/>
      </c>
      <c r="P820" s="50">
        <f>(J820-M820)*G820</f>
        <v/>
      </c>
      <c r="Q820" s="51">
        <f>IF(K820="Received",1,0)</f>
        <v/>
      </c>
      <c r="R820" s="51">
        <f>IF(Q820=1,F820-D820,0)</f>
        <v/>
      </c>
      <c r="S820" s="51">
        <f>IF(Q820=1,IF(F820&lt;=E820,1,0),0)</f>
        <v/>
      </c>
      <c r="T820" s="51">
        <f>IF(Q820=1,IF(H820&gt;=G820,1,0),0)</f>
        <v/>
      </c>
      <c r="U820" s="51">
        <f>S820*T820</f>
        <v/>
      </c>
      <c r="V820" s="51">
        <f>IF(Q820=1,MAX(0,F820-E820),0)</f>
        <v/>
      </c>
    </row>
    <row r="821">
      <c r="A821" s="43" t="inlineStr">
        <is>
          <t>PO100779</t>
        </is>
      </c>
      <c r="B821" s="43" t="inlineStr">
        <is>
          <t>CMD-0035</t>
        </is>
      </c>
      <c r="C821" s="43" t="inlineStr">
        <is>
          <t>S01</t>
        </is>
      </c>
      <c r="D821" s="47" t="n">
        <v>45850</v>
      </c>
      <c r="E821" s="47" t="n">
        <v>45878</v>
      </c>
      <c r="F821" s="47" t="n">
        <v>45878</v>
      </c>
      <c r="G821" s="46" t="n">
        <v>618</v>
      </c>
      <c r="H821" s="46" t="n">
        <v>618</v>
      </c>
      <c r="I821" s="46" t="n">
        <v>0</v>
      </c>
      <c r="J821" s="44" t="n">
        <v>9.369999999999999</v>
      </c>
      <c r="K821" s="43" t="inlineStr">
        <is>
          <t>Received</t>
        </is>
      </c>
      <c r="L821" s="17">
        <f>INDEX(Items!$C$2:$C$117,MATCH(B821,Items!$A$2:$A$117,0))</f>
        <v/>
      </c>
      <c r="M821" s="49">
        <f>INDEX(Items!$E$2:$E$117,MATCH(B821,Items!$A$2:$A$117,0))</f>
        <v/>
      </c>
      <c r="N821" s="17">
        <f>TEXT(D821,"yyyy-mm")</f>
        <v/>
      </c>
      <c r="O821" s="50">
        <f>G821*J821</f>
        <v/>
      </c>
      <c r="P821" s="50">
        <f>(J821-M821)*G821</f>
        <v/>
      </c>
      <c r="Q821" s="51">
        <f>IF(K821="Received",1,0)</f>
        <v/>
      </c>
      <c r="R821" s="51">
        <f>IF(Q821=1,F821-D821,0)</f>
        <v/>
      </c>
      <c r="S821" s="51">
        <f>IF(Q821=1,IF(F821&lt;=E821,1,0),0)</f>
        <v/>
      </c>
      <c r="T821" s="51">
        <f>IF(Q821=1,IF(H821&gt;=G821,1,0),0)</f>
        <v/>
      </c>
      <c r="U821" s="51">
        <f>S821*T821</f>
        <v/>
      </c>
      <c r="V821" s="51">
        <f>IF(Q821=1,MAX(0,F821-E821),0)</f>
        <v/>
      </c>
    </row>
    <row r="822">
      <c r="A822" s="43" t="inlineStr">
        <is>
          <t>PO101167</t>
        </is>
      </c>
      <c r="B822" s="43" t="inlineStr">
        <is>
          <t>CMD-0054</t>
        </is>
      </c>
      <c r="C822" s="43" t="inlineStr">
        <is>
          <t>S10</t>
        </is>
      </c>
      <c r="D822" s="47" t="n">
        <v>45850</v>
      </c>
      <c r="E822" s="47" t="n">
        <v>45878</v>
      </c>
      <c r="F822" s="47" t="n">
        <v>45878</v>
      </c>
      <c r="G822" s="46" t="n">
        <v>56819</v>
      </c>
      <c r="H822" s="46" t="n">
        <v>56819</v>
      </c>
      <c r="I822" s="46" t="n">
        <v>72</v>
      </c>
      <c r="J822" s="44" t="n">
        <v>0.1687</v>
      </c>
      <c r="K822" s="43" t="inlineStr">
        <is>
          <t>Received</t>
        </is>
      </c>
      <c r="L822" s="17">
        <f>INDEX(Items!$C$2:$C$117,MATCH(B822,Items!$A$2:$A$117,0))</f>
        <v/>
      </c>
      <c r="M822" s="49">
        <f>INDEX(Items!$E$2:$E$117,MATCH(B822,Items!$A$2:$A$117,0))</f>
        <v/>
      </c>
      <c r="N822" s="17">
        <f>TEXT(D822,"yyyy-mm")</f>
        <v/>
      </c>
      <c r="O822" s="50">
        <f>G822*J822</f>
        <v/>
      </c>
      <c r="P822" s="50">
        <f>(J822-M822)*G822</f>
        <v/>
      </c>
      <c r="Q822" s="51">
        <f>IF(K822="Received",1,0)</f>
        <v/>
      </c>
      <c r="R822" s="51">
        <f>IF(Q822=1,F822-D822,0)</f>
        <v/>
      </c>
      <c r="S822" s="51">
        <f>IF(Q822=1,IF(F822&lt;=E822,1,0),0)</f>
        <v/>
      </c>
      <c r="T822" s="51">
        <f>IF(Q822=1,IF(H822&gt;=G822,1,0),0)</f>
        <v/>
      </c>
      <c r="U822" s="51">
        <f>S822*T822</f>
        <v/>
      </c>
      <c r="V822" s="51">
        <f>IF(Q822=1,MAX(0,F822-E822),0)</f>
        <v/>
      </c>
    </row>
    <row r="823">
      <c r="A823" s="43" t="inlineStr">
        <is>
          <t>PO100325</t>
        </is>
      </c>
      <c r="B823" s="43" t="inlineStr">
        <is>
          <t>CMD-0015</t>
        </is>
      </c>
      <c r="C823" s="43" t="inlineStr">
        <is>
          <t>S03</t>
        </is>
      </c>
      <c r="D823" s="47" t="n">
        <v>45850</v>
      </c>
      <c r="E823" s="47" t="n">
        <v>45983</v>
      </c>
      <c r="F823" s="47" t="n">
        <v>45981</v>
      </c>
      <c r="G823" s="46" t="n">
        <v>3811</v>
      </c>
      <c r="H823" s="46" t="n">
        <v>3811</v>
      </c>
      <c r="I823" s="46" t="n">
        <v>18</v>
      </c>
      <c r="J823" s="44" t="n">
        <v>6.6788</v>
      </c>
      <c r="K823" s="43" t="inlineStr">
        <is>
          <t>Received</t>
        </is>
      </c>
      <c r="L823" s="17">
        <f>INDEX(Items!$C$2:$C$117,MATCH(B823,Items!$A$2:$A$117,0))</f>
        <v/>
      </c>
      <c r="M823" s="49">
        <f>INDEX(Items!$E$2:$E$117,MATCH(B823,Items!$A$2:$A$117,0))</f>
        <v/>
      </c>
      <c r="N823" s="17">
        <f>TEXT(D823,"yyyy-mm")</f>
        <v/>
      </c>
      <c r="O823" s="50">
        <f>G823*J823</f>
        <v/>
      </c>
      <c r="P823" s="50">
        <f>(J823-M823)*G823</f>
        <v/>
      </c>
      <c r="Q823" s="51">
        <f>IF(K823="Received",1,0)</f>
        <v/>
      </c>
      <c r="R823" s="51">
        <f>IF(Q823=1,F823-D823,0)</f>
        <v/>
      </c>
      <c r="S823" s="51">
        <f>IF(Q823=1,IF(F823&lt;=E823,1,0),0)</f>
        <v/>
      </c>
      <c r="T823" s="51">
        <f>IF(Q823=1,IF(H823&gt;=G823,1,0),0)</f>
        <v/>
      </c>
      <c r="U823" s="51">
        <f>S823*T823</f>
        <v/>
      </c>
      <c r="V823" s="51">
        <f>IF(Q823=1,MAX(0,F823-E823),0)</f>
        <v/>
      </c>
    </row>
    <row r="824">
      <c r="A824" s="43" t="inlineStr">
        <is>
          <t>PO100529</t>
        </is>
      </c>
      <c r="B824" s="43" t="inlineStr">
        <is>
          <t>CMD-0024</t>
        </is>
      </c>
      <c r="C824" s="43" t="inlineStr">
        <is>
          <t>S04</t>
        </is>
      </c>
      <c r="D824" s="47" t="n">
        <v>45851</v>
      </c>
      <c r="E824" s="47" t="n">
        <v>45921</v>
      </c>
      <c r="F824" s="47" t="n">
        <v>45921</v>
      </c>
      <c r="G824" s="46" t="n">
        <v>4870</v>
      </c>
      <c r="H824" s="46" t="n">
        <v>4870</v>
      </c>
      <c r="I824" s="46" t="n">
        <v>44</v>
      </c>
      <c r="J824" s="44" t="n">
        <v>3.31</v>
      </c>
      <c r="K824" s="43" t="inlineStr">
        <is>
          <t>Received</t>
        </is>
      </c>
      <c r="L824" s="17">
        <f>INDEX(Items!$C$2:$C$117,MATCH(B824,Items!$A$2:$A$117,0))</f>
        <v/>
      </c>
      <c r="M824" s="49">
        <f>INDEX(Items!$E$2:$E$117,MATCH(B824,Items!$A$2:$A$117,0))</f>
        <v/>
      </c>
      <c r="N824" s="17">
        <f>TEXT(D824,"yyyy-mm")</f>
        <v/>
      </c>
      <c r="O824" s="50">
        <f>G824*J824</f>
        <v/>
      </c>
      <c r="P824" s="50">
        <f>(J824-M824)*G824</f>
        <v/>
      </c>
      <c r="Q824" s="51">
        <f>IF(K824="Received",1,0)</f>
        <v/>
      </c>
      <c r="R824" s="51">
        <f>IF(Q824=1,F824-D824,0)</f>
        <v/>
      </c>
      <c r="S824" s="51">
        <f>IF(Q824=1,IF(F824&lt;=E824,1,0),0)</f>
        <v/>
      </c>
      <c r="T824" s="51">
        <f>IF(Q824=1,IF(H824&gt;=G824,1,0),0)</f>
        <v/>
      </c>
      <c r="U824" s="51">
        <f>S824*T824</f>
        <v/>
      </c>
      <c r="V824" s="51">
        <f>IF(Q824=1,MAX(0,F824-E824),0)</f>
        <v/>
      </c>
    </row>
    <row r="825">
      <c r="A825" s="43" t="inlineStr">
        <is>
          <t>PO101465</t>
        </is>
      </c>
      <c r="B825" s="43" t="inlineStr">
        <is>
          <t>CMD-0078</t>
        </is>
      </c>
      <c r="C825" s="43" t="inlineStr">
        <is>
          <t>S06</t>
        </is>
      </c>
      <c r="D825" s="47" t="n">
        <v>45851</v>
      </c>
      <c r="E825" s="47" t="n">
        <v>45872</v>
      </c>
      <c r="F825" s="47" t="n">
        <v>45870</v>
      </c>
      <c r="G825" s="46" t="n">
        <v>4313</v>
      </c>
      <c r="H825" s="46" t="n">
        <v>4313</v>
      </c>
      <c r="I825" s="46" t="n">
        <v>21</v>
      </c>
      <c r="J825" s="44" t="n">
        <v>2.6</v>
      </c>
      <c r="K825" s="43" t="inlineStr">
        <is>
          <t>Received</t>
        </is>
      </c>
      <c r="L825" s="17">
        <f>INDEX(Items!$C$2:$C$117,MATCH(B825,Items!$A$2:$A$117,0))</f>
        <v/>
      </c>
      <c r="M825" s="49">
        <f>INDEX(Items!$E$2:$E$117,MATCH(B825,Items!$A$2:$A$117,0))</f>
        <v/>
      </c>
      <c r="N825" s="17">
        <f>TEXT(D825,"yyyy-mm")</f>
        <v/>
      </c>
      <c r="O825" s="50">
        <f>G825*J825</f>
        <v/>
      </c>
      <c r="P825" s="50">
        <f>(J825-M825)*G825</f>
        <v/>
      </c>
      <c r="Q825" s="51">
        <f>IF(K825="Received",1,0)</f>
        <v/>
      </c>
      <c r="R825" s="51">
        <f>IF(Q825=1,F825-D825,0)</f>
        <v/>
      </c>
      <c r="S825" s="51">
        <f>IF(Q825=1,IF(F825&lt;=E825,1,0),0)</f>
        <v/>
      </c>
      <c r="T825" s="51">
        <f>IF(Q825=1,IF(H825&gt;=G825,1,0),0)</f>
        <v/>
      </c>
      <c r="U825" s="51">
        <f>S825*T825</f>
        <v/>
      </c>
      <c r="V825" s="51">
        <f>IF(Q825=1,MAX(0,F825-E825),0)</f>
        <v/>
      </c>
    </row>
    <row r="826">
      <c r="A826" s="43" t="inlineStr">
        <is>
          <t>PO101627</t>
        </is>
      </c>
      <c r="B826" s="43" t="inlineStr">
        <is>
          <t>CMD-0090</t>
        </is>
      </c>
      <c r="C826" s="43" t="inlineStr">
        <is>
          <t>S01</t>
        </is>
      </c>
      <c r="D826" s="47" t="n">
        <v>45851</v>
      </c>
      <c r="E826" s="47" t="n">
        <v>45865</v>
      </c>
      <c r="F826" s="47" t="n">
        <v>45864</v>
      </c>
      <c r="G826" s="46" t="n">
        <v>4182</v>
      </c>
      <c r="H826" s="46" t="n">
        <v>4182</v>
      </c>
      <c r="I826" s="46" t="n">
        <v>6</v>
      </c>
      <c r="J826" s="44" t="n">
        <v>6.99</v>
      </c>
      <c r="K826" s="43" t="inlineStr">
        <is>
          <t>Received</t>
        </is>
      </c>
      <c r="L826" s="17">
        <f>INDEX(Items!$C$2:$C$117,MATCH(B826,Items!$A$2:$A$117,0))</f>
        <v/>
      </c>
      <c r="M826" s="49">
        <f>INDEX(Items!$E$2:$E$117,MATCH(B826,Items!$A$2:$A$117,0))</f>
        <v/>
      </c>
      <c r="N826" s="17">
        <f>TEXT(D826,"yyyy-mm")</f>
        <v/>
      </c>
      <c r="O826" s="50">
        <f>G826*J826</f>
        <v/>
      </c>
      <c r="P826" s="50">
        <f>(J826-M826)*G826</f>
        <v/>
      </c>
      <c r="Q826" s="51">
        <f>IF(K826="Received",1,0)</f>
        <v/>
      </c>
      <c r="R826" s="51">
        <f>IF(Q826=1,F826-D826,0)</f>
        <v/>
      </c>
      <c r="S826" s="51">
        <f>IF(Q826=1,IF(F826&lt;=E826,1,0),0)</f>
        <v/>
      </c>
      <c r="T826" s="51">
        <f>IF(Q826=1,IF(H826&gt;=G826,1,0),0)</f>
        <v/>
      </c>
      <c r="U826" s="51">
        <f>S826*T826</f>
        <v/>
      </c>
      <c r="V826" s="51">
        <f>IF(Q826=1,MAX(0,F826-E826),0)</f>
        <v/>
      </c>
    </row>
    <row r="827">
      <c r="A827" s="43" t="inlineStr">
        <is>
          <t>PO100439</t>
        </is>
      </c>
      <c r="B827" s="43" t="inlineStr">
        <is>
          <t>CMD-0020</t>
        </is>
      </c>
      <c r="C827" s="43" t="inlineStr">
        <is>
          <t>S04</t>
        </is>
      </c>
      <c r="D827" s="47" t="n">
        <v>45851</v>
      </c>
      <c r="E827" s="47" t="n">
        <v>45921</v>
      </c>
      <c r="F827" s="47" t="n">
        <v>45919</v>
      </c>
      <c r="G827" s="46" t="n">
        <v>2509</v>
      </c>
      <c r="H827" s="46" t="n">
        <v>2509</v>
      </c>
      <c r="I827" s="46" t="n">
        <v>25</v>
      </c>
      <c r="J827" s="44" t="n">
        <v>5.03</v>
      </c>
      <c r="K827" s="43" t="inlineStr">
        <is>
          <t>Received</t>
        </is>
      </c>
      <c r="L827" s="17">
        <f>INDEX(Items!$C$2:$C$117,MATCH(B827,Items!$A$2:$A$117,0))</f>
        <v/>
      </c>
      <c r="M827" s="49">
        <f>INDEX(Items!$E$2:$E$117,MATCH(B827,Items!$A$2:$A$117,0))</f>
        <v/>
      </c>
      <c r="N827" s="17">
        <f>TEXT(D827,"yyyy-mm")</f>
        <v/>
      </c>
      <c r="O827" s="50">
        <f>G827*J827</f>
        <v/>
      </c>
      <c r="P827" s="50">
        <f>(J827-M827)*G827</f>
        <v/>
      </c>
      <c r="Q827" s="51">
        <f>IF(K827="Received",1,0)</f>
        <v/>
      </c>
      <c r="R827" s="51">
        <f>IF(Q827=1,F827-D827,0)</f>
        <v/>
      </c>
      <c r="S827" s="51">
        <f>IF(Q827=1,IF(F827&lt;=E827,1,0),0)</f>
        <v/>
      </c>
      <c r="T827" s="51">
        <f>IF(Q827=1,IF(H827&gt;=G827,1,0),0)</f>
        <v/>
      </c>
      <c r="U827" s="51">
        <f>S827*T827</f>
        <v/>
      </c>
      <c r="V827" s="51">
        <f>IF(Q827=1,MAX(0,F827-E827),0)</f>
        <v/>
      </c>
    </row>
    <row r="828">
      <c r="A828" s="43" t="inlineStr">
        <is>
          <t>PO101853</t>
        </is>
      </c>
      <c r="B828" s="43" t="inlineStr">
        <is>
          <t>CMD-0101</t>
        </is>
      </c>
      <c r="C828" s="43" t="inlineStr">
        <is>
          <t>S09</t>
        </is>
      </c>
      <c r="D828" s="47" t="n">
        <v>45851</v>
      </c>
      <c r="E828" s="47" t="n">
        <v>45872</v>
      </c>
      <c r="F828" s="47" t="n">
        <v>45870</v>
      </c>
      <c r="G828" s="46" t="n">
        <v>4216</v>
      </c>
      <c r="H828" s="46" t="n">
        <v>4216</v>
      </c>
      <c r="I828" s="46" t="n">
        <v>17</v>
      </c>
      <c r="J828" s="44" t="n">
        <v>3.7</v>
      </c>
      <c r="K828" s="43" t="inlineStr">
        <is>
          <t>Received</t>
        </is>
      </c>
      <c r="L828" s="17">
        <f>INDEX(Items!$C$2:$C$117,MATCH(B828,Items!$A$2:$A$117,0))</f>
        <v/>
      </c>
      <c r="M828" s="49">
        <f>INDEX(Items!$E$2:$E$117,MATCH(B828,Items!$A$2:$A$117,0))</f>
        <v/>
      </c>
      <c r="N828" s="17">
        <f>TEXT(D828,"yyyy-mm")</f>
        <v/>
      </c>
      <c r="O828" s="50">
        <f>G828*J828</f>
        <v/>
      </c>
      <c r="P828" s="50">
        <f>(J828-M828)*G828</f>
        <v/>
      </c>
      <c r="Q828" s="51">
        <f>IF(K828="Received",1,0)</f>
        <v/>
      </c>
      <c r="R828" s="51">
        <f>IF(Q828=1,F828-D828,0)</f>
        <v/>
      </c>
      <c r="S828" s="51">
        <f>IF(Q828=1,IF(F828&lt;=E828,1,0),0)</f>
        <v/>
      </c>
      <c r="T828" s="51">
        <f>IF(Q828=1,IF(H828&gt;=G828,1,0),0)</f>
        <v/>
      </c>
      <c r="U828" s="51">
        <f>S828*T828</f>
        <v/>
      </c>
      <c r="V828" s="51">
        <f>IF(Q828=1,MAX(0,F828-E828),0)</f>
        <v/>
      </c>
    </row>
    <row r="829">
      <c r="A829" s="43" t="inlineStr">
        <is>
          <t>PO100081</t>
        </is>
      </c>
      <c r="B829" s="43" t="inlineStr">
        <is>
          <t>CMD-0004</t>
        </is>
      </c>
      <c r="C829" s="43" t="inlineStr">
        <is>
          <t>S07</t>
        </is>
      </c>
      <c r="D829" s="47" t="n">
        <v>45852</v>
      </c>
      <c r="E829" s="47" t="n">
        <v>45943</v>
      </c>
      <c r="F829" s="47" t="n">
        <v>45942</v>
      </c>
      <c r="G829" s="46" t="n">
        <v>3320</v>
      </c>
      <c r="H829" s="46" t="n">
        <v>3320</v>
      </c>
      <c r="I829" s="46" t="n">
        <v>24</v>
      </c>
      <c r="J829" s="44" t="n">
        <v>4.779</v>
      </c>
      <c r="K829" s="43" t="inlineStr">
        <is>
          <t>Received</t>
        </is>
      </c>
      <c r="L829" s="17">
        <f>INDEX(Items!$C$2:$C$117,MATCH(B829,Items!$A$2:$A$117,0))</f>
        <v/>
      </c>
      <c r="M829" s="49">
        <f>INDEX(Items!$E$2:$E$117,MATCH(B829,Items!$A$2:$A$117,0))</f>
        <v/>
      </c>
      <c r="N829" s="17">
        <f>TEXT(D829,"yyyy-mm")</f>
        <v/>
      </c>
      <c r="O829" s="50">
        <f>G829*J829</f>
        <v/>
      </c>
      <c r="P829" s="50">
        <f>(J829-M829)*G829</f>
        <v/>
      </c>
      <c r="Q829" s="51">
        <f>IF(K829="Received",1,0)</f>
        <v/>
      </c>
      <c r="R829" s="51">
        <f>IF(Q829=1,F829-D829,0)</f>
        <v/>
      </c>
      <c r="S829" s="51">
        <f>IF(Q829=1,IF(F829&lt;=E829,1,0),0)</f>
        <v/>
      </c>
      <c r="T829" s="51">
        <f>IF(Q829=1,IF(H829&gt;=G829,1,0),0)</f>
        <v/>
      </c>
      <c r="U829" s="51">
        <f>S829*T829</f>
        <v/>
      </c>
      <c r="V829" s="51">
        <f>IF(Q829=1,MAX(0,F829-E829),0)</f>
        <v/>
      </c>
    </row>
    <row r="830">
      <c r="A830" s="43" t="inlineStr">
        <is>
          <t>PO101541</t>
        </is>
      </c>
      <c r="B830" s="43" t="inlineStr">
        <is>
          <t>CMD-0082</t>
        </is>
      </c>
      <c r="C830" s="43" t="inlineStr">
        <is>
          <t>S01</t>
        </is>
      </c>
      <c r="D830" s="47" t="n">
        <v>45852</v>
      </c>
      <c r="E830" s="47" t="n">
        <v>45866</v>
      </c>
      <c r="F830" s="47" t="n">
        <v>45863</v>
      </c>
      <c r="G830" s="46" t="n">
        <v>7944</v>
      </c>
      <c r="H830" s="46" t="n">
        <v>7944</v>
      </c>
      <c r="I830" s="46" t="n">
        <v>18</v>
      </c>
      <c r="J830" s="44" t="n">
        <v>2.32</v>
      </c>
      <c r="K830" s="43" t="inlineStr">
        <is>
          <t>Received</t>
        </is>
      </c>
      <c r="L830" s="17">
        <f>INDEX(Items!$C$2:$C$117,MATCH(B830,Items!$A$2:$A$117,0))</f>
        <v/>
      </c>
      <c r="M830" s="49">
        <f>INDEX(Items!$E$2:$E$117,MATCH(B830,Items!$A$2:$A$117,0))</f>
        <v/>
      </c>
      <c r="N830" s="17">
        <f>TEXT(D830,"yyyy-mm")</f>
        <v/>
      </c>
      <c r="O830" s="50">
        <f>G830*J830</f>
        <v/>
      </c>
      <c r="P830" s="50">
        <f>(J830-M830)*G830</f>
        <v/>
      </c>
      <c r="Q830" s="51">
        <f>IF(K830="Received",1,0)</f>
        <v/>
      </c>
      <c r="R830" s="51">
        <f>IF(Q830=1,F830-D830,0)</f>
        <v/>
      </c>
      <c r="S830" s="51">
        <f>IF(Q830=1,IF(F830&lt;=E830,1,0),0)</f>
        <v/>
      </c>
      <c r="T830" s="51">
        <f>IF(Q830=1,IF(H830&gt;=G830,1,0),0)</f>
        <v/>
      </c>
      <c r="U830" s="51">
        <f>S830*T830</f>
        <v/>
      </c>
      <c r="V830" s="51">
        <f>IF(Q830=1,MAX(0,F830-E830),0)</f>
        <v/>
      </c>
    </row>
    <row r="831">
      <c r="A831" s="43" t="inlineStr">
        <is>
          <t>PO100919</t>
        </is>
      </c>
      <c r="B831" s="43" t="inlineStr">
        <is>
          <t>CMD-0042</t>
        </is>
      </c>
      <c r="C831" s="43" t="inlineStr">
        <is>
          <t>S05</t>
        </is>
      </c>
      <c r="D831" s="47" t="n">
        <v>45852</v>
      </c>
      <c r="E831" s="47" t="n">
        <v>45957</v>
      </c>
      <c r="F831" s="47" t="n">
        <v>45955</v>
      </c>
      <c r="G831" s="46" t="n">
        <v>667</v>
      </c>
      <c r="H831" s="46" t="n">
        <v>667</v>
      </c>
      <c r="I831" s="46" t="n">
        <v>13</v>
      </c>
      <c r="J831" s="44" t="n">
        <v>8.91</v>
      </c>
      <c r="K831" s="43" t="inlineStr">
        <is>
          <t>Received</t>
        </is>
      </c>
      <c r="L831" s="17">
        <f>INDEX(Items!$C$2:$C$117,MATCH(B831,Items!$A$2:$A$117,0))</f>
        <v/>
      </c>
      <c r="M831" s="49">
        <f>INDEX(Items!$E$2:$E$117,MATCH(B831,Items!$A$2:$A$117,0))</f>
        <v/>
      </c>
      <c r="N831" s="17">
        <f>TEXT(D831,"yyyy-mm")</f>
        <v/>
      </c>
      <c r="O831" s="50">
        <f>G831*J831</f>
        <v/>
      </c>
      <c r="P831" s="50">
        <f>(J831-M831)*G831</f>
        <v/>
      </c>
      <c r="Q831" s="51">
        <f>IF(K831="Received",1,0)</f>
        <v/>
      </c>
      <c r="R831" s="51">
        <f>IF(Q831=1,F831-D831,0)</f>
        <v/>
      </c>
      <c r="S831" s="51">
        <f>IF(Q831=1,IF(F831&lt;=E831,1,0),0)</f>
        <v/>
      </c>
      <c r="T831" s="51">
        <f>IF(Q831=1,IF(H831&gt;=G831,1,0),0)</f>
        <v/>
      </c>
      <c r="U831" s="51">
        <f>S831*T831</f>
        <v/>
      </c>
      <c r="V831" s="51">
        <f>IF(Q831=1,MAX(0,F831-E831),0)</f>
        <v/>
      </c>
    </row>
    <row r="832">
      <c r="A832" s="43" t="inlineStr">
        <is>
          <t>PO100129</t>
        </is>
      </c>
      <c r="B832" s="43" t="inlineStr">
        <is>
          <t>CMD-0006</t>
        </is>
      </c>
      <c r="C832" s="43" t="inlineStr">
        <is>
          <t>S03</t>
        </is>
      </c>
      <c r="D832" s="47" t="n">
        <v>45852</v>
      </c>
      <c r="E832" s="47" t="n">
        <v>45985</v>
      </c>
      <c r="F832" s="47" t="n">
        <v>45985</v>
      </c>
      <c r="G832" s="46" t="n">
        <v>724</v>
      </c>
      <c r="H832" s="46" t="n">
        <v>724</v>
      </c>
      <c r="I832" s="46" t="n">
        <v>3</v>
      </c>
      <c r="J832" s="44" t="n">
        <v>36.049</v>
      </c>
      <c r="K832" s="43" t="inlineStr">
        <is>
          <t>Received</t>
        </is>
      </c>
      <c r="L832" s="17">
        <f>INDEX(Items!$C$2:$C$117,MATCH(B832,Items!$A$2:$A$117,0))</f>
        <v/>
      </c>
      <c r="M832" s="49">
        <f>INDEX(Items!$E$2:$E$117,MATCH(B832,Items!$A$2:$A$117,0))</f>
        <v/>
      </c>
      <c r="N832" s="17">
        <f>TEXT(D832,"yyyy-mm")</f>
        <v/>
      </c>
      <c r="O832" s="50">
        <f>G832*J832</f>
        <v/>
      </c>
      <c r="P832" s="50">
        <f>(J832-M832)*G832</f>
        <v/>
      </c>
      <c r="Q832" s="51">
        <f>IF(K832="Received",1,0)</f>
        <v/>
      </c>
      <c r="R832" s="51">
        <f>IF(Q832=1,F832-D832,0)</f>
        <v/>
      </c>
      <c r="S832" s="51">
        <f>IF(Q832=1,IF(F832&lt;=E832,1,0),0)</f>
        <v/>
      </c>
      <c r="T832" s="51">
        <f>IF(Q832=1,IF(H832&gt;=G832,1,0),0)</f>
        <v/>
      </c>
      <c r="U832" s="51">
        <f>S832*T832</f>
        <v/>
      </c>
      <c r="V832" s="51">
        <f>IF(Q832=1,MAX(0,F832-E832),0)</f>
        <v/>
      </c>
    </row>
    <row r="833">
      <c r="A833" s="43" t="inlineStr">
        <is>
          <t>PO100505</t>
        </is>
      </c>
      <c r="B833" s="43" t="inlineStr">
        <is>
          <t>CMD-0023</t>
        </is>
      </c>
      <c r="C833" s="43" t="inlineStr">
        <is>
          <t>S04</t>
        </is>
      </c>
      <c r="D833" s="47" t="n">
        <v>45852</v>
      </c>
      <c r="E833" s="47" t="n">
        <v>45922</v>
      </c>
      <c r="F833" s="47" t="n">
        <v>45921</v>
      </c>
      <c r="G833" s="46" t="n">
        <v>4034</v>
      </c>
      <c r="H833" s="46" t="n">
        <v>4034</v>
      </c>
      <c r="I833" s="46" t="n">
        <v>33</v>
      </c>
      <c r="J833" s="44" t="n">
        <v>8.800000000000001</v>
      </c>
      <c r="K833" s="43" t="inlineStr">
        <is>
          <t>Received</t>
        </is>
      </c>
      <c r="L833" s="17">
        <f>INDEX(Items!$C$2:$C$117,MATCH(B833,Items!$A$2:$A$117,0))</f>
        <v/>
      </c>
      <c r="M833" s="49">
        <f>INDEX(Items!$E$2:$E$117,MATCH(B833,Items!$A$2:$A$117,0))</f>
        <v/>
      </c>
      <c r="N833" s="17">
        <f>TEXT(D833,"yyyy-mm")</f>
        <v/>
      </c>
      <c r="O833" s="50">
        <f>G833*J833</f>
        <v/>
      </c>
      <c r="P833" s="50">
        <f>(J833-M833)*G833</f>
        <v/>
      </c>
      <c r="Q833" s="51">
        <f>IF(K833="Received",1,0)</f>
        <v/>
      </c>
      <c r="R833" s="51">
        <f>IF(Q833=1,F833-D833,0)</f>
        <v/>
      </c>
      <c r="S833" s="51">
        <f>IF(Q833=1,IF(F833&lt;=E833,1,0),0)</f>
        <v/>
      </c>
      <c r="T833" s="51">
        <f>IF(Q833=1,IF(H833&gt;=G833,1,0),0)</f>
        <v/>
      </c>
      <c r="U833" s="51">
        <f>S833*T833</f>
        <v/>
      </c>
      <c r="V833" s="51">
        <f>IF(Q833=1,MAX(0,F833-E833),0)</f>
        <v/>
      </c>
    </row>
    <row r="834">
      <c r="A834" s="43" t="inlineStr">
        <is>
          <t>PO100991</t>
        </is>
      </c>
      <c r="B834" s="43" t="inlineStr">
        <is>
          <t>CMD-0045</t>
        </is>
      </c>
      <c r="C834" s="43" t="inlineStr">
        <is>
          <t>S05</t>
        </is>
      </c>
      <c r="D834" s="47" t="n">
        <v>45852</v>
      </c>
      <c r="E834" s="47" t="n">
        <v>45957</v>
      </c>
      <c r="F834" s="47" t="n">
        <v>45956</v>
      </c>
      <c r="G834" s="46" t="n">
        <v>4504</v>
      </c>
      <c r="H834" s="46" t="n">
        <v>4504</v>
      </c>
      <c r="I834" s="46" t="n">
        <v>81</v>
      </c>
      <c r="J834" s="44" t="n">
        <v>8.99</v>
      </c>
      <c r="K834" s="43" t="inlineStr">
        <is>
          <t>Received</t>
        </is>
      </c>
      <c r="L834" s="17">
        <f>INDEX(Items!$C$2:$C$117,MATCH(B834,Items!$A$2:$A$117,0))</f>
        <v/>
      </c>
      <c r="M834" s="49">
        <f>INDEX(Items!$E$2:$E$117,MATCH(B834,Items!$A$2:$A$117,0))</f>
        <v/>
      </c>
      <c r="N834" s="17">
        <f>TEXT(D834,"yyyy-mm")</f>
        <v/>
      </c>
      <c r="O834" s="50">
        <f>G834*J834</f>
        <v/>
      </c>
      <c r="P834" s="50">
        <f>(J834-M834)*G834</f>
        <v/>
      </c>
      <c r="Q834" s="51">
        <f>IF(K834="Received",1,0)</f>
        <v/>
      </c>
      <c r="R834" s="51">
        <f>IF(Q834=1,F834-D834,0)</f>
        <v/>
      </c>
      <c r="S834" s="51">
        <f>IF(Q834=1,IF(F834&lt;=E834,1,0),0)</f>
        <v/>
      </c>
      <c r="T834" s="51">
        <f>IF(Q834=1,IF(H834&gt;=G834,1,0),0)</f>
        <v/>
      </c>
      <c r="U834" s="51">
        <f>S834*T834</f>
        <v/>
      </c>
      <c r="V834" s="51">
        <f>IF(Q834=1,MAX(0,F834-E834),0)</f>
        <v/>
      </c>
    </row>
    <row r="835">
      <c r="A835" s="43" t="inlineStr">
        <is>
          <t>PO100481</t>
        </is>
      </c>
      <c r="B835" s="43" t="inlineStr">
        <is>
          <t>CMD-0022</t>
        </is>
      </c>
      <c r="C835" s="43" t="inlineStr">
        <is>
          <t>S02</t>
        </is>
      </c>
      <c r="D835" s="47" t="n">
        <v>45852</v>
      </c>
      <c r="E835" s="47" t="n">
        <v>45908</v>
      </c>
      <c r="F835" s="47" t="n">
        <v>45908</v>
      </c>
      <c r="G835" s="46" t="n">
        <v>4328</v>
      </c>
      <c r="H835" s="46" t="n">
        <v>4328</v>
      </c>
      <c r="I835" s="46" t="n">
        <v>21</v>
      </c>
      <c r="J835" s="44" t="n">
        <v>17.18</v>
      </c>
      <c r="K835" s="43" t="inlineStr">
        <is>
          <t>Received</t>
        </is>
      </c>
      <c r="L835" s="17">
        <f>INDEX(Items!$C$2:$C$117,MATCH(B835,Items!$A$2:$A$117,0))</f>
        <v/>
      </c>
      <c r="M835" s="49">
        <f>INDEX(Items!$E$2:$E$117,MATCH(B835,Items!$A$2:$A$117,0))</f>
        <v/>
      </c>
      <c r="N835" s="17">
        <f>TEXT(D835,"yyyy-mm")</f>
        <v/>
      </c>
      <c r="O835" s="50">
        <f>G835*J835</f>
        <v/>
      </c>
      <c r="P835" s="50">
        <f>(J835-M835)*G835</f>
        <v/>
      </c>
      <c r="Q835" s="51">
        <f>IF(K835="Received",1,0)</f>
        <v/>
      </c>
      <c r="R835" s="51">
        <f>IF(Q835=1,F835-D835,0)</f>
        <v/>
      </c>
      <c r="S835" s="51">
        <f>IF(Q835=1,IF(F835&lt;=E835,1,0),0)</f>
        <v/>
      </c>
      <c r="T835" s="51">
        <f>IF(Q835=1,IF(H835&gt;=G835,1,0),0)</f>
        <v/>
      </c>
      <c r="U835" s="51">
        <f>S835*T835</f>
        <v/>
      </c>
      <c r="V835" s="51">
        <f>IF(Q835=1,MAX(0,F835-E835),0)</f>
        <v/>
      </c>
    </row>
    <row r="836">
      <c r="A836" s="43" t="inlineStr">
        <is>
          <t>PO101422</t>
        </is>
      </c>
      <c r="B836" s="43" t="inlineStr">
        <is>
          <t>CMD-0075</t>
        </is>
      </c>
      <c r="C836" s="43" t="inlineStr">
        <is>
          <t>S10</t>
        </is>
      </c>
      <c r="D836" s="47" t="n">
        <v>45852</v>
      </c>
      <c r="E836" s="47" t="n">
        <v>45880</v>
      </c>
      <c r="F836" s="47" t="n">
        <v>45879</v>
      </c>
      <c r="G836" s="46" t="n">
        <v>489434</v>
      </c>
      <c r="H836" s="46" t="n">
        <v>489434</v>
      </c>
      <c r="I836" s="46" t="n">
        <v>448</v>
      </c>
      <c r="J836" s="44" t="n">
        <v>0.0152</v>
      </c>
      <c r="K836" s="43" t="inlineStr">
        <is>
          <t>Received</t>
        </is>
      </c>
      <c r="L836" s="17">
        <f>INDEX(Items!$C$2:$C$117,MATCH(B836,Items!$A$2:$A$117,0))</f>
        <v/>
      </c>
      <c r="M836" s="49">
        <f>INDEX(Items!$E$2:$E$117,MATCH(B836,Items!$A$2:$A$117,0))</f>
        <v/>
      </c>
      <c r="N836" s="17">
        <f>TEXT(D836,"yyyy-mm")</f>
        <v/>
      </c>
      <c r="O836" s="50">
        <f>G836*J836</f>
        <v/>
      </c>
      <c r="P836" s="50">
        <f>(J836-M836)*G836</f>
        <v/>
      </c>
      <c r="Q836" s="51">
        <f>IF(K836="Received",1,0)</f>
        <v/>
      </c>
      <c r="R836" s="51">
        <f>IF(Q836=1,F836-D836,0)</f>
        <v/>
      </c>
      <c r="S836" s="51">
        <f>IF(Q836=1,IF(F836&lt;=E836,1,0),0)</f>
        <v/>
      </c>
      <c r="T836" s="51">
        <f>IF(Q836=1,IF(H836&gt;=G836,1,0),0)</f>
        <v/>
      </c>
      <c r="U836" s="51">
        <f>S836*T836</f>
        <v/>
      </c>
      <c r="V836" s="51">
        <f>IF(Q836=1,MAX(0,F836-E836),0)</f>
        <v/>
      </c>
    </row>
    <row r="837">
      <c r="A837" s="43" t="inlineStr">
        <is>
          <t>PO100201</t>
        </is>
      </c>
      <c r="B837" s="43" t="inlineStr">
        <is>
          <t>CMD-0009</t>
        </is>
      </c>
      <c r="C837" s="43" t="inlineStr">
        <is>
          <t>S11</t>
        </is>
      </c>
      <c r="D837" s="47" t="n">
        <v>45852</v>
      </c>
      <c r="E837" s="47" t="n">
        <v>45971</v>
      </c>
      <c r="F837" s="47" t="n">
        <v>46040</v>
      </c>
      <c r="G837" s="46" t="n">
        <v>7186</v>
      </c>
      <c r="H837" s="46" t="n">
        <v>7186</v>
      </c>
      <c r="I837" s="46" t="n">
        <v>21</v>
      </c>
      <c r="J837" s="44" t="n">
        <v>7.4222</v>
      </c>
      <c r="K837" s="43" t="inlineStr">
        <is>
          <t>Received</t>
        </is>
      </c>
      <c r="L837" s="17">
        <f>INDEX(Items!$C$2:$C$117,MATCH(B837,Items!$A$2:$A$117,0))</f>
        <v/>
      </c>
      <c r="M837" s="49">
        <f>INDEX(Items!$E$2:$E$117,MATCH(B837,Items!$A$2:$A$117,0))</f>
        <v/>
      </c>
      <c r="N837" s="17">
        <f>TEXT(D837,"yyyy-mm")</f>
        <v/>
      </c>
      <c r="O837" s="50">
        <f>G837*J837</f>
        <v/>
      </c>
      <c r="P837" s="50">
        <f>(J837-M837)*G837</f>
        <v/>
      </c>
      <c r="Q837" s="51">
        <f>IF(K837="Received",1,0)</f>
        <v/>
      </c>
      <c r="R837" s="51">
        <f>IF(Q837=1,F837-D837,0)</f>
        <v/>
      </c>
      <c r="S837" s="51">
        <f>IF(Q837=1,IF(F837&lt;=E837,1,0),0)</f>
        <v/>
      </c>
      <c r="T837" s="51">
        <f>IF(Q837=1,IF(H837&gt;=G837,1,0),0)</f>
        <v/>
      </c>
      <c r="U837" s="51">
        <f>S837*T837</f>
        <v/>
      </c>
      <c r="V837" s="51">
        <f>IF(Q837=1,MAX(0,F837-E837),0)</f>
        <v/>
      </c>
    </row>
    <row r="838">
      <c r="A838" s="43" t="inlineStr">
        <is>
          <t>PO101747</t>
        </is>
      </c>
      <c r="B838" s="43" t="inlineStr">
        <is>
          <t>CMD-0095</t>
        </is>
      </c>
      <c r="C838" s="43" t="inlineStr">
        <is>
          <t>S08</t>
        </is>
      </c>
      <c r="D838" s="47" t="n">
        <v>45852</v>
      </c>
      <c r="E838" s="47" t="n">
        <v>45929</v>
      </c>
      <c r="F838" s="47" t="n">
        <v>45927</v>
      </c>
      <c r="G838" s="46" t="n">
        <v>326</v>
      </c>
      <c r="H838" s="46" t="n">
        <v>326</v>
      </c>
      <c r="I838" s="46" t="n">
        <v>1</v>
      </c>
      <c r="J838" s="44" t="n">
        <v>91.83</v>
      </c>
      <c r="K838" s="43" t="inlineStr">
        <is>
          <t>Received</t>
        </is>
      </c>
      <c r="L838" s="17">
        <f>INDEX(Items!$C$2:$C$117,MATCH(B838,Items!$A$2:$A$117,0))</f>
        <v/>
      </c>
      <c r="M838" s="49">
        <f>INDEX(Items!$E$2:$E$117,MATCH(B838,Items!$A$2:$A$117,0))</f>
        <v/>
      </c>
      <c r="N838" s="17">
        <f>TEXT(D838,"yyyy-mm")</f>
        <v/>
      </c>
      <c r="O838" s="50">
        <f>G838*J838</f>
        <v/>
      </c>
      <c r="P838" s="50">
        <f>(J838-M838)*G838</f>
        <v/>
      </c>
      <c r="Q838" s="51">
        <f>IF(K838="Received",1,0)</f>
        <v/>
      </c>
      <c r="R838" s="51">
        <f>IF(Q838=1,F838-D838,0)</f>
        <v/>
      </c>
      <c r="S838" s="51">
        <f>IF(Q838=1,IF(F838&lt;=E838,1,0),0)</f>
        <v/>
      </c>
      <c r="T838" s="51">
        <f>IF(Q838=1,IF(H838&gt;=G838,1,0),0)</f>
        <v/>
      </c>
      <c r="U838" s="51">
        <f>S838*T838</f>
        <v/>
      </c>
      <c r="V838" s="51">
        <f>IF(Q838=1,MAX(0,F838-E838),0)</f>
        <v/>
      </c>
    </row>
    <row r="839">
      <c r="A839" s="43" t="inlineStr">
        <is>
          <t>PO100851</t>
        </is>
      </c>
      <c r="B839" s="43" t="inlineStr">
        <is>
          <t>CMD-0038</t>
        </is>
      </c>
      <c r="C839" s="43" t="inlineStr">
        <is>
          <t>S01</t>
        </is>
      </c>
      <c r="D839" s="47" t="n">
        <v>45852</v>
      </c>
      <c r="E839" s="47" t="n">
        <v>45880</v>
      </c>
      <c r="F839" s="47" t="n">
        <v>45877</v>
      </c>
      <c r="G839" s="46" t="n">
        <v>977</v>
      </c>
      <c r="H839" s="46" t="n">
        <v>977</v>
      </c>
      <c r="I839" s="46" t="n">
        <v>2</v>
      </c>
      <c r="J839" s="44" t="n">
        <v>21.49</v>
      </c>
      <c r="K839" s="43" t="inlineStr">
        <is>
          <t>Received</t>
        </is>
      </c>
      <c r="L839" s="17">
        <f>INDEX(Items!$C$2:$C$117,MATCH(B839,Items!$A$2:$A$117,0))</f>
        <v/>
      </c>
      <c r="M839" s="49">
        <f>INDEX(Items!$E$2:$E$117,MATCH(B839,Items!$A$2:$A$117,0))</f>
        <v/>
      </c>
      <c r="N839" s="17">
        <f>TEXT(D839,"yyyy-mm")</f>
        <v/>
      </c>
      <c r="O839" s="50">
        <f>G839*J839</f>
        <v/>
      </c>
      <c r="P839" s="50">
        <f>(J839-M839)*G839</f>
        <v/>
      </c>
      <c r="Q839" s="51">
        <f>IF(K839="Received",1,0)</f>
        <v/>
      </c>
      <c r="R839" s="51">
        <f>IF(Q839=1,F839-D839,0)</f>
        <v/>
      </c>
      <c r="S839" s="51">
        <f>IF(Q839=1,IF(F839&lt;=E839,1,0),0)</f>
        <v/>
      </c>
      <c r="T839" s="51">
        <f>IF(Q839=1,IF(H839&gt;=G839,1,0),0)</f>
        <v/>
      </c>
      <c r="U839" s="51">
        <f>S839*T839</f>
        <v/>
      </c>
      <c r="V839" s="51">
        <f>IF(Q839=1,MAX(0,F839-E839),0)</f>
        <v/>
      </c>
    </row>
    <row r="840">
      <c r="A840" s="43" t="inlineStr">
        <is>
          <t>PO101910</t>
        </is>
      </c>
      <c r="B840" s="43" t="inlineStr">
        <is>
          <t>CMD-0104</t>
        </is>
      </c>
      <c r="C840" s="43" t="inlineStr">
        <is>
          <t>S09</t>
        </is>
      </c>
      <c r="D840" s="47" t="n">
        <v>45853</v>
      </c>
      <c r="E840" s="47" t="n">
        <v>45874</v>
      </c>
      <c r="F840" s="47" t="n">
        <v>45873</v>
      </c>
      <c r="G840" s="46" t="n">
        <v>3623</v>
      </c>
      <c r="H840" s="46" t="n">
        <v>3623</v>
      </c>
      <c r="I840" s="46" t="n">
        <v>11</v>
      </c>
      <c r="J840" s="44" t="n">
        <v>1.44</v>
      </c>
      <c r="K840" s="43" t="inlineStr">
        <is>
          <t>Received</t>
        </is>
      </c>
      <c r="L840" s="17">
        <f>INDEX(Items!$C$2:$C$117,MATCH(B840,Items!$A$2:$A$117,0))</f>
        <v/>
      </c>
      <c r="M840" s="49">
        <f>INDEX(Items!$E$2:$E$117,MATCH(B840,Items!$A$2:$A$117,0))</f>
        <v/>
      </c>
      <c r="N840" s="17">
        <f>TEXT(D840,"yyyy-mm")</f>
        <v/>
      </c>
      <c r="O840" s="50">
        <f>G840*J840</f>
        <v/>
      </c>
      <c r="P840" s="50">
        <f>(J840-M840)*G840</f>
        <v/>
      </c>
      <c r="Q840" s="51">
        <f>IF(K840="Received",1,0)</f>
        <v/>
      </c>
      <c r="R840" s="51">
        <f>IF(Q840=1,F840-D840,0)</f>
        <v/>
      </c>
      <c r="S840" s="51">
        <f>IF(Q840=1,IF(F840&lt;=E840,1,0),0)</f>
        <v/>
      </c>
      <c r="T840" s="51">
        <f>IF(Q840=1,IF(H840&gt;=G840,1,0),0)</f>
        <v/>
      </c>
      <c r="U840" s="51">
        <f>S840*T840</f>
        <v/>
      </c>
      <c r="V840" s="51">
        <f>IF(Q840=1,MAX(0,F840-E840),0)</f>
        <v/>
      </c>
    </row>
    <row r="841">
      <c r="A841" s="43" t="inlineStr">
        <is>
          <t>PO100177</t>
        </is>
      </c>
      <c r="B841" s="43" t="inlineStr">
        <is>
          <t>CMD-0008</t>
        </is>
      </c>
      <c r="C841" s="43" t="inlineStr">
        <is>
          <t>S03</t>
        </is>
      </c>
      <c r="D841" s="47" t="n">
        <v>45853</v>
      </c>
      <c r="E841" s="47" t="n">
        <v>45986</v>
      </c>
      <c r="F841" s="47" t="n">
        <v>45995</v>
      </c>
      <c r="G841" s="46" t="n">
        <v>1590</v>
      </c>
      <c r="H841" s="46" t="n">
        <v>1590</v>
      </c>
      <c r="I841" s="46" t="n">
        <v>8</v>
      </c>
      <c r="J841" s="44" t="n">
        <v>27.9188</v>
      </c>
      <c r="K841" s="43" t="inlineStr">
        <is>
          <t>Received</t>
        </is>
      </c>
      <c r="L841" s="17">
        <f>INDEX(Items!$C$2:$C$117,MATCH(B841,Items!$A$2:$A$117,0))</f>
        <v/>
      </c>
      <c r="M841" s="49">
        <f>INDEX(Items!$E$2:$E$117,MATCH(B841,Items!$A$2:$A$117,0))</f>
        <v/>
      </c>
      <c r="N841" s="17">
        <f>TEXT(D841,"yyyy-mm")</f>
        <v/>
      </c>
      <c r="O841" s="50">
        <f>G841*J841</f>
        <v/>
      </c>
      <c r="P841" s="50">
        <f>(J841-M841)*G841</f>
        <v/>
      </c>
      <c r="Q841" s="51">
        <f>IF(K841="Received",1,0)</f>
        <v/>
      </c>
      <c r="R841" s="51">
        <f>IF(Q841=1,F841-D841,0)</f>
        <v/>
      </c>
      <c r="S841" s="51">
        <f>IF(Q841=1,IF(F841&lt;=E841,1,0),0)</f>
        <v/>
      </c>
      <c r="T841" s="51">
        <f>IF(Q841=1,IF(H841&gt;=G841,1,0),0)</f>
        <v/>
      </c>
      <c r="U841" s="51">
        <f>S841*T841</f>
        <v/>
      </c>
      <c r="V841" s="51">
        <f>IF(Q841=1,MAX(0,F841-E841),0)</f>
        <v/>
      </c>
    </row>
    <row r="842">
      <c r="A842" s="43" t="inlineStr">
        <is>
          <t>PO100009</t>
        </is>
      </c>
      <c r="B842" s="43" t="inlineStr">
        <is>
          <t>CMD-0001</t>
        </is>
      </c>
      <c r="C842" s="43" t="inlineStr">
        <is>
          <t>S07</t>
        </is>
      </c>
      <c r="D842" s="47" t="n">
        <v>45853</v>
      </c>
      <c r="E842" s="47" t="n">
        <v>45944</v>
      </c>
      <c r="F842" s="47" t="n">
        <v>45941</v>
      </c>
      <c r="G842" s="46" t="n">
        <v>6069</v>
      </c>
      <c r="H842" s="46" t="n">
        <v>6069</v>
      </c>
      <c r="I842" s="46" t="n">
        <v>39</v>
      </c>
      <c r="J842" s="44" t="n">
        <v>16.8268</v>
      </c>
      <c r="K842" s="43" t="inlineStr">
        <is>
          <t>Received</t>
        </is>
      </c>
      <c r="L842" s="17">
        <f>INDEX(Items!$C$2:$C$117,MATCH(B842,Items!$A$2:$A$117,0))</f>
        <v/>
      </c>
      <c r="M842" s="49">
        <f>INDEX(Items!$E$2:$E$117,MATCH(B842,Items!$A$2:$A$117,0))</f>
        <v/>
      </c>
      <c r="N842" s="17">
        <f>TEXT(D842,"yyyy-mm")</f>
        <v/>
      </c>
      <c r="O842" s="50">
        <f>G842*J842</f>
        <v/>
      </c>
      <c r="P842" s="50">
        <f>(J842-M842)*G842</f>
        <v/>
      </c>
      <c r="Q842" s="51">
        <f>IF(K842="Received",1,0)</f>
        <v/>
      </c>
      <c r="R842" s="51">
        <f>IF(Q842=1,F842-D842,0)</f>
        <v/>
      </c>
      <c r="S842" s="51">
        <f>IF(Q842=1,IF(F842&lt;=E842,1,0),0)</f>
        <v/>
      </c>
      <c r="T842" s="51">
        <f>IF(Q842=1,IF(H842&gt;=G842,1,0),0)</f>
        <v/>
      </c>
      <c r="U842" s="51">
        <f>S842*T842</f>
        <v/>
      </c>
      <c r="V842" s="51">
        <f>IF(Q842=1,MAX(0,F842-E842),0)</f>
        <v/>
      </c>
    </row>
    <row r="843">
      <c r="A843" s="43" t="inlineStr">
        <is>
          <t>PO100277</t>
        </is>
      </c>
      <c r="B843" s="43" t="inlineStr">
        <is>
          <t>CMD-0013</t>
        </is>
      </c>
      <c r="C843" s="43" t="inlineStr">
        <is>
          <t>S11</t>
        </is>
      </c>
      <c r="D843" s="47" t="n">
        <v>45853</v>
      </c>
      <c r="E843" s="47" t="n">
        <v>45972</v>
      </c>
      <c r="F843" s="47" t="n">
        <v>45970</v>
      </c>
      <c r="G843" s="46" t="n">
        <v>902</v>
      </c>
      <c r="H843" s="46" t="n">
        <v>902</v>
      </c>
      <c r="I843" s="46" t="n">
        <v>2</v>
      </c>
      <c r="J843" s="44" t="n">
        <v>7.965</v>
      </c>
      <c r="K843" s="43" t="inlineStr">
        <is>
          <t>Received</t>
        </is>
      </c>
      <c r="L843" s="17">
        <f>INDEX(Items!$C$2:$C$117,MATCH(B843,Items!$A$2:$A$117,0))</f>
        <v/>
      </c>
      <c r="M843" s="49">
        <f>INDEX(Items!$E$2:$E$117,MATCH(B843,Items!$A$2:$A$117,0))</f>
        <v/>
      </c>
      <c r="N843" s="17">
        <f>TEXT(D843,"yyyy-mm")</f>
        <v/>
      </c>
      <c r="O843" s="50">
        <f>G843*J843</f>
        <v/>
      </c>
      <c r="P843" s="50">
        <f>(J843-M843)*G843</f>
        <v/>
      </c>
      <c r="Q843" s="51">
        <f>IF(K843="Received",1,0)</f>
        <v/>
      </c>
      <c r="R843" s="51">
        <f>IF(Q843=1,F843-D843,0)</f>
        <v/>
      </c>
      <c r="S843" s="51">
        <f>IF(Q843=1,IF(F843&lt;=E843,1,0),0)</f>
        <v/>
      </c>
      <c r="T843" s="51">
        <f>IF(Q843=1,IF(H843&gt;=G843,1,0),0)</f>
        <v/>
      </c>
      <c r="U843" s="51">
        <f>S843*T843</f>
        <v/>
      </c>
      <c r="V843" s="51">
        <f>IF(Q843=1,MAX(0,F843-E843),0)</f>
        <v/>
      </c>
    </row>
    <row r="844">
      <c r="A844" s="43" t="inlineStr">
        <is>
          <t>PO101898</t>
        </is>
      </c>
      <c r="B844" s="43" t="inlineStr">
        <is>
          <t>CMD-0103</t>
        </is>
      </c>
      <c r="C844" s="43" t="inlineStr">
        <is>
          <t>S09</t>
        </is>
      </c>
      <c r="D844" s="47" t="n">
        <v>45853</v>
      </c>
      <c r="E844" s="47" t="n">
        <v>45874</v>
      </c>
      <c r="F844" s="47" t="n">
        <v>45873</v>
      </c>
      <c r="G844" s="46" t="n">
        <v>1354</v>
      </c>
      <c r="H844" s="46" t="n">
        <v>1354</v>
      </c>
      <c r="I844" s="46" t="n">
        <v>8</v>
      </c>
      <c r="J844" s="44" t="n">
        <v>4.18</v>
      </c>
      <c r="K844" s="43" t="inlineStr">
        <is>
          <t>Received</t>
        </is>
      </c>
      <c r="L844" s="17">
        <f>INDEX(Items!$C$2:$C$117,MATCH(B844,Items!$A$2:$A$117,0))</f>
        <v/>
      </c>
      <c r="M844" s="49">
        <f>INDEX(Items!$E$2:$E$117,MATCH(B844,Items!$A$2:$A$117,0))</f>
        <v/>
      </c>
      <c r="N844" s="17">
        <f>TEXT(D844,"yyyy-mm")</f>
        <v/>
      </c>
      <c r="O844" s="50">
        <f>G844*J844</f>
        <v/>
      </c>
      <c r="P844" s="50">
        <f>(J844-M844)*G844</f>
        <v/>
      </c>
      <c r="Q844" s="51">
        <f>IF(K844="Received",1,0)</f>
        <v/>
      </c>
      <c r="R844" s="51">
        <f>IF(Q844=1,F844-D844,0)</f>
        <v/>
      </c>
      <c r="S844" s="51">
        <f>IF(Q844=1,IF(F844&lt;=E844,1,0),0)</f>
        <v/>
      </c>
      <c r="T844" s="51">
        <f>IF(Q844=1,IF(H844&gt;=G844,1,0),0)</f>
        <v/>
      </c>
      <c r="U844" s="51">
        <f>S844*T844</f>
        <v/>
      </c>
      <c r="V844" s="51">
        <f>IF(Q844=1,MAX(0,F844-E844),0)</f>
        <v/>
      </c>
    </row>
    <row r="845">
      <c r="A845" s="43" t="inlineStr">
        <is>
          <t>PO100601</t>
        </is>
      </c>
      <c r="B845" s="43" t="inlineStr">
        <is>
          <t>CMD-0027</t>
        </is>
      </c>
      <c r="C845" s="43" t="inlineStr">
        <is>
          <t>S04</t>
        </is>
      </c>
      <c r="D845" s="47" t="n">
        <v>45853</v>
      </c>
      <c r="E845" s="47" t="n">
        <v>45923</v>
      </c>
      <c r="F845" s="47" t="n">
        <v>45921</v>
      </c>
      <c r="G845" s="46" t="n">
        <v>7410</v>
      </c>
      <c r="H845" s="46" t="n">
        <v>7410</v>
      </c>
      <c r="I845" s="46" t="n">
        <v>74</v>
      </c>
      <c r="J845" s="44" t="n">
        <v>8.85</v>
      </c>
      <c r="K845" s="43" t="inlineStr">
        <is>
          <t>Received</t>
        </is>
      </c>
      <c r="L845" s="17">
        <f>INDEX(Items!$C$2:$C$117,MATCH(B845,Items!$A$2:$A$117,0))</f>
        <v/>
      </c>
      <c r="M845" s="49">
        <f>INDEX(Items!$E$2:$E$117,MATCH(B845,Items!$A$2:$A$117,0))</f>
        <v/>
      </c>
      <c r="N845" s="17">
        <f>TEXT(D845,"yyyy-mm")</f>
        <v/>
      </c>
      <c r="O845" s="50">
        <f>G845*J845</f>
        <v/>
      </c>
      <c r="P845" s="50">
        <f>(J845-M845)*G845</f>
        <v/>
      </c>
      <c r="Q845" s="51">
        <f>IF(K845="Received",1,0)</f>
        <v/>
      </c>
      <c r="R845" s="51">
        <f>IF(Q845=1,F845-D845,0)</f>
        <v/>
      </c>
      <c r="S845" s="51">
        <f>IF(Q845=1,IF(F845&lt;=E845,1,0),0)</f>
        <v/>
      </c>
      <c r="T845" s="51">
        <f>IF(Q845=1,IF(H845&gt;=G845,1,0),0)</f>
        <v/>
      </c>
      <c r="U845" s="51">
        <f>S845*T845</f>
        <v/>
      </c>
      <c r="V845" s="51">
        <f>IF(Q845=1,MAX(0,F845-E845),0)</f>
        <v/>
      </c>
    </row>
    <row r="846">
      <c r="A846" s="43" t="inlineStr">
        <is>
          <t>PO101428</t>
        </is>
      </c>
      <c r="B846" s="43" t="inlineStr">
        <is>
          <t>CMD-0076</t>
        </is>
      </c>
      <c r="C846" s="43" t="inlineStr">
        <is>
          <t>S04</t>
        </is>
      </c>
      <c r="D846" s="47" t="n">
        <v>45854</v>
      </c>
      <c r="E846" s="47" t="n">
        <v>45889</v>
      </c>
      <c r="F846" s="47" t="n">
        <v>45889</v>
      </c>
      <c r="G846" s="46" t="n">
        <v>443479</v>
      </c>
      <c r="H846" s="46" t="n">
        <v>443479</v>
      </c>
      <c r="I846" s="46" t="n">
        <v>4388</v>
      </c>
      <c r="J846" s="44" t="n">
        <v>0.0145</v>
      </c>
      <c r="K846" s="43" t="inlineStr">
        <is>
          <t>Received</t>
        </is>
      </c>
      <c r="L846" s="17">
        <f>INDEX(Items!$C$2:$C$117,MATCH(B846,Items!$A$2:$A$117,0))</f>
        <v/>
      </c>
      <c r="M846" s="49">
        <f>INDEX(Items!$E$2:$E$117,MATCH(B846,Items!$A$2:$A$117,0))</f>
        <v/>
      </c>
      <c r="N846" s="17">
        <f>TEXT(D846,"yyyy-mm")</f>
        <v/>
      </c>
      <c r="O846" s="50">
        <f>G846*J846</f>
        <v/>
      </c>
      <c r="P846" s="50">
        <f>(J846-M846)*G846</f>
        <v/>
      </c>
      <c r="Q846" s="51">
        <f>IF(K846="Received",1,0)</f>
        <v/>
      </c>
      <c r="R846" s="51">
        <f>IF(Q846=1,F846-D846,0)</f>
        <v/>
      </c>
      <c r="S846" s="51">
        <f>IF(Q846=1,IF(F846&lt;=E846,1,0),0)</f>
        <v/>
      </c>
      <c r="T846" s="51">
        <f>IF(Q846=1,IF(H846&gt;=G846,1,0),0)</f>
        <v/>
      </c>
      <c r="U846" s="51">
        <f>S846*T846</f>
        <v/>
      </c>
      <c r="V846" s="51">
        <f>IF(Q846=1,MAX(0,F846-E846),0)</f>
        <v/>
      </c>
    </row>
    <row r="847">
      <c r="A847" s="43" t="inlineStr">
        <is>
          <t>PO101816</t>
        </is>
      </c>
      <c r="B847" s="43" t="inlineStr">
        <is>
          <t>CMD-0099</t>
        </is>
      </c>
      <c r="C847" s="43" t="inlineStr">
        <is>
          <t>S09</t>
        </is>
      </c>
      <c r="D847" s="47" t="n">
        <v>45854</v>
      </c>
      <c r="E847" s="47" t="n">
        <v>45875</v>
      </c>
      <c r="F847" s="47" t="n">
        <v>45872</v>
      </c>
      <c r="G847" s="46" t="n">
        <v>2553</v>
      </c>
      <c r="H847" s="46" t="n">
        <v>2553</v>
      </c>
      <c r="I847" s="46" t="n">
        <v>6</v>
      </c>
      <c r="J847" s="44" t="n">
        <v>2.32</v>
      </c>
      <c r="K847" s="43" t="inlineStr">
        <is>
          <t>Received</t>
        </is>
      </c>
      <c r="L847" s="17">
        <f>INDEX(Items!$C$2:$C$117,MATCH(B847,Items!$A$2:$A$117,0))</f>
        <v/>
      </c>
      <c r="M847" s="49">
        <f>INDEX(Items!$E$2:$E$117,MATCH(B847,Items!$A$2:$A$117,0))</f>
        <v/>
      </c>
      <c r="N847" s="17">
        <f>TEXT(D847,"yyyy-mm")</f>
        <v/>
      </c>
      <c r="O847" s="50">
        <f>G847*J847</f>
        <v/>
      </c>
      <c r="P847" s="50">
        <f>(J847-M847)*G847</f>
        <v/>
      </c>
      <c r="Q847" s="51">
        <f>IF(K847="Received",1,0)</f>
        <v/>
      </c>
      <c r="R847" s="51">
        <f>IF(Q847=1,F847-D847,0)</f>
        <v/>
      </c>
      <c r="S847" s="51">
        <f>IF(Q847=1,IF(F847&lt;=E847,1,0),0)</f>
        <v/>
      </c>
      <c r="T847" s="51">
        <f>IF(Q847=1,IF(H847&gt;=G847,1,0),0)</f>
        <v/>
      </c>
      <c r="U847" s="51">
        <f>S847*T847</f>
        <v/>
      </c>
      <c r="V847" s="51">
        <f>IF(Q847=1,MAX(0,F847-E847),0)</f>
        <v/>
      </c>
    </row>
    <row r="848">
      <c r="A848" s="43" t="inlineStr">
        <is>
          <t>PO101996</t>
        </is>
      </c>
      <c r="B848" s="43" t="inlineStr">
        <is>
          <t>CMD-0112</t>
        </is>
      </c>
      <c r="C848" s="43" t="inlineStr">
        <is>
          <t>S12</t>
        </is>
      </c>
      <c r="D848" s="47" t="n">
        <v>45855</v>
      </c>
      <c r="E848" s="47" t="n">
        <v>45862</v>
      </c>
      <c r="F848" s="47" t="n">
        <v>45862</v>
      </c>
      <c r="G848" s="46" t="n">
        <v>2730</v>
      </c>
      <c r="H848" s="46" t="n">
        <v>2730</v>
      </c>
      <c r="I848" s="46" t="n">
        <v>5</v>
      </c>
      <c r="J848" s="44" t="n">
        <v>2.39</v>
      </c>
      <c r="K848" s="43" t="inlineStr">
        <is>
          <t>Received</t>
        </is>
      </c>
      <c r="L848" s="17">
        <f>INDEX(Items!$C$2:$C$117,MATCH(B848,Items!$A$2:$A$117,0))</f>
        <v/>
      </c>
      <c r="M848" s="49">
        <f>INDEX(Items!$E$2:$E$117,MATCH(B848,Items!$A$2:$A$117,0))</f>
        <v/>
      </c>
      <c r="N848" s="17">
        <f>TEXT(D848,"yyyy-mm")</f>
        <v/>
      </c>
      <c r="O848" s="50">
        <f>G848*J848</f>
        <v/>
      </c>
      <c r="P848" s="50">
        <f>(J848-M848)*G848</f>
        <v/>
      </c>
      <c r="Q848" s="51">
        <f>IF(K848="Received",1,0)</f>
        <v/>
      </c>
      <c r="R848" s="51">
        <f>IF(Q848=1,F848-D848,0)</f>
        <v/>
      </c>
      <c r="S848" s="51">
        <f>IF(Q848=1,IF(F848&lt;=E848,1,0),0)</f>
        <v/>
      </c>
      <c r="T848" s="51">
        <f>IF(Q848=1,IF(H848&gt;=G848,1,0),0)</f>
        <v/>
      </c>
      <c r="U848" s="51">
        <f>S848*T848</f>
        <v/>
      </c>
      <c r="V848" s="51">
        <f>IF(Q848=1,MAX(0,F848-E848),0)</f>
        <v/>
      </c>
    </row>
    <row r="849">
      <c r="A849" s="43" t="inlineStr">
        <is>
          <t>PO100712</t>
        </is>
      </c>
      <c r="B849" s="43" t="inlineStr">
        <is>
          <t>CMD-0032</t>
        </is>
      </c>
      <c r="C849" s="43" t="inlineStr">
        <is>
          <t>S01</t>
        </is>
      </c>
      <c r="D849" s="47" t="n">
        <v>45856</v>
      </c>
      <c r="E849" s="47" t="n">
        <v>45884</v>
      </c>
      <c r="F849" s="47" t="n">
        <v>45883</v>
      </c>
      <c r="G849" s="46" t="n">
        <v>1162</v>
      </c>
      <c r="H849" s="46" t="n">
        <v>1162</v>
      </c>
      <c r="I849" s="46" t="n">
        <v>2</v>
      </c>
      <c r="J849" s="44" t="n">
        <v>5.15</v>
      </c>
      <c r="K849" s="43" t="inlineStr">
        <is>
          <t>Received</t>
        </is>
      </c>
      <c r="L849" s="17">
        <f>INDEX(Items!$C$2:$C$117,MATCH(B849,Items!$A$2:$A$117,0))</f>
        <v/>
      </c>
      <c r="M849" s="49">
        <f>INDEX(Items!$E$2:$E$117,MATCH(B849,Items!$A$2:$A$117,0))</f>
        <v/>
      </c>
      <c r="N849" s="17">
        <f>TEXT(D849,"yyyy-mm")</f>
        <v/>
      </c>
      <c r="O849" s="50">
        <f>G849*J849</f>
        <v/>
      </c>
      <c r="P849" s="50">
        <f>(J849-M849)*G849</f>
        <v/>
      </c>
      <c r="Q849" s="51">
        <f>IF(K849="Received",1,0)</f>
        <v/>
      </c>
      <c r="R849" s="51">
        <f>IF(Q849=1,F849-D849,0)</f>
        <v/>
      </c>
      <c r="S849" s="51">
        <f>IF(Q849=1,IF(F849&lt;=E849,1,0),0)</f>
        <v/>
      </c>
      <c r="T849" s="51">
        <f>IF(Q849=1,IF(H849&gt;=G849,1,0),0)</f>
        <v/>
      </c>
      <c r="U849" s="51">
        <f>S849*T849</f>
        <v/>
      </c>
      <c r="V849" s="51">
        <f>IF(Q849=1,MAX(0,F849-E849),0)</f>
        <v/>
      </c>
    </row>
    <row r="850">
      <c r="A850" s="43" t="inlineStr">
        <is>
          <t>PO101338</t>
        </is>
      </c>
      <c r="B850" s="43" t="inlineStr">
        <is>
          <t>CMD-0067</t>
        </is>
      </c>
      <c r="C850" s="43" t="inlineStr">
        <is>
          <t>S04</t>
        </is>
      </c>
      <c r="D850" s="47" t="n">
        <v>45857</v>
      </c>
      <c r="E850" s="47" t="n">
        <v>45892</v>
      </c>
      <c r="F850" s="47" t="n">
        <v>45892</v>
      </c>
      <c r="G850" s="46" t="n">
        <v>13142</v>
      </c>
      <c r="H850" s="46" t="n">
        <v>13142</v>
      </c>
      <c r="I850" s="46" t="n">
        <v>141</v>
      </c>
      <c r="J850" s="44" t="n">
        <v>0.3432</v>
      </c>
      <c r="K850" s="43" t="inlineStr">
        <is>
          <t>Received</t>
        </is>
      </c>
      <c r="L850" s="17">
        <f>INDEX(Items!$C$2:$C$117,MATCH(B850,Items!$A$2:$A$117,0))</f>
        <v/>
      </c>
      <c r="M850" s="49">
        <f>INDEX(Items!$E$2:$E$117,MATCH(B850,Items!$A$2:$A$117,0))</f>
        <v/>
      </c>
      <c r="N850" s="17">
        <f>TEXT(D850,"yyyy-mm")</f>
        <v/>
      </c>
      <c r="O850" s="50">
        <f>G850*J850</f>
        <v/>
      </c>
      <c r="P850" s="50">
        <f>(J850-M850)*G850</f>
        <v/>
      </c>
      <c r="Q850" s="51">
        <f>IF(K850="Received",1,0)</f>
        <v/>
      </c>
      <c r="R850" s="51">
        <f>IF(Q850=1,F850-D850,0)</f>
        <v/>
      </c>
      <c r="S850" s="51">
        <f>IF(Q850=1,IF(F850&lt;=E850,1,0),0)</f>
        <v/>
      </c>
      <c r="T850" s="51">
        <f>IF(Q850=1,IF(H850&gt;=G850,1,0),0)</f>
        <v/>
      </c>
      <c r="U850" s="51">
        <f>S850*T850</f>
        <v/>
      </c>
      <c r="V850" s="51">
        <f>IF(Q850=1,MAX(0,F850-E850),0)</f>
        <v/>
      </c>
    </row>
    <row r="851">
      <c r="A851" s="43" t="inlineStr">
        <is>
          <t>PO101986</t>
        </is>
      </c>
      <c r="B851" s="43" t="inlineStr">
        <is>
          <t>CMD-0110</t>
        </is>
      </c>
      <c r="C851" s="43" t="inlineStr">
        <is>
          <t>S12</t>
        </is>
      </c>
      <c r="D851" s="47" t="n">
        <v>45859</v>
      </c>
      <c r="E851" s="47" t="n">
        <v>45866</v>
      </c>
      <c r="F851" s="47" t="n">
        <v>45865</v>
      </c>
      <c r="G851" s="46" t="n">
        <v>25732</v>
      </c>
      <c r="H851" s="46" t="n">
        <v>25732</v>
      </c>
      <c r="I851" s="46" t="n">
        <v>20</v>
      </c>
      <c r="J851" s="44" t="n">
        <v>0.192</v>
      </c>
      <c r="K851" s="43" t="inlineStr">
        <is>
          <t>Received</t>
        </is>
      </c>
      <c r="L851" s="17">
        <f>INDEX(Items!$C$2:$C$117,MATCH(B851,Items!$A$2:$A$117,0))</f>
        <v/>
      </c>
      <c r="M851" s="49">
        <f>INDEX(Items!$E$2:$E$117,MATCH(B851,Items!$A$2:$A$117,0))</f>
        <v/>
      </c>
      <c r="N851" s="17">
        <f>TEXT(D851,"yyyy-mm")</f>
        <v/>
      </c>
      <c r="O851" s="50">
        <f>G851*J851</f>
        <v/>
      </c>
      <c r="P851" s="50">
        <f>(J851-M851)*G851</f>
        <v/>
      </c>
      <c r="Q851" s="51">
        <f>IF(K851="Received",1,0)</f>
        <v/>
      </c>
      <c r="R851" s="51">
        <f>IF(Q851=1,F851-D851,0)</f>
        <v/>
      </c>
      <c r="S851" s="51">
        <f>IF(Q851=1,IF(F851&lt;=E851,1,0),0)</f>
        <v/>
      </c>
      <c r="T851" s="51">
        <f>IF(Q851=1,IF(H851&gt;=G851,1,0),0)</f>
        <v/>
      </c>
      <c r="U851" s="51">
        <f>S851*T851</f>
        <v/>
      </c>
      <c r="V851" s="51">
        <f>IF(Q851=1,MAX(0,F851-E851),0)</f>
        <v/>
      </c>
    </row>
    <row r="852">
      <c r="A852" s="43" t="inlineStr">
        <is>
          <t>PO101078</t>
        </is>
      </c>
      <c r="B852" s="43" t="inlineStr">
        <is>
          <t>CMD-0049</t>
        </is>
      </c>
      <c r="C852" s="43" t="inlineStr">
        <is>
          <t>S10</t>
        </is>
      </c>
      <c r="D852" s="47" t="n">
        <v>45859</v>
      </c>
      <c r="E852" s="47" t="n">
        <v>45887</v>
      </c>
      <c r="F852" s="47" t="n">
        <v>45887</v>
      </c>
      <c r="G852" s="46" t="n">
        <v>45843</v>
      </c>
      <c r="H852" s="46" t="n">
        <v>45843</v>
      </c>
      <c r="I852" s="46" t="n">
        <v>58</v>
      </c>
      <c r="J852" s="44" t="n">
        <v>0.1056</v>
      </c>
      <c r="K852" s="43" t="inlineStr">
        <is>
          <t>Received</t>
        </is>
      </c>
      <c r="L852" s="17">
        <f>INDEX(Items!$C$2:$C$117,MATCH(B852,Items!$A$2:$A$117,0))</f>
        <v/>
      </c>
      <c r="M852" s="49">
        <f>INDEX(Items!$E$2:$E$117,MATCH(B852,Items!$A$2:$A$117,0))</f>
        <v/>
      </c>
      <c r="N852" s="17">
        <f>TEXT(D852,"yyyy-mm")</f>
        <v/>
      </c>
      <c r="O852" s="50">
        <f>G852*J852</f>
        <v/>
      </c>
      <c r="P852" s="50">
        <f>(J852-M852)*G852</f>
        <v/>
      </c>
      <c r="Q852" s="51">
        <f>IF(K852="Received",1,0)</f>
        <v/>
      </c>
      <c r="R852" s="51">
        <f>IF(Q852=1,F852-D852,0)</f>
        <v/>
      </c>
      <c r="S852" s="51">
        <f>IF(Q852=1,IF(F852&lt;=E852,1,0),0)</f>
        <v/>
      </c>
      <c r="T852" s="51">
        <f>IF(Q852=1,IF(H852&gt;=G852,1,0),0)</f>
        <v/>
      </c>
      <c r="U852" s="51">
        <f>S852*T852</f>
        <v/>
      </c>
      <c r="V852" s="51">
        <f>IF(Q852=1,MAX(0,F852-E852),0)</f>
        <v/>
      </c>
    </row>
    <row r="853">
      <c r="A853" s="43" t="inlineStr">
        <is>
          <t>PO100695</t>
        </is>
      </c>
      <c r="B853" s="43" t="inlineStr">
        <is>
          <t>CMD-0031</t>
        </is>
      </c>
      <c r="C853" s="43" t="inlineStr">
        <is>
          <t>S01</t>
        </is>
      </c>
      <c r="D853" s="47" t="n">
        <v>45860</v>
      </c>
      <c r="E853" s="47" t="n">
        <v>45888</v>
      </c>
      <c r="F853" s="47" t="n">
        <v>45885</v>
      </c>
      <c r="G853" s="46" t="n">
        <v>588</v>
      </c>
      <c r="H853" s="46" t="n">
        <v>588</v>
      </c>
      <c r="I853" s="46" t="n">
        <v>1</v>
      </c>
      <c r="J853" s="44" t="n">
        <v>9.69</v>
      </c>
      <c r="K853" s="43" t="inlineStr">
        <is>
          <t>Received</t>
        </is>
      </c>
      <c r="L853" s="17">
        <f>INDEX(Items!$C$2:$C$117,MATCH(B853,Items!$A$2:$A$117,0))</f>
        <v/>
      </c>
      <c r="M853" s="49">
        <f>INDEX(Items!$E$2:$E$117,MATCH(B853,Items!$A$2:$A$117,0))</f>
        <v/>
      </c>
      <c r="N853" s="17">
        <f>TEXT(D853,"yyyy-mm")</f>
        <v/>
      </c>
      <c r="O853" s="50">
        <f>G853*J853</f>
        <v/>
      </c>
      <c r="P853" s="50">
        <f>(J853-M853)*G853</f>
        <v/>
      </c>
      <c r="Q853" s="51">
        <f>IF(K853="Received",1,0)</f>
        <v/>
      </c>
      <c r="R853" s="51">
        <f>IF(Q853=1,F853-D853,0)</f>
        <v/>
      </c>
      <c r="S853" s="51">
        <f>IF(Q853=1,IF(F853&lt;=E853,1,0),0)</f>
        <v/>
      </c>
      <c r="T853" s="51">
        <f>IF(Q853=1,IF(H853&gt;=G853,1,0),0)</f>
        <v/>
      </c>
      <c r="U853" s="51">
        <f>S853*T853</f>
        <v/>
      </c>
      <c r="V853" s="51">
        <f>IF(Q853=1,MAX(0,F853-E853),0)</f>
        <v/>
      </c>
    </row>
    <row r="854">
      <c r="A854" s="43" t="inlineStr">
        <is>
          <t>PO101268</t>
        </is>
      </c>
      <c r="B854" s="43" t="inlineStr">
        <is>
          <t>CMD-0060</t>
        </is>
      </c>
      <c r="C854" s="43" t="inlineStr">
        <is>
          <t>S04</t>
        </is>
      </c>
      <c r="D854" s="47" t="n">
        <v>45860</v>
      </c>
      <c r="E854" s="47" t="n">
        <v>45895</v>
      </c>
      <c r="F854" s="47" t="n">
        <v>45937</v>
      </c>
      <c r="G854" s="46" t="n">
        <v>365768</v>
      </c>
      <c r="H854" s="46" t="n">
        <v>365768</v>
      </c>
      <c r="I854" s="46" t="n">
        <v>3690</v>
      </c>
      <c r="J854" s="44" t="n">
        <v>0.0136</v>
      </c>
      <c r="K854" s="43" t="inlineStr">
        <is>
          <t>Received</t>
        </is>
      </c>
      <c r="L854" s="17">
        <f>INDEX(Items!$C$2:$C$117,MATCH(B854,Items!$A$2:$A$117,0))</f>
        <v/>
      </c>
      <c r="M854" s="49">
        <f>INDEX(Items!$E$2:$E$117,MATCH(B854,Items!$A$2:$A$117,0))</f>
        <v/>
      </c>
      <c r="N854" s="17">
        <f>TEXT(D854,"yyyy-mm")</f>
        <v/>
      </c>
      <c r="O854" s="50">
        <f>G854*J854</f>
        <v/>
      </c>
      <c r="P854" s="50">
        <f>(J854-M854)*G854</f>
        <v/>
      </c>
      <c r="Q854" s="51">
        <f>IF(K854="Received",1,0)</f>
        <v/>
      </c>
      <c r="R854" s="51">
        <f>IF(Q854=1,F854-D854,0)</f>
        <v/>
      </c>
      <c r="S854" s="51">
        <f>IF(Q854=1,IF(F854&lt;=E854,1,0),0)</f>
        <v/>
      </c>
      <c r="T854" s="51">
        <f>IF(Q854=1,IF(H854&gt;=G854,1,0),0)</f>
        <v/>
      </c>
      <c r="U854" s="51">
        <f>S854*T854</f>
        <v/>
      </c>
      <c r="V854" s="51">
        <f>IF(Q854=1,MAX(0,F854-E854),0)</f>
        <v/>
      </c>
    </row>
    <row r="855">
      <c r="A855" s="43" t="inlineStr">
        <is>
          <t>PO101607</t>
        </is>
      </c>
      <c r="B855" s="43" t="inlineStr">
        <is>
          <t>CMD-0089</t>
        </is>
      </c>
      <c r="C855" s="43" t="inlineStr">
        <is>
          <t>S01</t>
        </is>
      </c>
      <c r="D855" s="47" t="n">
        <v>45862</v>
      </c>
      <c r="E855" s="47" t="n">
        <v>45876</v>
      </c>
      <c r="F855" s="47" t="n">
        <v>45875</v>
      </c>
      <c r="G855" s="46" t="n">
        <v>608</v>
      </c>
      <c r="H855" s="46" t="n">
        <v>608</v>
      </c>
      <c r="I855" s="46" t="n">
        <v>0</v>
      </c>
      <c r="J855" s="44" t="n">
        <v>9.49</v>
      </c>
      <c r="K855" s="43" t="inlineStr">
        <is>
          <t>Received</t>
        </is>
      </c>
      <c r="L855" s="17">
        <f>INDEX(Items!$C$2:$C$117,MATCH(B855,Items!$A$2:$A$117,0))</f>
        <v/>
      </c>
      <c r="M855" s="49">
        <f>INDEX(Items!$E$2:$E$117,MATCH(B855,Items!$A$2:$A$117,0))</f>
        <v/>
      </c>
      <c r="N855" s="17">
        <f>TEXT(D855,"yyyy-mm")</f>
        <v/>
      </c>
      <c r="O855" s="50">
        <f>G855*J855</f>
        <v/>
      </c>
      <c r="P855" s="50">
        <f>(J855-M855)*G855</f>
        <v/>
      </c>
      <c r="Q855" s="51">
        <f>IF(K855="Received",1,0)</f>
        <v/>
      </c>
      <c r="R855" s="51">
        <f>IF(Q855=1,F855-D855,0)</f>
        <v/>
      </c>
      <c r="S855" s="51">
        <f>IF(Q855=1,IF(F855&lt;=E855,1,0),0)</f>
        <v/>
      </c>
      <c r="T855" s="51">
        <f>IF(Q855=1,IF(H855&gt;=G855,1,0),0)</f>
        <v/>
      </c>
      <c r="U855" s="51">
        <f>S855*T855</f>
        <v/>
      </c>
      <c r="V855" s="51">
        <f>IF(Q855=1,MAX(0,F855-E855),0)</f>
        <v/>
      </c>
    </row>
    <row r="856">
      <c r="A856" s="43" t="inlineStr">
        <is>
          <t>PO100461</t>
        </is>
      </c>
      <c r="B856" s="43" t="inlineStr">
        <is>
          <t>CMD-0021</t>
        </is>
      </c>
      <c r="C856" s="43" t="inlineStr">
        <is>
          <t>S04</t>
        </is>
      </c>
      <c r="D856" s="47" t="n">
        <v>45864</v>
      </c>
      <c r="E856" s="47" t="n">
        <v>45934</v>
      </c>
      <c r="F856" s="47" t="n">
        <v>45932</v>
      </c>
      <c r="G856" s="46" t="n">
        <v>986</v>
      </c>
      <c r="H856" s="46" t="n">
        <v>986</v>
      </c>
      <c r="I856" s="46" t="n">
        <v>14</v>
      </c>
      <c r="J856" s="44" t="n">
        <v>4.94</v>
      </c>
      <c r="K856" s="43" t="inlineStr">
        <is>
          <t>Received</t>
        </is>
      </c>
      <c r="L856" s="17">
        <f>INDEX(Items!$C$2:$C$117,MATCH(B856,Items!$A$2:$A$117,0))</f>
        <v/>
      </c>
      <c r="M856" s="49">
        <f>INDEX(Items!$E$2:$E$117,MATCH(B856,Items!$A$2:$A$117,0))</f>
        <v/>
      </c>
      <c r="N856" s="17">
        <f>TEXT(D856,"yyyy-mm")</f>
        <v/>
      </c>
      <c r="O856" s="50">
        <f>G856*J856</f>
        <v/>
      </c>
      <c r="P856" s="50">
        <f>(J856-M856)*G856</f>
        <v/>
      </c>
      <c r="Q856" s="51">
        <f>IF(K856="Received",1,0)</f>
        <v/>
      </c>
      <c r="R856" s="51">
        <f>IF(Q856=1,F856-D856,0)</f>
        <v/>
      </c>
      <c r="S856" s="51">
        <f>IF(Q856=1,IF(F856&lt;=E856,1,0),0)</f>
        <v/>
      </c>
      <c r="T856" s="51">
        <f>IF(Q856=1,IF(H856&gt;=G856,1,0),0)</f>
        <v/>
      </c>
      <c r="U856" s="51">
        <f>S856*T856</f>
        <v/>
      </c>
      <c r="V856" s="51">
        <f>IF(Q856=1,MAX(0,F856-E856),0)</f>
        <v/>
      </c>
    </row>
    <row r="857">
      <c r="A857" s="43" t="inlineStr">
        <is>
          <t>PO100419</t>
        </is>
      </c>
      <c r="B857" s="43" t="inlineStr">
        <is>
          <t>CMD-0019</t>
        </is>
      </c>
      <c r="C857" s="43" t="inlineStr">
        <is>
          <t>S11</t>
        </is>
      </c>
      <c r="D857" s="47" t="n">
        <v>45864</v>
      </c>
      <c r="E857" s="47" t="n">
        <v>45941</v>
      </c>
      <c r="F857" s="47" t="n">
        <v>45941</v>
      </c>
      <c r="G857" s="46" t="n">
        <v>923</v>
      </c>
      <c r="H857" s="46" t="n">
        <v>923</v>
      </c>
      <c r="I857" s="46" t="n">
        <v>2</v>
      </c>
      <c r="J857" s="44" t="n">
        <v>7.25</v>
      </c>
      <c r="K857" s="43" t="inlineStr">
        <is>
          <t>Received</t>
        </is>
      </c>
      <c r="L857" s="17">
        <f>INDEX(Items!$C$2:$C$117,MATCH(B857,Items!$A$2:$A$117,0))</f>
        <v/>
      </c>
      <c r="M857" s="49">
        <f>INDEX(Items!$E$2:$E$117,MATCH(B857,Items!$A$2:$A$117,0))</f>
        <v/>
      </c>
      <c r="N857" s="17">
        <f>TEXT(D857,"yyyy-mm")</f>
        <v/>
      </c>
      <c r="O857" s="50">
        <f>G857*J857</f>
        <v/>
      </c>
      <c r="P857" s="50">
        <f>(J857-M857)*G857</f>
        <v/>
      </c>
      <c r="Q857" s="51">
        <f>IF(K857="Received",1,0)</f>
        <v/>
      </c>
      <c r="R857" s="51">
        <f>IF(Q857=1,F857-D857,0)</f>
        <v/>
      </c>
      <c r="S857" s="51">
        <f>IF(Q857=1,IF(F857&lt;=E857,1,0),0)</f>
        <v/>
      </c>
      <c r="T857" s="51">
        <f>IF(Q857=1,IF(H857&gt;=G857,1,0),0)</f>
        <v/>
      </c>
      <c r="U857" s="51">
        <f>S857*T857</f>
        <v/>
      </c>
      <c r="V857" s="51">
        <f>IF(Q857=1,MAX(0,F857-E857),0)</f>
        <v/>
      </c>
    </row>
    <row r="858">
      <c r="A858" s="43" t="inlineStr">
        <is>
          <t>PO101793</t>
        </is>
      </c>
      <c r="B858" s="43" t="inlineStr">
        <is>
          <t>CMD-0097</t>
        </is>
      </c>
      <c r="C858" s="43" t="inlineStr">
        <is>
          <t>S09</t>
        </is>
      </c>
      <c r="D858" s="47" t="n">
        <v>45865</v>
      </c>
      <c r="E858" s="47" t="n">
        <v>45886</v>
      </c>
      <c r="F858" s="47" t="n">
        <v>45886</v>
      </c>
      <c r="G858" s="46" t="n">
        <v>498</v>
      </c>
      <c r="H858" s="46" t="n">
        <v>498</v>
      </c>
      <c r="I858" s="46" t="n">
        <v>2</v>
      </c>
      <c r="J858" s="44" t="n">
        <v>9.27</v>
      </c>
      <c r="K858" s="43" t="inlineStr">
        <is>
          <t>Received</t>
        </is>
      </c>
      <c r="L858" s="17">
        <f>INDEX(Items!$C$2:$C$117,MATCH(B858,Items!$A$2:$A$117,0))</f>
        <v/>
      </c>
      <c r="M858" s="49">
        <f>INDEX(Items!$E$2:$E$117,MATCH(B858,Items!$A$2:$A$117,0))</f>
        <v/>
      </c>
      <c r="N858" s="17">
        <f>TEXT(D858,"yyyy-mm")</f>
        <v/>
      </c>
      <c r="O858" s="50">
        <f>G858*J858</f>
        <v/>
      </c>
      <c r="P858" s="50">
        <f>(J858-M858)*G858</f>
        <v/>
      </c>
      <c r="Q858" s="51">
        <f>IF(K858="Received",1,0)</f>
        <v/>
      </c>
      <c r="R858" s="51">
        <f>IF(Q858=1,F858-D858,0)</f>
        <v/>
      </c>
      <c r="S858" s="51">
        <f>IF(Q858=1,IF(F858&lt;=E858,1,0),0)</f>
        <v/>
      </c>
      <c r="T858" s="51">
        <f>IF(Q858=1,IF(H858&gt;=G858,1,0),0)</f>
        <v/>
      </c>
      <c r="U858" s="51">
        <f>S858*T858</f>
        <v/>
      </c>
      <c r="V858" s="51">
        <f>IF(Q858=1,MAX(0,F858-E858),0)</f>
        <v/>
      </c>
    </row>
    <row r="859">
      <c r="A859" s="43" t="inlineStr">
        <is>
          <t>PO101373</t>
        </is>
      </c>
      <c r="B859" s="43" t="inlineStr">
        <is>
          <t>CMD-0070</t>
        </is>
      </c>
      <c r="C859" s="43" t="inlineStr">
        <is>
          <t>S04</t>
        </is>
      </c>
      <c r="D859" s="47" t="n">
        <v>45868</v>
      </c>
      <c r="E859" s="47" t="n">
        <v>45903</v>
      </c>
      <c r="F859" s="47" t="n">
        <v>45900</v>
      </c>
      <c r="G859" s="46" t="n">
        <v>49824</v>
      </c>
      <c r="H859" s="46" t="n">
        <v>49824</v>
      </c>
      <c r="I859" s="46" t="n">
        <v>481</v>
      </c>
      <c r="J859" s="44" t="n">
        <v>0.141</v>
      </c>
      <c r="K859" s="43" t="inlineStr">
        <is>
          <t>Received</t>
        </is>
      </c>
      <c r="L859" s="17">
        <f>INDEX(Items!$C$2:$C$117,MATCH(B859,Items!$A$2:$A$117,0))</f>
        <v/>
      </c>
      <c r="M859" s="49">
        <f>INDEX(Items!$E$2:$E$117,MATCH(B859,Items!$A$2:$A$117,0))</f>
        <v/>
      </c>
      <c r="N859" s="17">
        <f>TEXT(D859,"yyyy-mm")</f>
        <v/>
      </c>
      <c r="O859" s="50">
        <f>G859*J859</f>
        <v/>
      </c>
      <c r="P859" s="50">
        <f>(J859-M859)*G859</f>
        <v/>
      </c>
      <c r="Q859" s="51">
        <f>IF(K859="Received",1,0)</f>
        <v/>
      </c>
      <c r="R859" s="51">
        <f>IF(Q859=1,F859-D859,0)</f>
        <v/>
      </c>
      <c r="S859" s="51">
        <f>IF(Q859=1,IF(F859&lt;=E859,1,0),0)</f>
        <v/>
      </c>
      <c r="T859" s="51">
        <f>IF(Q859=1,IF(H859&gt;=G859,1,0),0)</f>
        <v/>
      </c>
      <c r="U859" s="51">
        <f>S859*T859</f>
        <v/>
      </c>
      <c r="V859" s="51">
        <f>IF(Q859=1,MAX(0,F859-E859),0)</f>
        <v/>
      </c>
    </row>
    <row r="860">
      <c r="A860" s="43" t="inlineStr">
        <is>
          <t>PO101350</t>
        </is>
      </c>
      <c r="B860" s="43" t="inlineStr">
        <is>
          <t>CMD-0068</t>
        </is>
      </c>
      <c r="C860" s="43" t="inlineStr">
        <is>
          <t>S01</t>
        </is>
      </c>
      <c r="D860" s="47" t="n">
        <v>45869</v>
      </c>
      <c r="E860" s="47" t="n">
        <v>45890</v>
      </c>
      <c r="F860" s="47" t="n">
        <v>45887</v>
      </c>
      <c r="G860" s="46" t="n">
        <v>34197</v>
      </c>
      <c r="H860" s="46" t="n">
        <v>34197</v>
      </c>
      <c r="I860" s="46" t="n">
        <v>64</v>
      </c>
      <c r="J860" s="44" t="n">
        <v>0.1562</v>
      </c>
      <c r="K860" s="43" t="inlineStr">
        <is>
          <t>Received</t>
        </is>
      </c>
      <c r="L860" s="17">
        <f>INDEX(Items!$C$2:$C$117,MATCH(B860,Items!$A$2:$A$117,0))</f>
        <v/>
      </c>
      <c r="M860" s="49">
        <f>INDEX(Items!$E$2:$E$117,MATCH(B860,Items!$A$2:$A$117,0))</f>
        <v/>
      </c>
      <c r="N860" s="17">
        <f>TEXT(D860,"yyyy-mm")</f>
        <v/>
      </c>
      <c r="O860" s="50">
        <f>G860*J860</f>
        <v/>
      </c>
      <c r="P860" s="50">
        <f>(J860-M860)*G860</f>
        <v/>
      </c>
      <c r="Q860" s="51">
        <f>IF(K860="Received",1,0)</f>
        <v/>
      </c>
      <c r="R860" s="51">
        <f>IF(Q860=1,F860-D860,0)</f>
        <v/>
      </c>
      <c r="S860" s="51">
        <f>IF(Q860=1,IF(F860&lt;=E860,1,0),0)</f>
        <v/>
      </c>
      <c r="T860" s="51">
        <f>IF(Q860=1,IF(H860&gt;=G860,1,0),0)</f>
        <v/>
      </c>
      <c r="U860" s="51">
        <f>S860*T860</f>
        <v/>
      </c>
      <c r="V860" s="51">
        <f>IF(Q860=1,MAX(0,F860-E860),0)</f>
        <v/>
      </c>
    </row>
    <row r="861">
      <c r="A861" s="43" t="inlineStr">
        <is>
          <t>PO101039</t>
        </is>
      </c>
      <c r="B861" s="43" t="inlineStr">
        <is>
          <t>CMD-0047</t>
        </is>
      </c>
      <c r="C861" s="43" t="inlineStr">
        <is>
          <t>S04</t>
        </is>
      </c>
      <c r="D861" s="47" t="n">
        <v>45872</v>
      </c>
      <c r="E861" s="47" t="n">
        <v>45907</v>
      </c>
      <c r="F861" s="47" t="n">
        <v>45907</v>
      </c>
      <c r="G861" s="46" t="n">
        <v>21367</v>
      </c>
      <c r="H861" s="46" t="n">
        <v>21367</v>
      </c>
      <c r="I861" s="46" t="n">
        <v>216</v>
      </c>
      <c r="J861" s="44" t="n">
        <v>0.296</v>
      </c>
      <c r="K861" s="43" t="inlineStr">
        <is>
          <t>Received</t>
        </is>
      </c>
      <c r="L861" s="17">
        <f>INDEX(Items!$C$2:$C$117,MATCH(B861,Items!$A$2:$A$117,0))</f>
        <v/>
      </c>
      <c r="M861" s="49">
        <f>INDEX(Items!$E$2:$E$117,MATCH(B861,Items!$A$2:$A$117,0))</f>
        <v/>
      </c>
      <c r="N861" s="17">
        <f>TEXT(D861,"yyyy-mm")</f>
        <v/>
      </c>
      <c r="O861" s="50">
        <f>G861*J861</f>
        <v/>
      </c>
      <c r="P861" s="50">
        <f>(J861-M861)*G861</f>
        <v/>
      </c>
      <c r="Q861" s="51">
        <f>IF(K861="Received",1,0)</f>
        <v/>
      </c>
      <c r="R861" s="51">
        <f>IF(Q861=1,F861-D861,0)</f>
        <v/>
      </c>
      <c r="S861" s="51">
        <f>IF(Q861=1,IF(F861&lt;=E861,1,0),0)</f>
        <v/>
      </c>
      <c r="T861" s="51">
        <f>IF(Q861=1,IF(H861&gt;=G861,1,0),0)</f>
        <v/>
      </c>
      <c r="U861" s="51">
        <f>S861*T861</f>
        <v/>
      </c>
      <c r="V861" s="51">
        <f>IF(Q861=1,MAX(0,F861-E861),0)</f>
        <v/>
      </c>
    </row>
    <row r="862">
      <c r="A862" s="43" t="inlineStr">
        <is>
          <t>PO100482</t>
        </is>
      </c>
      <c r="B862" s="43" t="inlineStr">
        <is>
          <t>CMD-0022</t>
        </is>
      </c>
      <c r="C862" s="43" t="inlineStr">
        <is>
          <t>S02</t>
        </is>
      </c>
      <c r="D862" s="47" t="n">
        <v>45876</v>
      </c>
      <c r="E862" s="47" t="n">
        <v>45932</v>
      </c>
      <c r="F862" s="47" t="n">
        <v>45931</v>
      </c>
      <c r="G862" s="46" t="n">
        <v>4105</v>
      </c>
      <c r="H862" s="46" t="n">
        <v>4105</v>
      </c>
      <c r="I862" s="46" t="n">
        <v>13</v>
      </c>
      <c r="J862" s="44" t="n">
        <v>17.18</v>
      </c>
      <c r="K862" s="43" t="inlineStr">
        <is>
          <t>Received</t>
        </is>
      </c>
      <c r="L862" s="17">
        <f>INDEX(Items!$C$2:$C$117,MATCH(B862,Items!$A$2:$A$117,0))</f>
        <v/>
      </c>
      <c r="M862" s="49">
        <f>INDEX(Items!$E$2:$E$117,MATCH(B862,Items!$A$2:$A$117,0))</f>
        <v/>
      </c>
      <c r="N862" s="17">
        <f>TEXT(D862,"yyyy-mm")</f>
        <v/>
      </c>
      <c r="O862" s="50">
        <f>G862*J862</f>
        <v/>
      </c>
      <c r="P862" s="50">
        <f>(J862-M862)*G862</f>
        <v/>
      </c>
      <c r="Q862" s="51">
        <f>IF(K862="Received",1,0)</f>
        <v/>
      </c>
      <c r="R862" s="51">
        <f>IF(Q862=1,F862-D862,0)</f>
        <v/>
      </c>
      <c r="S862" s="51">
        <f>IF(Q862=1,IF(F862&lt;=E862,1,0),0)</f>
        <v/>
      </c>
      <c r="T862" s="51">
        <f>IF(Q862=1,IF(H862&gt;=G862,1,0),0)</f>
        <v/>
      </c>
      <c r="U862" s="51">
        <f>S862*T862</f>
        <v/>
      </c>
      <c r="V862" s="51">
        <f>IF(Q862=1,MAX(0,F862-E862),0)</f>
        <v/>
      </c>
    </row>
    <row r="863">
      <c r="A863" s="43" t="inlineStr">
        <is>
          <t>PO100756</t>
        </is>
      </c>
      <c r="B863" s="43" t="inlineStr">
        <is>
          <t>CMD-0034</t>
        </is>
      </c>
      <c r="C863" s="43" t="inlineStr">
        <is>
          <t>S04</t>
        </is>
      </c>
      <c r="D863" s="47" t="n">
        <v>45876</v>
      </c>
      <c r="E863" s="47" t="n">
        <v>45918</v>
      </c>
      <c r="F863" s="47" t="n">
        <v>45923</v>
      </c>
      <c r="G863" s="46" t="n">
        <v>731</v>
      </c>
      <c r="H863" s="46" t="n">
        <v>731</v>
      </c>
      <c r="I863" s="46" t="n">
        <v>8</v>
      </c>
      <c r="J863" s="44" t="n">
        <v>10.55</v>
      </c>
      <c r="K863" s="43" t="inlineStr">
        <is>
          <t>Received</t>
        </is>
      </c>
      <c r="L863" s="17">
        <f>INDEX(Items!$C$2:$C$117,MATCH(B863,Items!$A$2:$A$117,0))</f>
        <v/>
      </c>
      <c r="M863" s="49">
        <f>INDEX(Items!$E$2:$E$117,MATCH(B863,Items!$A$2:$A$117,0))</f>
        <v/>
      </c>
      <c r="N863" s="17">
        <f>TEXT(D863,"yyyy-mm")</f>
        <v/>
      </c>
      <c r="O863" s="50">
        <f>G863*J863</f>
        <v/>
      </c>
      <c r="P863" s="50">
        <f>(J863-M863)*G863</f>
        <v/>
      </c>
      <c r="Q863" s="51">
        <f>IF(K863="Received",1,0)</f>
        <v/>
      </c>
      <c r="R863" s="51">
        <f>IF(Q863=1,F863-D863,0)</f>
        <v/>
      </c>
      <c r="S863" s="51">
        <f>IF(Q863=1,IF(F863&lt;=E863,1,0),0)</f>
        <v/>
      </c>
      <c r="T863" s="51">
        <f>IF(Q863=1,IF(H863&gt;=G863,1,0),0)</f>
        <v/>
      </c>
      <c r="U863" s="51">
        <f>S863*T863</f>
        <v/>
      </c>
      <c r="V863" s="51">
        <f>IF(Q863=1,MAX(0,F863-E863),0)</f>
        <v/>
      </c>
    </row>
    <row r="864">
      <c r="A864" s="43" t="inlineStr">
        <is>
          <t>PO101514</t>
        </is>
      </c>
      <c r="B864" s="43" t="inlineStr">
        <is>
          <t>CMD-0080</t>
        </is>
      </c>
      <c r="C864" s="43" t="inlineStr">
        <is>
          <t>S06</t>
        </is>
      </c>
      <c r="D864" s="47" t="n">
        <v>45876</v>
      </c>
      <c r="E864" s="47" t="n">
        <v>45897</v>
      </c>
      <c r="F864" s="47" t="n">
        <v>45895</v>
      </c>
      <c r="G864" s="46" t="n">
        <v>4559</v>
      </c>
      <c r="H864" s="46" t="n">
        <v>4559</v>
      </c>
      <c r="I864" s="46" t="n">
        <v>24</v>
      </c>
      <c r="J864" s="44" t="n">
        <v>5.53</v>
      </c>
      <c r="K864" s="43" t="inlineStr">
        <is>
          <t>Received</t>
        </is>
      </c>
      <c r="L864" s="17">
        <f>INDEX(Items!$C$2:$C$117,MATCH(B864,Items!$A$2:$A$117,0))</f>
        <v/>
      </c>
      <c r="M864" s="49">
        <f>INDEX(Items!$E$2:$E$117,MATCH(B864,Items!$A$2:$A$117,0))</f>
        <v/>
      </c>
      <c r="N864" s="17">
        <f>TEXT(D864,"yyyy-mm")</f>
        <v/>
      </c>
      <c r="O864" s="50">
        <f>G864*J864</f>
        <v/>
      </c>
      <c r="P864" s="50">
        <f>(J864-M864)*G864</f>
        <v/>
      </c>
      <c r="Q864" s="51">
        <f>IF(K864="Received",1,0)</f>
        <v/>
      </c>
      <c r="R864" s="51">
        <f>IF(Q864=1,F864-D864,0)</f>
        <v/>
      </c>
      <c r="S864" s="51">
        <f>IF(Q864=1,IF(F864&lt;=E864,1,0),0)</f>
        <v/>
      </c>
      <c r="T864" s="51">
        <f>IF(Q864=1,IF(H864&gt;=G864,1,0),0)</f>
        <v/>
      </c>
      <c r="U864" s="51">
        <f>S864*T864</f>
        <v/>
      </c>
      <c r="V864" s="51">
        <f>IF(Q864=1,MAX(0,F864-E864),0)</f>
        <v/>
      </c>
    </row>
    <row r="865">
      <c r="A865" s="43" t="inlineStr">
        <is>
          <t>PO101542</t>
        </is>
      </c>
      <c r="B865" s="43" t="inlineStr">
        <is>
          <t>CMD-0082</t>
        </is>
      </c>
      <c r="C865" s="43" t="inlineStr">
        <is>
          <t>S01</t>
        </is>
      </c>
      <c r="D865" s="47" t="n">
        <v>45876</v>
      </c>
      <c r="E865" s="47" t="n">
        <v>45890</v>
      </c>
      <c r="F865" s="47" t="n">
        <v>45888</v>
      </c>
      <c r="G865" s="46" t="n">
        <v>8281</v>
      </c>
      <c r="H865" s="46" t="n">
        <v>8281</v>
      </c>
      <c r="I865" s="46" t="n">
        <v>17</v>
      </c>
      <c r="J865" s="44" t="n">
        <v>2.32</v>
      </c>
      <c r="K865" s="43" t="inlineStr">
        <is>
          <t>Received</t>
        </is>
      </c>
      <c r="L865" s="17">
        <f>INDEX(Items!$C$2:$C$117,MATCH(B865,Items!$A$2:$A$117,0))</f>
        <v/>
      </c>
      <c r="M865" s="49">
        <f>INDEX(Items!$E$2:$E$117,MATCH(B865,Items!$A$2:$A$117,0))</f>
        <v/>
      </c>
      <c r="N865" s="17">
        <f>TEXT(D865,"yyyy-mm")</f>
        <v/>
      </c>
      <c r="O865" s="50">
        <f>G865*J865</f>
        <v/>
      </c>
      <c r="P865" s="50">
        <f>(J865-M865)*G865</f>
        <v/>
      </c>
      <c r="Q865" s="51">
        <f>IF(K865="Received",1,0)</f>
        <v/>
      </c>
      <c r="R865" s="51">
        <f>IF(Q865=1,F865-D865,0)</f>
        <v/>
      </c>
      <c r="S865" s="51">
        <f>IF(Q865=1,IF(F865&lt;=E865,1,0),0)</f>
        <v/>
      </c>
      <c r="T865" s="51">
        <f>IF(Q865=1,IF(H865&gt;=G865,1,0),0)</f>
        <v/>
      </c>
      <c r="U865" s="51">
        <f>S865*T865</f>
        <v/>
      </c>
      <c r="V865" s="51">
        <f>IF(Q865=1,MAX(0,F865-E865),0)</f>
        <v/>
      </c>
    </row>
    <row r="866">
      <c r="A866" s="43" t="inlineStr">
        <is>
          <t>PO101016</t>
        </is>
      </c>
      <c r="B866" s="43" t="inlineStr">
        <is>
          <t>CMD-0046</t>
        </is>
      </c>
      <c r="C866" s="43" t="inlineStr">
        <is>
          <t>S05</t>
        </is>
      </c>
      <c r="D866" s="47" t="n">
        <v>45876</v>
      </c>
      <c r="E866" s="47" t="n">
        <v>45981</v>
      </c>
      <c r="F866" s="47" t="n">
        <v>45992</v>
      </c>
      <c r="G866" s="46" t="n">
        <v>9506</v>
      </c>
      <c r="H866" s="46" t="n">
        <v>9506</v>
      </c>
      <c r="I866" s="46" t="n">
        <v>173</v>
      </c>
      <c r="J866" s="44" t="n">
        <v>10.57</v>
      </c>
      <c r="K866" s="43" t="inlineStr">
        <is>
          <t>Received</t>
        </is>
      </c>
      <c r="L866" s="17">
        <f>INDEX(Items!$C$2:$C$117,MATCH(B866,Items!$A$2:$A$117,0))</f>
        <v/>
      </c>
      <c r="M866" s="49">
        <f>INDEX(Items!$E$2:$E$117,MATCH(B866,Items!$A$2:$A$117,0))</f>
        <v/>
      </c>
      <c r="N866" s="17">
        <f>TEXT(D866,"yyyy-mm")</f>
        <v/>
      </c>
      <c r="O866" s="50">
        <f>G866*J866</f>
        <v/>
      </c>
      <c r="P866" s="50">
        <f>(J866-M866)*G866</f>
        <v/>
      </c>
      <c r="Q866" s="51">
        <f>IF(K866="Received",1,0)</f>
        <v/>
      </c>
      <c r="R866" s="51">
        <f>IF(Q866=1,F866-D866,0)</f>
        <v/>
      </c>
      <c r="S866" s="51">
        <f>IF(Q866=1,IF(F866&lt;=E866,1,0),0)</f>
        <v/>
      </c>
      <c r="T866" s="51">
        <f>IF(Q866=1,IF(H866&gt;=G866,1,0),0)</f>
        <v/>
      </c>
      <c r="U866" s="51">
        <f>S866*T866</f>
        <v/>
      </c>
      <c r="V866" s="51">
        <f>IF(Q866=1,MAX(0,F866-E866),0)</f>
        <v/>
      </c>
    </row>
    <row r="867">
      <c r="A867" s="43" t="inlineStr">
        <is>
          <t>PO100626</t>
        </is>
      </c>
      <c r="B867" s="43" t="inlineStr">
        <is>
          <t>CMD-0028</t>
        </is>
      </c>
      <c r="C867" s="43" t="inlineStr">
        <is>
          <t>S11</t>
        </is>
      </c>
      <c r="D867" s="47" t="n">
        <v>45876</v>
      </c>
      <c r="E867" s="47" t="n">
        <v>45953</v>
      </c>
      <c r="F867" s="47" t="n">
        <v>45951</v>
      </c>
      <c r="G867" s="46" t="n">
        <v>3622</v>
      </c>
      <c r="H867" s="46" t="n">
        <v>3622</v>
      </c>
      <c r="I867" s="46" t="n">
        <v>5</v>
      </c>
      <c r="J867" s="44" t="n">
        <v>15.84</v>
      </c>
      <c r="K867" s="43" t="inlineStr">
        <is>
          <t>Received</t>
        </is>
      </c>
      <c r="L867" s="17">
        <f>INDEX(Items!$C$2:$C$117,MATCH(B867,Items!$A$2:$A$117,0))</f>
        <v/>
      </c>
      <c r="M867" s="49">
        <f>INDEX(Items!$E$2:$E$117,MATCH(B867,Items!$A$2:$A$117,0))</f>
        <v/>
      </c>
      <c r="N867" s="17">
        <f>TEXT(D867,"yyyy-mm")</f>
        <v/>
      </c>
      <c r="O867" s="50">
        <f>G867*J867</f>
        <v/>
      </c>
      <c r="P867" s="50">
        <f>(J867-M867)*G867</f>
        <v/>
      </c>
      <c r="Q867" s="51">
        <f>IF(K867="Received",1,0)</f>
        <v/>
      </c>
      <c r="R867" s="51">
        <f>IF(Q867=1,F867-D867,0)</f>
        <v/>
      </c>
      <c r="S867" s="51">
        <f>IF(Q867=1,IF(F867&lt;=E867,1,0),0)</f>
        <v/>
      </c>
      <c r="T867" s="51">
        <f>IF(Q867=1,IF(H867&gt;=G867,1,0),0)</f>
        <v/>
      </c>
      <c r="U867" s="51">
        <f>S867*T867</f>
        <v/>
      </c>
      <c r="V867" s="51">
        <f>IF(Q867=1,MAX(0,F867-E867),0)</f>
        <v/>
      </c>
    </row>
    <row r="868">
      <c r="A868" s="43" t="inlineStr">
        <is>
          <t>PO101830</t>
        </is>
      </c>
      <c r="B868" s="43" t="inlineStr">
        <is>
          <t>CMD-0100</t>
        </is>
      </c>
      <c r="C868" s="43" t="inlineStr">
        <is>
          <t>S09</t>
        </is>
      </c>
      <c r="D868" s="47" t="n">
        <v>45876</v>
      </c>
      <c r="E868" s="47" t="n">
        <v>45897</v>
      </c>
      <c r="F868" s="47" t="n">
        <v>45894</v>
      </c>
      <c r="G868" s="46" t="n">
        <v>5957</v>
      </c>
      <c r="H868" s="46" t="n">
        <v>5957</v>
      </c>
      <c r="I868" s="46" t="n">
        <v>15</v>
      </c>
      <c r="J868" s="44" t="n">
        <v>4.94</v>
      </c>
      <c r="K868" s="43" t="inlineStr">
        <is>
          <t>Received</t>
        </is>
      </c>
      <c r="L868" s="17">
        <f>INDEX(Items!$C$2:$C$117,MATCH(B868,Items!$A$2:$A$117,0))</f>
        <v/>
      </c>
      <c r="M868" s="49">
        <f>INDEX(Items!$E$2:$E$117,MATCH(B868,Items!$A$2:$A$117,0))</f>
        <v/>
      </c>
      <c r="N868" s="17">
        <f>TEXT(D868,"yyyy-mm")</f>
        <v/>
      </c>
      <c r="O868" s="50">
        <f>G868*J868</f>
        <v/>
      </c>
      <c r="P868" s="50">
        <f>(J868-M868)*G868</f>
        <v/>
      </c>
      <c r="Q868" s="51">
        <f>IF(K868="Received",1,0)</f>
        <v/>
      </c>
      <c r="R868" s="51">
        <f>IF(Q868=1,F868-D868,0)</f>
        <v/>
      </c>
      <c r="S868" s="51">
        <f>IF(Q868=1,IF(F868&lt;=E868,1,0),0)</f>
        <v/>
      </c>
      <c r="T868" s="51">
        <f>IF(Q868=1,IF(H868&gt;=G868,1,0),0)</f>
        <v/>
      </c>
      <c r="U868" s="51">
        <f>S868*T868</f>
        <v/>
      </c>
      <c r="V868" s="51">
        <f>IF(Q868=1,MAX(0,F868-E868),0)</f>
        <v/>
      </c>
    </row>
    <row r="869">
      <c r="A869" s="43" t="inlineStr">
        <is>
          <t>PO101772</t>
        </is>
      </c>
      <c r="B869" s="43" t="inlineStr">
        <is>
          <t>CMD-0096</t>
        </is>
      </c>
      <c r="C869" s="43" t="inlineStr">
        <is>
          <t>S09</t>
        </is>
      </c>
      <c r="D869" s="47" t="n">
        <v>45876</v>
      </c>
      <c r="E869" s="47" t="n">
        <v>45897</v>
      </c>
      <c r="F869" s="47" t="n">
        <v>45896</v>
      </c>
      <c r="G869" s="46" t="n">
        <v>818</v>
      </c>
      <c r="H869" s="46" t="n">
        <v>818</v>
      </c>
      <c r="I869" s="46" t="n">
        <v>1</v>
      </c>
      <c r="J869" s="44" t="n">
        <v>6.42</v>
      </c>
      <c r="K869" s="43" t="inlineStr">
        <is>
          <t>Received</t>
        </is>
      </c>
      <c r="L869" s="17">
        <f>INDEX(Items!$C$2:$C$117,MATCH(B869,Items!$A$2:$A$117,0))</f>
        <v/>
      </c>
      <c r="M869" s="49">
        <f>INDEX(Items!$E$2:$E$117,MATCH(B869,Items!$A$2:$A$117,0))</f>
        <v/>
      </c>
      <c r="N869" s="17">
        <f>TEXT(D869,"yyyy-mm")</f>
        <v/>
      </c>
      <c r="O869" s="50">
        <f>G869*J869</f>
        <v/>
      </c>
      <c r="P869" s="50">
        <f>(J869-M869)*G869</f>
        <v/>
      </c>
      <c r="Q869" s="51">
        <f>IF(K869="Received",1,0)</f>
        <v/>
      </c>
      <c r="R869" s="51">
        <f>IF(Q869=1,F869-D869,0)</f>
        <v/>
      </c>
      <c r="S869" s="51">
        <f>IF(Q869=1,IF(F869&lt;=E869,1,0),0)</f>
        <v/>
      </c>
      <c r="T869" s="51">
        <f>IF(Q869=1,IF(H869&gt;=G869,1,0),0)</f>
        <v/>
      </c>
      <c r="U869" s="51">
        <f>S869*T869</f>
        <v/>
      </c>
      <c r="V869" s="51">
        <f>IF(Q869=1,MAX(0,F869-E869),0)</f>
        <v/>
      </c>
    </row>
    <row r="870">
      <c r="A870" s="43" t="inlineStr">
        <is>
          <t>PO100130</t>
        </is>
      </c>
      <c r="B870" s="43" t="inlineStr">
        <is>
          <t>CMD-0006</t>
        </is>
      </c>
      <c r="C870" s="43" t="inlineStr">
        <is>
          <t>S03</t>
        </is>
      </c>
      <c r="D870" s="47" t="n">
        <v>45876</v>
      </c>
      <c r="E870" s="47" t="n">
        <v>46009</v>
      </c>
      <c r="F870" s="47" t="n">
        <v>46008</v>
      </c>
      <c r="G870" s="46" t="n">
        <v>651</v>
      </c>
      <c r="H870" s="46" t="n">
        <v>651</v>
      </c>
      <c r="I870" s="46" t="n">
        <v>4</v>
      </c>
      <c r="J870" s="44" t="n">
        <v>36.049</v>
      </c>
      <c r="K870" s="43" t="inlineStr">
        <is>
          <t>Received</t>
        </is>
      </c>
      <c r="L870" s="17">
        <f>INDEX(Items!$C$2:$C$117,MATCH(B870,Items!$A$2:$A$117,0))</f>
        <v/>
      </c>
      <c r="M870" s="49">
        <f>INDEX(Items!$E$2:$E$117,MATCH(B870,Items!$A$2:$A$117,0))</f>
        <v/>
      </c>
      <c r="N870" s="17">
        <f>TEXT(D870,"yyyy-mm")</f>
        <v/>
      </c>
      <c r="O870" s="50">
        <f>G870*J870</f>
        <v/>
      </c>
      <c r="P870" s="50">
        <f>(J870-M870)*G870</f>
        <v/>
      </c>
      <c r="Q870" s="51">
        <f>IF(K870="Received",1,0)</f>
        <v/>
      </c>
      <c r="R870" s="51">
        <f>IF(Q870=1,F870-D870,0)</f>
        <v/>
      </c>
      <c r="S870" s="51">
        <f>IF(Q870=1,IF(F870&lt;=E870,1,0),0)</f>
        <v/>
      </c>
      <c r="T870" s="51">
        <f>IF(Q870=1,IF(H870&gt;=G870,1,0),0)</f>
        <v/>
      </c>
      <c r="U870" s="51">
        <f>S870*T870</f>
        <v/>
      </c>
      <c r="V870" s="51">
        <f>IF(Q870=1,MAX(0,F870-E870),0)</f>
        <v/>
      </c>
    </row>
    <row r="871">
      <c r="A871" s="43" t="inlineStr">
        <is>
          <t>PO101942</t>
        </is>
      </c>
      <c r="B871" s="43" t="inlineStr">
        <is>
          <t>CMD-0107</t>
        </is>
      </c>
      <c r="C871" s="43" t="inlineStr">
        <is>
          <t>S09</t>
        </is>
      </c>
      <c r="D871" s="47" t="n">
        <v>45877</v>
      </c>
      <c r="E871" s="47" t="n">
        <v>45898</v>
      </c>
      <c r="F871" s="47" t="n">
        <v>45896</v>
      </c>
      <c r="G871" s="46" t="n">
        <v>1128</v>
      </c>
      <c r="H871" s="46" t="n">
        <v>1128</v>
      </c>
      <c r="I871" s="46" t="n">
        <v>7</v>
      </c>
      <c r="J871" s="44" t="n">
        <v>6.95</v>
      </c>
      <c r="K871" s="43" t="inlineStr">
        <is>
          <t>Received</t>
        </is>
      </c>
      <c r="L871" s="17">
        <f>INDEX(Items!$C$2:$C$117,MATCH(B871,Items!$A$2:$A$117,0))</f>
        <v/>
      </c>
      <c r="M871" s="49">
        <f>INDEX(Items!$E$2:$E$117,MATCH(B871,Items!$A$2:$A$117,0))</f>
        <v/>
      </c>
      <c r="N871" s="17">
        <f>TEXT(D871,"yyyy-mm")</f>
        <v/>
      </c>
      <c r="O871" s="50">
        <f>G871*J871</f>
        <v/>
      </c>
      <c r="P871" s="50">
        <f>(J871-M871)*G871</f>
        <v/>
      </c>
      <c r="Q871" s="51">
        <f>IF(K871="Received",1,0)</f>
        <v/>
      </c>
      <c r="R871" s="51">
        <f>IF(Q871=1,F871-D871,0)</f>
        <v/>
      </c>
      <c r="S871" s="51">
        <f>IF(Q871=1,IF(F871&lt;=E871,1,0),0)</f>
        <v/>
      </c>
      <c r="T871" s="51">
        <f>IF(Q871=1,IF(H871&gt;=G871,1,0),0)</f>
        <v/>
      </c>
      <c r="U871" s="51">
        <f>S871*T871</f>
        <v/>
      </c>
      <c r="V871" s="51">
        <f>IF(Q871=1,MAX(0,F871-E871),0)</f>
        <v/>
      </c>
    </row>
    <row r="872">
      <c r="A872" s="43" t="inlineStr">
        <is>
          <t>PO100578</t>
        </is>
      </c>
      <c r="B872" s="43" t="inlineStr">
        <is>
          <t>CMD-0026</t>
        </is>
      </c>
      <c r="C872" s="43" t="inlineStr">
        <is>
          <t>S04</t>
        </is>
      </c>
      <c r="D872" s="47" t="n">
        <v>45877</v>
      </c>
      <c r="E872" s="47" t="n">
        <v>45947</v>
      </c>
      <c r="F872" s="47" t="n">
        <v>45967</v>
      </c>
      <c r="G872" s="46" t="n">
        <v>7910</v>
      </c>
      <c r="H872" s="46" t="n">
        <v>7910</v>
      </c>
      <c r="I872" s="46" t="n">
        <v>66</v>
      </c>
      <c r="J872" s="44" t="n">
        <v>5.96</v>
      </c>
      <c r="K872" s="43" t="inlineStr">
        <is>
          <t>Received</t>
        </is>
      </c>
      <c r="L872" s="17">
        <f>INDEX(Items!$C$2:$C$117,MATCH(B872,Items!$A$2:$A$117,0))</f>
        <v/>
      </c>
      <c r="M872" s="49">
        <f>INDEX(Items!$E$2:$E$117,MATCH(B872,Items!$A$2:$A$117,0))</f>
        <v/>
      </c>
      <c r="N872" s="17">
        <f>TEXT(D872,"yyyy-mm")</f>
        <v/>
      </c>
      <c r="O872" s="50">
        <f>G872*J872</f>
        <v/>
      </c>
      <c r="P872" s="50">
        <f>(J872-M872)*G872</f>
        <v/>
      </c>
      <c r="Q872" s="51">
        <f>IF(K872="Received",1,0)</f>
        <v/>
      </c>
      <c r="R872" s="51">
        <f>IF(Q872=1,F872-D872,0)</f>
        <v/>
      </c>
      <c r="S872" s="51">
        <f>IF(Q872=1,IF(F872&lt;=E872,1,0),0)</f>
        <v/>
      </c>
      <c r="T872" s="51">
        <f>IF(Q872=1,IF(H872&gt;=G872,1,0),0)</f>
        <v/>
      </c>
      <c r="U872" s="51">
        <f>S872*T872</f>
        <v/>
      </c>
      <c r="V872" s="51">
        <f>IF(Q872=1,MAX(0,F872-E872),0)</f>
        <v/>
      </c>
    </row>
    <row r="873">
      <c r="A873" s="43" t="inlineStr">
        <is>
          <t>PO101130</t>
        </is>
      </c>
      <c r="B873" s="43" t="inlineStr">
        <is>
          <t>CMD-0052</t>
        </is>
      </c>
      <c r="C873" s="43" t="inlineStr">
        <is>
          <t>S01</t>
        </is>
      </c>
      <c r="D873" s="47" t="n">
        <v>45877</v>
      </c>
      <c r="E873" s="47" t="n">
        <v>45898</v>
      </c>
      <c r="F873" s="47" t="n">
        <v>45896</v>
      </c>
      <c r="G873" s="46" t="n">
        <v>128121</v>
      </c>
      <c r="H873" s="46" t="n">
        <v>128121</v>
      </c>
      <c r="I873" s="46" t="n">
        <v>252</v>
      </c>
      <c r="J873" s="44" t="n">
        <v>0.2016</v>
      </c>
      <c r="K873" s="43" t="inlineStr">
        <is>
          <t>Received</t>
        </is>
      </c>
      <c r="L873" s="17">
        <f>INDEX(Items!$C$2:$C$117,MATCH(B873,Items!$A$2:$A$117,0))</f>
        <v/>
      </c>
      <c r="M873" s="49">
        <f>INDEX(Items!$E$2:$E$117,MATCH(B873,Items!$A$2:$A$117,0))</f>
        <v/>
      </c>
      <c r="N873" s="17">
        <f>TEXT(D873,"yyyy-mm")</f>
        <v/>
      </c>
      <c r="O873" s="50">
        <f>G873*J873</f>
        <v/>
      </c>
      <c r="P873" s="50">
        <f>(J873-M873)*G873</f>
        <v/>
      </c>
      <c r="Q873" s="51">
        <f>IF(K873="Received",1,0)</f>
        <v/>
      </c>
      <c r="R873" s="51">
        <f>IF(Q873=1,F873-D873,0)</f>
        <v/>
      </c>
      <c r="S873" s="51">
        <f>IF(Q873=1,IF(F873&lt;=E873,1,0),0)</f>
        <v/>
      </c>
      <c r="T873" s="51">
        <f>IF(Q873=1,IF(H873&gt;=G873,1,0),0)</f>
        <v/>
      </c>
      <c r="U873" s="51">
        <f>S873*T873</f>
        <v/>
      </c>
      <c r="V873" s="51">
        <f>IF(Q873=1,MAX(0,F873-E873),0)</f>
        <v/>
      </c>
    </row>
    <row r="874">
      <c r="A874" s="43" t="inlineStr">
        <is>
          <t>PO101318</t>
        </is>
      </c>
      <c r="B874" s="43" t="inlineStr">
        <is>
          <t>CMD-0065</t>
        </is>
      </c>
      <c r="C874" s="43" t="inlineStr">
        <is>
          <t>S10</t>
        </is>
      </c>
      <c r="D874" s="47" t="n">
        <v>45877</v>
      </c>
      <c r="E874" s="47" t="n">
        <v>45905</v>
      </c>
      <c r="F874" s="47" t="n">
        <v>45903</v>
      </c>
      <c r="G874" s="46" t="n">
        <v>95661</v>
      </c>
      <c r="H874" s="46" t="n">
        <v>95661</v>
      </c>
      <c r="I874" s="46" t="n">
        <v>94</v>
      </c>
      <c r="J874" s="44" t="n">
        <v>0.1155</v>
      </c>
      <c r="K874" s="43" t="inlineStr">
        <is>
          <t>Received</t>
        </is>
      </c>
      <c r="L874" s="17">
        <f>INDEX(Items!$C$2:$C$117,MATCH(B874,Items!$A$2:$A$117,0))</f>
        <v/>
      </c>
      <c r="M874" s="49">
        <f>INDEX(Items!$E$2:$E$117,MATCH(B874,Items!$A$2:$A$117,0))</f>
        <v/>
      </c>
      <c r="N874" s="17">
        <f>TEXT(D874,"yyyy-mm")</f>
        <v/>
      </c>
      <c r="O874" s="50">
        <f>G874*J874</f>
        <v/>
      </c>
      <c r="P874" s="50">
        <f>(J874-M874)*G874</f>
        <v/>
      </c>
      <c r="Q874" s="51">
        <f>IF(K874="Received",1,0)</f>
        <v/>
      </c>
      <c r="R874" s="51">
        <f>IF(Q874=1,F874-D874,0)</f>
        <v/>
      </c>
      <c r="S874" s="51">
        <f>IF(Q874=1,IF(F874&lt;=E874,1,0),0)</f>
        <v/>
      </c>
      <c r="T874" s="51">
        <f>IF(Q874=1,IF(H874&gt;=G874,1,0),0)</f>
        <v/>
      </c>
      <c r="U874" s="51">
        <f>S874*T874</f>
        <v/>
      </c>
      <c r="V874" s="51">
        <f>IF(Q874=1,MAX(0,F874-E874),0)</f>
        <v/>
      </c>
    </row>
    <row r="875">
      <c r="A875" s="43" t="inlineStr">
        <is>
          <t>PO101854</t>
        </is>
      </c>
      <c r="B875" s="43" t="inlineStr">
        <is>
          <t>CMD-0101</t>
        </is>
      </c>
      <c r="C875" s="43" t="inlineStr">
        <is>
          <t>S09</t>
        </is>
      </c>
      <c r="D875" s="47" t="n">
        <v>45878</v>
      </c>
      <c r="E875" s="47" t="n">
        <v>45899</v>
      </c>
      <c r="F875" s="47" t="n">
        <v>45898</v>
      </c>
      <c r="G875" s="46" t="n">
        <v>3692</v>
      </c>
      <c r="H875" s="46" t="n">
        <v>3692</v>
      </c>
      <c r="I875" s="46" t="n">
        <v>12</v>
      </c>
      <c r="J875" s="44" t="n">
        <v>3.7</v>
      </c>
      <c r="K875" s="43" t="inlineStr">
        <is>
          <t>Received</t>
        </is>
      </c>
      <c r="L875" s="17">
        <f>INDEX(Items!$C$2:$C$117,MATCH(B875,Items!$A$2:$A$117,0))</f>
        <v/>
      </c>
      <c r="M875" s="49">
        <f>INDEX(Items!$E$2:$E$117,MATCH(B875,Items!$A$2:$A$117,0))</f>
        <v/>
      </c>
      <c r="N875" s="17">
        <f>TEXT(D875,"yyyy-mm")</f>
        <v/>
      </c>
      <c r="O875" s="50">
        <f>G875*J875</f>
        <v/>
      </c>
      <c r="P875" s="50">
        <f>(J875-M875)*G875</f>
        <v/>
      </c>
      <c r="Q875" s="51">
        <f>IF(K875="Received",1,0)</f>
        <v/>
      </c>
      <c r="R875" s="51">
        <f>IF(Q875=1,F875-D875,0)</f>
        <v/>
      </c>
      <c r="S875" s="51">
        <f>IF(Q875=1,IF(F875&lt;=E875,1,0),0)</f>
        <v/>
      </c>
      <c r="T875" s="51">
        <f>IF(Q875=1,IF(H875&gt;=G875,1,0),0)</f>
        <v/>
      </c>
      <c r="U875" s="51">
        <f>S875*T875</f>
        <v/>
      </c>
      <c r="V875" s="51">
        <f>IF(Q875=1,MAX(0,F875-E875),0)</f>
        <v/>
      </c>
    </row>
    <row r="876">
      <c r="A876" s="43" t="inlineStr">
        <is>
          <t>PO100732</t>
        </is>
      </c>
      <c r="B876" s="43" t="inlineStr">
        <is>
          <t>CMD-0033</t>
        </is>
      </c>
      <c r="C876" s="43" t="inlineStr">
        <is>
          <t>S07</t>
        </is>
      </c>
      <c r="D876" s="47" t="n">
        <v>45879</v>
      </c>
      <c r="E876" s="47" t="n">
        <v>45921</v>
      </c>
      <c r="F876" s="47" t="n">
        <v>45920</v>
      </c>
      <c r="G876" s="46" t="n">
        <v>3724</v>
      </c>
      <c r="H876" s="46" t="n">
        <v>3724</v>
      </c>
      <c r="I876" s="46" t="n">
        <v>22</v>
      </c>
      <c r="J876" s="44" t="n">
        <v>58.36</v>
      </c>
      <c r="K876" s="43" t="inlineStr">
        <is>
          <t>Received</t>
        </is>
      </c>
      <c r="L876" s="17">
        <f>INDEX(Items!$C$2:$C$117,MATCH(B876,Items!$A$2:$A$117,0))</f>
        <v/>
      </c>
      <c r="M876" s="49">
        <f>INDEX(Items!$E$2:$E$117,MATCH(B876,Items!$A$2:$A$117,0))</f>
        <v/>
      </c>
      <c r="N876" s="17">
        <f>TEXT(D876,"yyyy-mm")</f>
        <v/>
      </c>
      <c r="O876" s="50">
        <f>G876*J876</f>
        <v/>
      </c>
      <c r="P876" s="50">
        <f>(J876-M876)*G876</f>
        <v/>
      </c>
      <c r="Q876" s="51">
        <f>IF(K876="Received",1,0)</f>
        <v/>
      </c>
      <c r="R876" s="51">
        <f>IF(Q876=1,F876-D876,0)</f>
        <v/>
      </c>
      <c r="S876" s="51">
        <f>IF(Q876=1,IF(F876&lt;=E876,1,0),0)</f>
        <v/>
      </c>
      <c r="T876" s="51">
        <f>IF(Q876=1,IF(H876&gt;=G876,1,0),0)</f>
        <v/>
      </c>
      <c r="U876" s="51">
        <f>S876*T876</f>
        <v/>
      </c>
      <c r="V876" s="51">
        <f>IF(Q876=1,MAX(0,F876-E876),0)</f>
        <v/>
      </c>
    </row>
    <row r="877">
      <c r="A877" s="43" t="inlineStr">
        <is>
          <t>PO100992</t>
        </is>
      </c>
      <c r="B877" s="43" t="inlineStr">
        <is>
          <t>CMD-0045</t>
        </is>
      </c>
      <c r="C877" s="43" t="inlineStr">
        <is>
          <t>S05</t>
        </is>
      </c>
      <c r="D877" s="47" t="n">
        <v>45879</v>
      </c>
      <c r="E877" s="47" t="n">
        <v>45984</v>
      </c>
      <c r="F877" s="47" t="n">
        <v>45984</v>
      </c>
      <c r="G877" s="46" t="n">
        <v>3927</v>
      </c>
      <c r="H877" s="46" t="n">
        <v>3927</v>
      </c>
      <c r="I877" s="46" t="n">
        <v>69</v>
      </c>
      <c r="J877" s="44" t="n">
        <v>8.99</v>
      </c>
      <c r="K877" s="43" t="inlineStr">
        <is>
          <t>Received</t>
        </is>
      </c>
      <c r="L877" s="17">
        <f>INDEX(Items!$C$2:$C$117,MATCH(B877,Items!$A$2:$A$117,0))</f>
        <v/>
      </c>
      <c r="M877" s="49">
        <f>INDEX(Items!$E$2:$E$117,MATCH(B877,Items!$A$2:$A$117,0))</f>
        <v/>
      </c>
      <c r="N877" s="17">
        <f>TEXT(D877,"yyyy-mm")</f>
        <v/>
      </c>
      <c r="O877" s="50">
        <f>G877*J877</f>
        <v/>
      </c>
      <c r="P877" s="50">
        <f>(J877-M877)*G877</f>
        <v/>
      </c>
      <c r="Q877" s="51">
        <f>IF(K877="Received",1,0)</f>
        <v/>
      </c>
      <c r="R877" s="51">
        <f>IF(Q877=1,F877-D877,0)</f>
        <v/>
      </c>
      <c r="S877" s="51">
        <f>IF(Q877=1,IF(F877&lt;=E877,1,0),0)</f>
        <v/>
      </c>
      <c r="T877" s="51">
        <f>IF(Q877=1,IF(H877&gt;=G877,1,0),0)</f>
        <v/>
      </c>
      <c r="U877" s="51">
        <f>S877*T877</f>
        <v/>
      </c>
      <c r="V877" s="51">
        <f>IF(Q877=1,MAX(0,F877-E877),0)</f>
        <v/>
      </c>
    </row>
    <row r="878">
      <c r="A878" s="43" t="inlineStr">
        <is>
          <t>PO100852</t>
        </is>
      </c>
      <c r="B878" s="43" t="inlineStr">
        <is>
          <t>CMD-0038</t>
        </is>
      </c>
      <c r="C878" s="43" t="inlineStr">
        <is>
          <t>S01</t>
        </is>
      </c>
      <c r="D878" s="47" t="n">
        <v>45879</v>
      </c>
      <c r="E878" s="47" t="n">
        <v>45907</v>
      </c>
      <c r="F878" s="47" t="n">
        <v>45907</v>
      </c>
      <c r="G878" s="46" t="n">
        <v>978</v>
      </c>
      <c r="H878" s="46" t="n">
        <v>978</v>
      </c>
      <c r="I878" s="46" t="n">
        <v>5</v>
      </c>
      <c r="J878" s="44" t="n">
        <v>21.49</v>
      </c>
      <c r="K878" s="43" t="inlineStr">
        <is>
          <t>Received</t>
        </is>
      </c>
      <c r="L878" s="17">
        <f>INDEX(Items!$C$2:$C$117,MATCH(B878,Items!$A$2:$A$117,0))</f>
        <v/>
      </c>
      <c r="M878" s="49">
        <f>INDEX(Items!$E$2:$E$117,MATCH(B878,Items!$A$2:$A$117,0))</f>
        <v/>
      </c>
      <c r="N878" s="17">
        <f>TEXT(D878,"yyyy-mm")</f>
        <v/>
      </c>
      <c r="O878" s="50">
        <f>G878*J878</f>
        <v/>
      </c>
      <c r="P878" s="50">
        <f>(J878-M878)*G878</f>
        <v/>
      </c>
      <c r="Q878" s="51">
        <f>IF(K878="Received",1,0)</f>
        <v/>
      </c>
      <c r="R878" s="51">
        <f>IF(Q878=1,F878-D878,0)</f>
        <v/>
      </c>
      <c r="S878" s="51">
        <f>IF(Q878=1,IF(F878&lt;=E878,1,0),0)</f>
        <v/>
      </c>
      <c r="T878" s="51">
        <f>IF(Q878=1,IF(H878&gt;=G878,1,0),0)</f>
        <v/>
      </c>
      <c r="U878" s="51">
        <f>S878*T878</f>
        <v/>
      </c>
      <c r="V878" s="51">
        <f>IF(Q878=1,MAX(0,F878-E878),0)</f>
        <v/>
      </c>
    </row>
    <row r="879">
      <c r="A879" s="43" t="inlineStr">
        <is>
          <t>PO101442</t>
        </is>
      </c>
      <c r="B879" s="43" t="inlineStr">
        <is>
          <t>CMD-0077</t>
        </is>
      </c>
      <c r="C879" s="43" t="inlineStr">
        <is>
          <t>S01</t>
        </is>
      </c>
      <c r="D879" s="47" t="n">
        <v>45879</v>
      </c>
      <c r="E879" s="47" t="n">
        <v>45893</v>
      </c>
      <c r="F879" s="47" t="n">
        <v>45890</v>
      </c>
      <c r="G879" s="46" t="n">
        <v>4126</v>
      </c>
      <c r="H879" s="46" t="n">
        <v>4126</v>
      </c>
      <c r="I879" s="46" t="n">
        <v>7</v>
      </c>
      <c r="J879" s="44" t="n">
        <v>8.75</v>
      </c>
      <c r="K879" s="43" t="inlineStr">
        <is>
          <t>Received</t>
        </is>
      </c>
      <c r="L879" s="17">
        <f>INDEX(Items!$C$2:$C$117,MATCH(B879,Items!$A$2:$A$117,0))</f>
        <v/>
      </c>
      <c r="M879" s="49">
        <f>INDEX(Items!$E$2:$E$117,MATCH(B879,Items!$A$2:$A$117,0))</f>
        <v/>
      </c>
      <c r="N879" s="17">
        <f>TEXT(D879,"yyyy-mm")</f>
        <v/>
      </c>
      <c r="O879" s="50">
        <f>G879*J879</f>
        <v/>
      </c>
      <c r="P879" s="50">
        <f>(J879-M879)*G879</f>
        <v/>
      </c>
      <c r="Q879" s="51">
        <f>IF(K879="Received",1,0)</f>
        <v/>
      </c>
      <c r="R879" s="51">
        <f>IF(Q879=1,F879-D879,0)</f>
        <v/>
      </c>
      <c r="S879" s="51">
        <f>IF(Q879=1,IF(F879&lt;=E879,1,0),0)</f>
        <v/>
      </c>
      <c r="T879" s="51">
        <f>IF(Q879=1,IF(H879&gt;=G879,1,0),0)</f>
        <v/>
      </c>
      <c r="U879" s="51">
        <f>S879*T879</f>
        <v/>
      </c>
      <c r="V879" s="51">
        <f>IF(Q879=1,MAX(0,F879-E879),0)</f>
        <v/>
      </c>
    </row>
    <row r="880">
      <c r="A880" s="43" t="inlineStr">
        <is>
          <t>PO101168</t>
        </is>
      </c>
      <c r="B880" s="43" t="inlineStr">
        <is>
          <t>CMD-0054</t>
        </is>
      </c>
      <c r="C880" s="43" t="inlineStr">
        <is>
          <t>S10</t>
        </is>
      </c>
      <c r="D880" s="47" t="n">
        <v>45879</v>
      </c>
      <c r="E880" s="47" t="n">
        <v>45907</v>
      </c>
      <c r="F880" s="47" t="n">
        <v>45906</v>
      </c>
      <c r="G880" s="46" t="n">
        <v>46785</v>
      </c>
      <c r="H880" s="46" t="n">
        <v>46785</v>
      </c>
      <c r="I880" s="46" t="n">
        <v>51</v>
      </c>
      <c r="J880" s="44" t="n">
        <v>0.1687</v>
      </c>
      <c r="K880" s="43" t="inlineStr">
        <is>
          <t>Received</t>
        </is>
      </c>
      <c r="L880" s="17">
        <f>INDEX(Items!$C$2:$C$117,MATCH(B880,Items!$A$2:$A$117,0))</f>
        <v/>
      </c>
      <c r="M880" s="49">
        <f>INDEX(Items!$E$2:$E$117,MATCH(B880,Items!$A$2:$A$117,0))</f>
        <v/>
      </c>
      <c r="N880" s="17">
        <f>TEXT(D880,"yyyy-mm")</f>
        <v/>
      </c>
      <c r="O880" s="50">
        <f>G880*J880</f>
        <v/>
      </c>
      <c r="P880" s="50">
        <f>(J880-M880)*G880</f>
        <v/>
      </c>
      <c r="Q880" s="51">
        <f>IF(K880="Received",1,0)</f>
        <v/>
      </c>
      <c r="R880" s="51">
        <f>IF(Q880=1,F880-D880,0)</f>
        <v/>
      </c>
      <c r="S880" s="51">
        <f>IF(Q880=1,IF(F880&lt;=E880,1,0),0)</f>
        <v/>
      </c>
      <c r="T880" s="51">
        <f>IF(Q880=1,IF(H880&gt;=G880,1,0),0)</f>
        <v/>
      </c>
      <c r="U880" s="51">
        <f>S880*T880</f>
        <v/>
      </c>
      <c r="V880" s="51">
        <f>IF(Q880=1,MAX(0,F880-E880),0)</f>
        <v/>
      </c>
    </row>
    <row r="881">
      <c r="A881" s="43" t="inlineStr">
        <is>
          <t>PO100968</t>
        </is>
      </c>
      <c r="B881" s="43" t="inlineStr">
        <is>
          <t>CMD-0044</t>
        </is>
      </c>
      <c r="C881" s="43" t="inlineStr">
        <is>
          <t>S05</t>
        </is>
      </c>
      <c r="D881" s="47" t="n">
        <v>45880</v>
      </c>
      <c r="E881" s="47" t="n">
        <v>45985</v>
      </c>
      <c r="F881" s="47" t="n">
        <v>45983</v>
      </c>
      <c r="G881" s="46" t="n">
        <v>6689</v>
      </c>
      <c r="H881" s="46" t="n">
        <v>6689</v>
      </c>
      <c r="I881" s="46" t="n">
        <v>133</v>
      </c>
      <c r="J881" s="44" t="n">
        <v>11.57</v>
      </c>
      <c r="K881" s="43" t="inlineStr">
        <is>
          <t>Received</t>
        </is>
      </c>
      <c r="L881" s="17">
        <f>INDEX(Items!$C$2:$C$117,MATCH(B881,Items!$A$2:$A$117,0))</f>
        <v/>
      </c>
      <c r="M881" s="49">
        <f>INDEX(Items!$E$2:$E$117,MATCH(B881,Items!$A$2:$A$117,0))</f>
        <v/>
      </c>
      <c r="N881" s="17">
        <f>TEXT(D881,"yyyy-mm")</f>
        <v/>
      </c>
      <c r="O881" s="50">
        <f>G881*J881</f>
        <v/>
      </c>
      <c r="P881" s="50">
        <f>(J881-M881)*G881</f>
        <v/>
      </c>
      <c r="Q881" s="51">
        <f>IF(K881="Received",1,0)</f>
        <v/>
      </c>
      <c r="R881" s="51">
        <f>IF(Q881=1,F881-D881,0)</f>
        <v/>
      </c>
      <c r="S881" s="51">
        <f>IF(Q881=1,IF(F881&lt;=E881,1,0),0)</f>
        <v/>
      </c>
      <c r="T881" s="51">
        <f>IF(Q881=1,IF(H881&gt;=G881,1,0),0)</f>
        <v/>
      </c>
      <c r="U881" s="51">
        <f>S881*T881</f>
        <v/>
      </c>
      <c r="V881" s="51">
        <f>IF(Q881=1,MAX(0,F881-E881),0)</f>
        <v/>
      </c>
    </row>
    <row r="882">
      <c r="A882" s="43" t="inlineStr">
        <is>
          <t>PO100530</t>
        </is>
      </c>
      <c r="B882" s="43" t="inlineStr">
        <is>
          <t>CMD-0024</t>
        </is>
      </c>
      <c r="C882" s="43" t="inlineStr">
        <is>
          <t>S04</t>
        </is>
      </c>
      <c r="D882" s="47" t="n">
        <v>45880</v>
      </c>
      <c r="E882" s="47" t="n">
        <v>45950</v>
      </c>
      <c r="F882" s="47" t="n">
        <v>45948</v>
      </c>
      <c r="G882" s="46" t="n">
        <v>3397</v>
      </c>
      <c r="H882" s="46" t="n">
        <v>2536</v>
      </c>
      <c r="I882" s="46" t="n">
        <v>30</v>
      </c>
      <c r="J882" s="44" t="n">
        <v>3.31</v>
      </c>
      <c r="K882" s="43" t="inlineStr">
        <is>
          <t>Received</t>
        </is>
      </c>
      <c r="L882" s="17">
        <f>INDEX(Items!$C$2:$C$117,MATCH(B882,Items!$A$2:$A$117,0))</f>
        <v/>
      </c>
      <c r="M882" s="49">
        <f>INDEX(Items!$E$2:$E$117,MATCH(B882,Items!$A$2:$A$117,0))</f>
        <v/>
      </c>
      <c r="N882" s="17">
        <f>TEXT(D882,"yyyy-mm")</f>
        <v/>
      </c>
      <c r="O882" s="50">
        <f>G882*J882</f>
        <v/>
      </c>
      <c r="P882" s="50">
        <f>(J882-M882)*G882</f>
        <v/>
      </c>
      <c r="Q882" s="51">
        <f>IF(K882="Received",1,0)</f>
        <v/>
      </c>
      <c r="R882" s="51">
        <f>IF(Q882=1,F882-D882,0)</f>
        <v/>
      </c>
      <c r="S882" s="51">
        <f>IF(Q882=1,IF(F882&lt;=E882,1,0),0)</f>
        <v/>
      </c>
      <c r="T882" s="51">
        <f>IF(Q882=1,IF(H882&gt;=G882,1,0),0)</f>
        <v/>
      </c>
      <c r="U882" s="51">
        <f>S882*T882</f>
        <v/>
      </c>
      <c r="V882" s="51">
        <f>IF(Q882=1,MAX(0,F882-E882),0)</f>
        <v/>
      </c>
    </row>
    <row r="883">
      <c r="A883" s="43" t="inlineStr">
        <is>
          <t>PO100302</t>
        </is>
      </c>
      <c r="B883" s="43" t="inlineStr">
        <is>
          <t>CMD-0014</t>
        </is>
      </c>
      <c r="C883" s="43" t="inlineStr">
        <is>
          <t>S03</t>
        </is>
      </c>
      <c r="D883" s="47" t="n">
        <v>45880</v>
      </c>
      <c r="E883" s="47" t="n">
        <v>46013</v>
      </c>
      <c r="F883" s="47" t="n">
        <v>46013</v>
      </c>
      <c r="G883" s="46" t="n">
        <v>3987</v>
      </c>
      <c r="H883" s="46" t="n">
        <v>3987</v>
      </c>
      <c r="I883" s="46" t="n">
        <v>25</v>
      </c>
      <c r="J883" s="44" t="n">
        <v>14.8916</v>
      </c>
      <c r="K883" s="43" t="inlineStr">
        <is>
          <t>Received</t>
        </is>
      </c>
      <c r="L883" s="17">
        <f>INDEX(Items!$C$2:$C$117,MATCH(B883,Items!$A$2:$A$117,0))</f>
        <v/>
      </c>
      <c r="M883" s="49">
        <f>INDEX(Items!$E$2:$E$117,MATCH(B883,Items!$A$2:$A$117,0))</f>
        <v/>
      </c>
      <c r="N883" s="17">
        <f>TEXT(D883,"yyyy-mm")</f>
        <v/>
      </c>
      <c r="O883" s="50">
        <f>G883*J883</f>
        <v/>
      </c>
      <c r="P883" s="50">
        <f>(J883-M883)*G883</f>
        <v/>
      </c>
      <c r="Q883" s="51">
        <f>IF(K883="Received",1,0)</f>
        <v/>
      </c>
      <c r="R883" s="51">
        <f>IF(Q883=1,F883-D883,0)</f>
        <v/>
      </c>
      <c r="S883" s="51">
        <f>IF(Q883=1,IF(F883&lt;=E883,1,0),0)</f>
        <v/>
      </c>
      <c r="T883" s="51">
        <f>IF(Q883=1,IF(H883&gt;=G883,1,0),0)</f>
        <v/>
      </c>
      <c r="U883" s="51">
        <f>S883*T883</f>
        <v/>
      </c>
      <c r="V883" s="51">
        <f>IF(Q883=1,MAX(0,F883-E883),0)</f>
        <v/>
      </c>
    </row>
    <row r="884">
      <c r="A884" s="43" t="inlineStr">
        <is>
          <t>PO101223</t>
        </is>
      </c>
      <c r="B884" s="43" t="inlineStr">
        <is>
          <t>CMD-0057</t>
        </is>
      </c>
      <c r="C884" s="43" t="inlineStr">
        <is>
          <t>S01</t>
        </is>
      </c>
      <c r="D884" s="47" t="n">
        <v>45880</v>
      </c>
      <c r="E884" s="47" t="n">
        <v>45901</v>
      </c>
      <c r="F884" s="47" t="n">
        <v>45898</v>
      </c>
      <c r="G884" s="46" t="n">
        <v>45730</v>
      </c>
      <c r="H884" s="46" t="n">
        <v>45730</v>
      </c>
      <c r="I884" s="46" t="n">
        <v>104</v>
      </c>
      <c r="J884" s="44" t="n">
        <v>0.1124</v>
      </c>
      <c r="K884" s="43" t="inlineStr">
        <is>
          <t>Received</t>
        </is>
      </c>
      <c r="L884" s="17">
        <f>INDEX(Items!$C$2:$C$117,MATCH(B884,Items!$A$2:$A$117,0))</f>
        <v/>
      </c>
      <c r="M884" s="49">
        <f>INDEX(Items!$E$2:$E$117,MATCH(B884,Items!$A$2:$A$117,0))</f>
        <v/>
      </c>
      <c r="N884" s="17">
        <f>TEXT(D884,"yyyy-mm")</f>
        <v/>
      </c>
      <c r="O884" s="50">
        <f>G884*J884</f>
        <v/>
      </c>
      <c r="P884" s="50">
        <f>(J884-M884)*G884</f>
        <v/>
      </c>
      <c r="Q884" s="51">
        <f>IF(K884="Received",1,0)</f>
        <v/>
      </c>
      <c r="R884" s="51">
        <f>IF(Q884=1,F884-D884,0)</f>
        <v/>
      </c>
      <c r="S884" s="51">
        <f>IF(Q884=1,IF(F884&lt;=E884,1,0),0)</f>
        <v/>
      </c>
      <c r="T884" s="51">
        <f>IF(Q884=1,IF(H884&gt;=G884,1,0),0)</f>
        <v/>
      </c>
      <c r="U884" s="51">
        <f>S884*T884</f>
        <v/>
      </c>
      <c r="V884" s="51">
        <f>IF(Q884=1,MAX(0,F884-E884),0)</f>
        <v/>
      </c>
    </row>
    <row r="885">
      <c r="A885" s="43" t="inlineStr">
        <is>
          <t>PO101652</t>
        </is>
      </c>
      <c r="B885" s="43" t="inlineStr">
        <is>
          <t>CMD-0091</t>
        </is>
      </c>
      <c r="C885" s="43" t="inlineStr">
        <is>
          <t>S08</t>
        </is>
      </c>
      <c r="D885" s="47" t="n">
        <v>45880</v>
      </c>
      <c r="E885" s="47" t="n">
        <v>45957</v>
      </c>
      <c r="F885" s="47" t="n">
        <v>45957</v>
      </c>
      <c r="G885" s="46" t="n">
        <v>943</v>
      </c>
      <c r="H885" s="46" t="n">
        <v>943</v>
      </c>
      <c r="I885" s="46" t="n">
        <v>6</v>
      </c>
      <c r="J885" s="44" t="n">
        <v>23.8</v>
      </c>
      <c r="K885" s="43" t="inlineStr">
        <is>
          <t>Received</t>
        </is>
      </c>
      <c r="L885" s="17">
        <f>INDEX(Items!$C$2:$C$117,MATCH(B885,Items!$A$2:$A$117,0))</f>
        <v/>
      </c>
      <c r="M885" s="49">
        <f>INDEX(Items!$E$2:$E$117,MATCH(B885,Items!$A$2:$A$117,0))</f>
        <v/>
      </c>
      <c r="N885" s="17">
        <f>TEXT(D885,"yyyy-mm")</f>
        <v/>
      </c>
      <c r="O885" s="50">
        <f>G885*J885</f>
        <v/>
      </c>
      <c r="P885" s="50">
        <f>(J885-M885)*G885</f>
        <v/>
      </c>
      <c r="Q885" s="51">
        <f>IF(K885="Received",1,0)</f>
        <v/>
      </c>
      <c r="R885" s="51">
        <f>IF(Q885=1,F885-D885,0)</f>
        <v/>
      </c>
      <c r="S885" s="51">
        <f>IF(Q885=1,IF(F885&lt;=E885,1,0),0)</f>
        <v/>
      </c>
      <c r="T885" s="51">
        <f>IF(Q885=1,IF(H885&gt;=G885,1,0),0)</f>
        <v/>
      </c>
      <c r="U885" s="51">
        <f>S885*T885</f>
        <v/>
      </c>
      <c r="V885" s="51">
        <f>IF(Q885=1,MAX(0,F885-E885),0)</f>
        <v/>
      </c>
    </row>
    <row r="886">
      <c r="A886" s="43" t="inlineStr">
        <is>
          <t>PO101748</t>
        </is>
      </c>
      <c r="B886" s="43" t="inlineStr">
        <is>
          <t>CMD-0095</t>
        </is>
      </c>
      <c r="C886" s="43" t="inlineStr">
        <is>
          <t>S08</t>
        </is>
      </c>
      <c r="D886" s="47" t="n">
        <v>45880</v>
      </c>
      <c r="E886" s="47" t="n">
        <v>45957</v>
      </c>
      <c r="F886" s="47" t="n">
        <v>45955</v>
      </c>
      <c r="G886" s="46" t="n">
        <v>311</v>
      </c>
      <c r="H886" s="46" t="n">
        <v>311</v>
      </c>
      <c r="I886" s="46" t="n">
        <v>4</v>
      </c>
      <c r="J886" s="44" t="n">
        <v>91.83</v>
      </c>
      <c r="K886" s="43" t="inlineStr">
        <is>
          <t>Received</t>
        </is>
      </c>
      <c r="L886" s="17">
        <f>INDEX(Items!$C$2:$C$117,MATCH(B886,Items!$A$2:$A$117,0))</f>
        <v/>
      </c>
      <c r="M886" s="49">
        <f>INDEX(Items!$E$2:$E$117,MATCH(B886,Items!$A$2:$A$117,0))</f>
        <v/>
      </c>
      <c r="N886" s="17">
        <f>TEXT(D886,"yyyy-mm")</f>
        <v/>
      </c>
      <c r="O886" s="50">
        <f>G886*J886</f>
        <v/>
      </c>
      <c r="P886" s="50">
        <f>(J886-M886)*G886</f>
        <v/>
      </c>
      <c r="Q886" s="51">
        <f>IF(K886="Received",1,0)</f>
        <v/>
      </c>
      <c r="R886" s="51">
        <f>IF(Q886=1,F886-D886,0)</f>
        <v/>
      </c>
      <c r="S886" s="51">
        <f>IF(Q886=1,IF(F886&lt;=E886,1,0),0)</f>
        <v/>
      </c>
      <c r="T886" s="51">
        <f>IF(Q886=1,IF(H886&gt;=G886,1,0),0)</f>
        <v/>
      </c>
      <c r="U886" s="51">
        <f>S886*T886</f>
        <v/>
      </c>
      <c r="V886" s="51">
        <f>IF(Q886=1,MAX(0,F886-E886),0)</f>
        <v/>
      </c>
    </row>
    <row r="887">
      <c r="A887" s="43" t="inlineStr">
        <is>
          <t>PO100780</t>
        </is>
      </c>
      <c r="B887" s="43" t="inlineStr">
        <is>
          <t>CMD-0035</t>
        </is>
      </c>
      <c r="C887" s="43" t="inlineStr">
        <is>
          <t>S01</t>
        </is>
      </c>
      <c r="D887" s="47" t="n">
        <v>45880</v>
      </c>
      <c r="E887" s="47" t="n">
        <v>45908</v>
      </c>
      <c r="F887" s="47" t="n">
        <v>45907</v>
      </c>
      <c r="G887" s="46" t="n">
        <v>583</v>
      </c>
      <c r="H887" s="46" t="n">
        <v>583</v>
      </c>
      <c r="I887" s="46" t="n">
        <v>0</v>
      </c>
      <c r="J887" s="44" t="n">
        <v>9.369999999999999</v>
      </c>
      <c r="K887" s="43" t="inlineStr">
        <is>
          <t>Received</t>
        </is>
      </c>
      <c r="L887" s="17">
        <f>INDEX(Items!$C$2:$C$117,MATCH(B887,Items!$A$2:$A$117,0))</f>
        <v/>
      </c>
      <c r="M887" s="49">
        <f>INDEX(Items!$E$2:$E$117,MATCH(B887,Items!$A$2:$A$117,0))</f>
        <v/>
      </c>
      <c r="N887" s="17">
        <f>TEXT(D887,"yyyy-mm")</f>
        <v/>
      </c>
      <c r="O887" s="50">
        <f>G887*J887</f>
        <v/>
      </c>
      <c r="P887" s="50">
        <f>(J887-M887)*G887</f>
        <v/>
      </c>
      <c r="Q887" s="51">
        <f>IF(K887="Received",1,0)</f>
        <v/>
      </c>
      <c r="R887" s="51">
        <f>IF(Q887=1,F887-D887,0)</f>
        <v/>
      </c>
      <c r="S887" s="51">
        <f>IF(Q887=1,IF(F887&lt;=E887,1,0),0)</f>
        <v/>
      </c>
      <c r="T887" s="51">
        <f>IF(Q887=1,IF(H887&gt;=G887,1,0),0)</f>
        <v/>
      </c>
      <c r="U887" s="51">
        <f>S887*T887</f>
        <v/>
      </c>
      <c r="V887" s="51">
        <f>IF(Q887=1,MAX(0,F887-E887),0)</f>
        <v/>
      </c>
    </row>
    <row r="888">
      <c r="A888" s="43" t="inlineStr">
        <is>
          <t>PO100106</t>
        </is>
      </c>
      <c r="B888" s="43" t="inlineStr">
        <is>
          <t>CMD-0005</t>
        </is>
      </c>
      <c r="C888" s="43" t="inlineStr">
        <is>
          <t>S07</t>
        </is>
      </c>
      <c r="D888" s="47" t="n">
        <v>45880</v>
      </c>
      <c r="E888" s="47" t="n">
        <v>45971</v>
      </c>
      <c r="F888" s="47" t="n">
        <v>45970</v>
      </c>
      <c r="G888" s="46" t="n">
        <v>3840</v>
      </c>
      <c r="H888" s="46" t="n">
        <v>3840</v>
      </c>
      <c r="I888" s="46" t="n">
        <v>29</v>
      </c>
      <c r="J888" s="44" t="n">
        <v>6.6434</v>
      </c>
      <c r="K888" s="43" t="inlineStr">
        <is>
          <t>Received</t>
        </is>
      </c>
      <c r="L888" s="17">
        <f>INDEX(Items!$C$2:$C$117,MATCH(B888,Items!$A$2:$A$117,0))</f>
        <v/>
      </c>
      <c r="M888" s="49">
        <f>INDEX(Items!$E$2:$E$117,MATCH(B888,Items!$A$2:$A$117,0))</f>
        <v/>
      </c>
      <c r="N888" s="17">
        <f>TEXT(D888,"yyyy-mm")</f>
        <v/>
      </c>
      <c r="O888" s="50">
        <f>G888*J888</f>
        <v/>
      </c>
      <c r="P888" s="50">
        <f>(J888-M888)*G888</f>
        <v/>
      </c>
      <c r="Q888" s="51">
        <f>IF(K888="Received",1,0)</f>
        <v/>
      </c>
      <c r="R888" s="51">
        <f>IF(Q888=1,F888-D888,0)</f>
        <v/>
      </c>
      <c r="S888" s="51">
        <f>IF(Q888=1,IF(F888&lt;=E888,1,0),0)</f>
        <v/>
      </c>
      <c r="T888" s="51">
        <f>IF(Q888=1,IF(H888&gt;=G888,1,0),0)</f>
        <v/>
      </c>
      <c r="U888" s="51">
        <f>S888*T888</f>
        <v/>
      </c>
      <c r="V888" s="51">
        <f>IF(Q888=1,MAX(0,F888-E888),0)</f>
        <v/>
      </c>
    </row>
    <row r="889">
      <c r="A889" s="43" t="inlineStr">
        <is>
          <t>PO101970</t>
        </is>
      </c>
      <c r="B889" s="43" t="inlineStr">
        <is>
          <t>CMD-0109</t>
        </is>
      </c>
      <c r="C889" s="43" t="inlineStr">
        <is>
          <t>S12</t>
        </is>
      </c>
      <c r="D889" s="47" t="n">
        <v>45880</v>
      </c>
      <c r="E889" s="47" t="n">
        <v>45887</v>
      </c>
      <c r="F889" s="47" t="n">
        <v>45885</v>
      </c>
      <c r="G889" s="46" t="n">
        <v>6063</v>
      </c>
      <c r="H889" s="46" t="n">
        <v>6063</v>
      </c>
      <c r="I889" s="46" t="n">
        <v>6</v>
      </c>
      <c r="J889" s="44" t="n">
        <v>1.7</v>
      </c>
      <c r="K889" s="43" t="inlineStr">
        <is>
          <t>Received</t>
        </is>
      </c>
      <c r="L889" s="17">
        <f>INDEX(Items!$C$2:$C$117,MATCH(B889,Items!$A$2:$A$117,0))</f>
        <v/>
      </c>
      <c r="M889" s="49">
        <f>INDEX(Items!$E$2:$E$117,MATCH(B889,Items!$A$2:$A$117,0))</f>
        <v/>
      </c>
      <c r="N889" s="17">
        <f>TEXT(D889,"yyyy-mm")</f>
        <v/>
      </c>
      <c r="O889" s="50">
        <f>G889*J889</f>
        <v/>
      </c>
      <c r="P889" s="50">
        <f>(J889-M889)*G889</f>
        <v/>
      </c>
      <c r="Q889" s="51">
        <f>IF(K889="Received",1,0)</f>
        <v/>
      </c>
      <c r="R889" s="51">
        <f>IF(Q889=1,F889-D889,0)</f>
        <v/>
      </c>
      <c r="S889" s="51">
        <f>IF(Q889=1,IF(F889&lt;=E889,1,0),0)</f>
        <v/>
      </c>
      <c r="T889" s="51">
        <f>IF(Q889=1,IF(H889&gt;=G889,1,0),0)</f>
        <v/>
      </c>
      <c r="U889" s="51">
        <f>S889*T889</f>
        <v/>
      </c>
      <c r="V889" s="51">
        <f>IF(Q889=1,MAX(0,F889-E889),0)</f>
        <v/>
      </c>
    </row>
    <row r="890">
      <c r="A890" s="43" t="inlineStr">
        <is>
          <t>PO101092</t>
        </is>
      </c>
      <c r="B890" s="43" t="inlineStr">
        <is>
          <t>CMD-0050</t>
        </is>
      </c>
      <c r="C890" s="43" t="inlineStr">
        <is>
          <t>S10</t>
        </is>
      </c>
      <c r="D890" s="47" t="n">
        <v>45881</v>
      </c>
      <c r="E890" s="47" t="n">
        <v>45909</v>
      </c>
      <c r="F890" s="47" t="n">
        <v>45906</v>
      </c>
      <c r="G890" s="46" t="n">
        <v>81080</v>
      </c>
      <c r="H890" s="46" t="n">
        <v>81080</v>
      </c>
      <c r="I890" s="46" t="n">
        <v>91</v>
      </c>
      <c r="J890" s="44" t="n">
        <v>0.075</v>
      </c>
      <c r="K890" s="43" t="inlineStr">
        <is>
          <t>Received</t>
        </is>
      </c>
      <c r="L890" s="17">
        <f>INDEX(Items!$C$2:$C$117,MATCH(B890,Items!$A$2:$A$117,0))</f>
        <v/>
      </c>
      <c r="M890" s="49">
        <f>INDEX(Items!$E$2:$E$117,MATCH(B890,Items!$A$2:$A$117,0))</f>
        <v/>
      </c>
      <c r="N890" s="17">
        <f>TEXT(D890,"yyyy-mm")</f>
        <v/>
      </c>
      <c r="O890" s="50">
        <f>G890*J890</f>
        <v/>
      </c>
      <c r="P890" s="50">
        <f>(J890-M890)*G890</f>
        <v/>
      </c>
      <c r="Q890" s="51">
        <f>IF(K890="Received",1,0)</f>
        <v/>
      </c>
      <c r="R890" s="51">
        <f>IF(Q890=1,F890-D890,0)</f>
        <v/>
      </c>
      <c r="S890" s="51">
        <f>IF(Q890=1,IF(F890&lt;=E890,1,0),0)</f>
        <v/>
      </c>
      <c r="T890" s="51">
        <f>IF(Q890=1,IF(H890&gt;=G890,1,0),0)</f>
        <v/>
      </c>
      <c r="U890" s="51">
        <f>S890*T890</f>
        <v/>
      </c>
      <c r="V890" s="51">
        <f>IF(Q890=1,MAX(0,F890-E890),0)</f>
        <v/>
      </c>
    </row>
    <row r="891">
      <c r="A891" s="43" t="inlineStr">
        <is>
          <t>PO100374</t>
        </is>
      </c>
      <c r="B891" s="43" t="inlineStr">
        <is>
          <t>CMD-0017</t>
        </is>
      </c>
      <c r="C891" s="43" t="inlineStr">
        <is>
          <t>S11</t>
        </is>
      </c>
      <c r="D891" s="47" t="n">
        <v>45881</v>
      </c>
      <c r="E891" s="47" t="n">
        <v>45958</v>
      </c>
      <c r="F891" s="47" t="n">
        <v>45956</v>
      </c>
      <c r="G891" s="46" t="n">
        <v>8120</v>
      </c>
      <c r="H891" s="46" t="n">
        <v>8120</v>
      </c>
      <c r="I891" s="46" t="n">
        <v>16</v>
      </c>
      <c r="J891" s="44" t="n">
        <v>12.69</v>
      </c>
      <c r="K891" s="43" t="inlineStr">
        <is>
          <t>Received</t>
        </is>
      </c>
      <c r="L891" s="17">
        <f>INDEX(Items!$C$2:$C$117,MATCH(B891,Items!$A$2:$A$117,0))</f>
        <v/>
      </c>
      <c r="M891" s="49">
        <f>INDEX(Items!$E$2:$E$117,MATCH(B891,Items!$A$2:$A$117,0))</f>
        <v/>
      </c>
      <c r="N891" s="17">
        <f>TEXT(D891,"yyyy-mm")</f>
        <v/>
      </c>
      <c r="O891" s="50">
        <f>G891*J891</f>
        <v/>
      </c>
      <c r="P891" s="50">
        <f>(J891-M891)*G891</f>
        <v/>
      </c>
      <c r="Q891" s="51">
        <f>IF(K891="Received",1,0)</f>
        <v/>
      </c>
      <c r="R891" s="51">
        <f>IF(Q891=1,F891-D891,0)</f>
        <v/>
      </c>
      <c r="S891" s="51">
        <f>IF(Q891=1,IF(F891&lt;=E891,1,0),0)</f>
        <v/>
      </c>
      <c r="T891" s="51">
        <f>IF(Q891=1,IF(H891&gt;=G891,1,0),0)</f>
        <v/>
      </c>
      <c r="U891" s="51">
        <f>S891*T891</f>
        <v/>
      </c>
      <c r="V891" s="51">
        <f>IF(Q891=1,MAX(0,F891-E891),0)</f>
        <v/>
      </c>
    </row>
    <row r="892">
      <c r="A892" s="43" t="inlineStr">
        <is>
          <t>PO100350</t>
        </is>
      </c>
      <c r="B892" s="43" t="inlineStr">
        <is>
          <t>CMD-0016</t>
        </is>
      </c>
      <c r="C892" s="43" t="inlineStr">
        <is>
          <t>S07</t>
        </is>
      </c>
      <c r="D892" s="47" t="n">
        <v>45881</v>
      </c>
      <c r="E892" s="47" t="n">
        <v>45972</v>
      </c>
      <c r="F892" s="47" t="n">
        <v>45971</v>
      </c>
      <c r="G892" s="46" t="n">
        <v>8654</v>
      </c>
      <c r="H892" s="46" t="n">
        <v>8654</v>
      </c>
      <c r="I892" s="46" t="n">
        <v>74</v>
      </c>
      <c r="J892" s="44" t="n">
        <v>31.8836</v>
      </c>
      <c r="K892" s="43" t="inlineStr">
        <is>
          <t>Received</t>
        </is>
      </c>
      <c r="L892" s="17">
        <f>INDEX(Items!$C$2:$C$117,MATCH(B892,Items!$A$2:$A$117,0))</f>
        <v/>
      </c>
      <c r="M892" s="49">
        <f>INDEX(Items!$E$2:$E$117,MATCH(B892,Items!$A$2:$A$117,0))</f>
        <v/>
      </c>
      <c r="N892" s="17">
        <f>TEXT(D892,"yyyy-mm")</f>
        <v/>
      </c>
      <c r="O892" s="50">
        <f>G892*J892</f>
        <v/>
      </c>
      <c r="P892" s="50">
        <f>(J892-M892)*G892</f>
        <v/>
      </c>
      <c r="Q892" s="51">
        <f>IF(K892="Received",1,0)</f>
        <v/>
      </c>
      <c r="R892" s="51">
        <f>IF(Q892=1,F892-D892,0)</f>
        <v/>
      </c>
      <c r="S892" s="51">
        <f>IF(Q892=1,IF(F892&lt;=E892,1,0),0)</f>
        <v/>
      </c>
      <c r="T892" s="51">
        <f>IF(Q892=1,IF(H892&gt;=G892,1,0),0)</f>
        <v/>
      </c>
      <c r="U892" s="51">
        <f>S892*T892</f>
        <v/>
      </c>
      <c r="V892" s="51">
        <f>IF(Q892=1,MAX(0,F892-E892),0)</f>
        <v/>
      </c>
    </row>
    <row r="893">
      <c r="A893" s="43" t="inlineStr">
        <is>
          <t>PO100226</t>
        </is>
      </c>
      <c r="B893" s="43" t="inlineStr">
        <is>
          <t>CMD-0010</t>
        </is>
      </c>
      <c r="C893" s="43" t="inlineStr">
        <is>
          <t>S03</t>
        </is>
      </c>
      <c r="D893" s="47" t="n">
        <v>45881</v>
      </c>
      <c r="E893" s="47" t="n">
        <v>46014</v>
      </c>
      <c r="F893" s="47" t="n">
        <v>46012</v>
      </c>
      <c r="G893" s="46" t="n">
        <v>4232</v>
      </c>
      <c r="H893" s="46" t="n">
        <v>4232</v>
      </c>
      <c r="I893" s="46" t="n">
        <v>21</v>
      </c>
      <c r="J893" s="44" t="n">
        <v>5.4634</v>
      </c>
      <c r="K893" s="43" t="inlineStr">
        <is>
          <t>Received</t>
        </is>
      </c>
      <c r="L893" s="17">
        <f>INDEX(Items!$C$2:$C$117,MATCH(B893,Items!$A$2:$A$117,0))</f>
        <v/>
      </c>
      <c r="M893" s="49">
        <f>INDEX(Items!$E$2:$E$117,MATCH(B893,Items!$A$2:$A$117,0))</f>
        <v/>
      </c>
      <c r="N893" s="17">
        <f>TEXT(D893,"yyyy-mm")</f>
        <v/>
      </c>
      <c r="O893" s="50">
        <f>G893*J893</f>
        <v/>
      </c>
      <c r="P893" s="50">
        <f>(J893-M893)*G893</f>
        <v/>
      </c>
      <c r="Q893" s="51">
        <f>IF(K893="Received",1,0)</f>
        <v/>
      </c>
      <c r="R893" s="51">
        <f>IF(Q893=1,F893-D893,0)</f>
        <v/>
      </c>
      <c r="S893" s="51">
        <f>IF(Q893=1,IF(F893&lt;=E893,1,0),0)</f>
        <v/>
      </c>
      <c r="T893" s="51">
        <f>IF(Q893=1,IF(H893&gt;=G893,1,0),0)</f>
        <v/>
      </c>
      <c r="U893" s="51">
        <f>S893*T893</f>
        <v/>
      </c>
      <c r="V893" s="51">
        <f>IF(Q893=1,MAX(0,F893-E893),0)</f>
        <v/>
      </c>
    </row>
    <row r="894">
      <c r="A894" s="43" t="inlineStr">
        <is>
          <t>PO100178</t>
        </is>
      </c>
      <c r="B894" s="43" t="inlineStr">
        <is>
          <t>CMD-0008</t>
        </is>
      </c>
      <c r="C894" s="43" t="inlineStr">
        <is>
          <t>S03</t>
        </is>
      </c>
      <c r="D894" s="47" t="n">
        <v>45881</v>
      </c>
      <c r="E894" s="47" t="n">
        <v>46014</v>
      </c>
      <c r="F894" s="47" t="n">
        <v>46017</v>
      </c>
      <c r="G894" s="46" t="n">
        <v>1292</v>
      </c>
      <c r="H894" s="46" t="n">
        <v>1120</v>
      </c>
      <c r="I894" s="46" t="n">
        <v>5</v>
      </c>
      <c r="J894" s="44" t="n">
        <v>27.9188</v>
      </c>
      <c r="K894" s="43" t="inlineStr">
        <is>
          <t>Received</t>
        </is>
      </c>
      <c r="L894" s="17">
        <f>INDEX(Items!$C$2:$C$117,MATCH(B894,Items!$A$2:$A$117,0))</f>
        <v/>
      </c>
      <c r="M894" s="49">
        <f>INDEX(Items!$E$2:$E$117,MATCH(B894,Items!$A$2:$A$117,0))</f>
        <v/>
      </c>
      <c r="N894" s="17">
        <f>TEXT(D894,"yyyy-mm")</f>
        <v/>
      </c>
      <c r="O894" s="50">
        <f>G894*J894</f>
        <v/>
      </c>
      <c r="P894" s="50">
        <f>(J894-M894)*G894</f>
        <v/>
      </c>
      <c r="Q894" s="51">
        <f>IF(K894="Received",1,0)</f>
        <v/>
      </c>
      <c r="R894" s="51">
        <f>IF(Q894=1,F894-D894,0)</f>
        <v/>
      </c>
      <c r="S894" s="51">
        <f>IF(Q894=1,IF(F894&lt;=E894,1,0),0)</f>
        <v/>
      </c>
      <c r="T894" s="51">
        <f>IF(Q894=1,IF(H894&gt;=G894,1,0),0)</f>
        <v/>
      </c>
      <c r="U894" s="51">
        <f>S894*T894</f>
        <v/>
      </c>
      <c r="V894" s="51">
        <f>IF(Q894=1,MAX(0,F894-E894),0)</f>
        <v/>
      </c>
    </row>
    <row r="895">
      <c r="A895" s="43" t="inlineStr">
        <is>
          <t>PO100010</t>
        </is>
      </c>
      <c r="B895" s="43" t="inlineStr">
        <is>
          <t>CMD-0001</t>
        </is>
      </c>
      <c r="C895" s="43" t="inlineStr">
        <is>
          <t>S07</t>
        </is>
      </c>
      <c r="D895" s="47" t="n">
        <v>45881</v>
      </c>
      <c r="E895" s="47" t="n">
        <v>45972</v>
      </c>
      <c r="F895" s="47" t="n">
        <v>45969</v>
      </c>
      <c r="G895" s="46" t="n">
        <v>8089</v>
      </c>
      <c r="H895" s="46" t="n">
        <v>8089</v>
      </c>
      <c r="I895" s="46" t="n">
        <v>80</v>
      </c>
      <c r="J895" s="44" t="n">
        <v>16.8268</v>
      </c>
      <c r="K895" s="43" t="inlineStr">
        <is>
          <t>Received</t>
        </is>
      </c>
      <c r="L895" s="17">
        <f>INDEX(Items!$C$2:$C$117,MATCH(B895,Items!$A$2:$A$117,0))</f>
        <v/>
      </c>
      <c r="M895" s="49">
        <f>INDEX(Items!$E$2:$E$117,MATCH(B895,Items!$A$2:$A$117,0))</f>
        <v/>
      </c>
      <c r="N895" s="17">
        <f>TEXT(D895,"yyyy-mm")</f>
        <v/>
      </c>
      <c r="O895" s="50">
        <f>G895*J895</f>
        <v/>
      </c>
      <c r="P895" s="50">
        <f>(J895-M895)*G895</f>
        <v/>
      </c>
      <c r="Q895" s="51">
        <f>IF(K895="Received",1,0)</f>
        <v/>
      </c>
      <c r="R895" s="51">
        <f>IF(Q895=1,F895-D895,0)</f>
        <v/>
      </c>
      <c r="S895" s="51">
        <f>IF(Q895=1,IF(F895&lt;=E895,1,0),0)</f>
        <v/>
      </c>
      <c r="T895" s="51">
        <f>IF(Q895=1,IF(H895&gt;=G895,1,0),0)</f>
        <v/>
      </c>
      <c r="U895" s="51">
        <f>S895*T895</f>
        <v/>
      </c>
      <c r="V895" s="51">
        <f>IF(Q895=1,MAX(0,F895-E895),0)</f>
        <v/>
      </c>
    </row>
    <row r="896">
      <c r="A896" s="43" t="inlineStr">
        <is>
          <t>PO100398</t>
        </is>
      </c>
      <c r="B896" s="43" t="inlineStr">
        <is>
          <t>CMD-0018</t>
        </is>
      </c>
      <c r="C896" s="43" t="inlineStr">
        <is>
          <t>S02</t>
        </is>
      </c>
      <c r="D896" s="47" t="n">
        <v>45881</v>
      </c>
      <c r="E896" s="47" t="n">
        <v>45937</v>
      </c>
      <c r="F896" s="47" t="n">
        <v>45936</v>
      </c>
      <c r="G896" s="46" t="n">
        <v>6899</v>
      </c>
      <c r="H896" s="46" t="n">
        <v>6899</v>
      </c>
      <c r="I896" s="46" t="n">
        <v>24</v>
      </c>
      <c r="J896" s="44" t="n">
        <v>37.92</v>
      </c>
      <c r="K896" s="43" t="inlineStr">
        <is>
          <t>Received</t>
        </is>
      </c>
      <c r="L896" s="17">
        <f>INDEX(Items!$C$2:$C$117,MATCH(B896,Items!$A$2:$A$117,0))</f>
        <v/>
      </c>
      <c r="M896" s="49">
        <f>INDEX(Items!$E$2:$E$117,MATCH(B896,Items!$A$2:$A$117,0))</f>
        <v/>
      </c>
      <c r="N896" s="17">
        <f>TEXT(D896,"yyyy-mm")</f>
        <v/>
      </c>
      <c r="O896" s="50">
        <f>G896*J896</f>
        <v/>
      </c>
      <c r="P896" s="50">
        <f>(J896-M896)*G896</f>
        <v/>
      </c>
      <c r="Q896" s="51">
        <f>IF(K896="Received",1,0)</f>
        <v/>
      </c>
      <c r="R896" s="51">
        <f>IF(Q896=1,F896-D896,0)</f>
        <v/>
      </c>
      <c r="S896" s="51">
        <f>IF(Q896=1,IF(F896&lt;=E896,1,0),0)</f>
        <v/>
      </c>
      <c r="T896" s="51">
        <f>IF(Q896=1,IF(H896&gt;=G896,1,0),0)</f>
        <v/>
      </c>
      <c r="U896" s="51">
        <f>S896*T896</f>
        <v/>
      </c>
      <c r="V896" s="51">
        <f>IF(Q896=1,MAX(0,F896-E896),0)</f>
        <v/>
      </c>
    </row>
    <row r="897">
      <c r="A897" s="43" t="inlineStr">
        <is>
          <t>PO100202</t>
        </is>
      </c>
      <c r="B897" s="43" t="inlineStr">
        <is>
          <t>CMD-0009</t>
        </is>
      </c>
      <c r="C897" s="43" t="inlineStr">
        <is>
          <t>S11</t>
        </is>
      </c>
      <c r="D897" s="47" t="n">
        <v>45881</v>
      </c>
      <c r="E897" s="47" t="n">
        <v>46000</v>
      </c>
      <c r="F897" s="47" t="n">
        <v>45997</v>
      </c>
      <c r="G897" s="46" t="n">
        <v>7468</v>
      </c>
      <c r="H897" s="46" t="n">
        <v>7468</v>
      </c>
      <c r="I897" s="46" t="n">
        <v>17</v>
      </c>
      <c r="J897" s="44" t="n">
        <v>7.4222</v>
      </c>
      <c r="K897" s="43" t="inlineStr">
        <is>
          <t>Received</t>
        </is>
      </c>
      <c r="L897" s="17">
        <f>INDEX(Items!$C$2:$C$117,MATCH(B897,Items!$A$2:$A$117,0))</f>
        <v/>
      </c>
      <c r="M897" s="49">
        <f>INDEX(Items!$E$2:$E$117,MATCH(B897,Items!$A$2:$A$117,0))</f>
        <v/>
      </c>
      <c r="N897" s="17">
        <f>TEXT(D897,"yyyy-mm")</f>
        <v/>
      </c>
      <c r="O897" s="50">
        <f>G897*J897</f>
        <v/>
      </c>
      <c r="P897" s="50">
        <f>(J897-M897)*G897</f>
        <v/>
      </c>
      <c r="Q897" s="51">
        <f>IF(K897="Received",1,0)</f>
        <v/>
      </c>
      <c r="R897" s="51">
        <f>IF(Q897=1,F897-D897,0)</f>
        <v/>
      </c>
      <c r="S897" s="51">
        <f>IF(Q897=1,IF(F897&lt;=E897,1,0),0)</f>
        <v/>
      </c>
      <c r="T897" s="51">
        <f>IF(Q897=1,IF(H897&gt;=G897,1,0),0)</f>
        <v/>
      </c>
      <c r="U897" s="51">
        <f>S897*T897</f>
        <v/>
      </c>
      <c r="V897" s="51">
        <f>IF(Q897=1,MAX(0,F897-E897),0)</f>
        <v/>
      </c>
    </row>
    <row r="898">
      <c r="A898" s="43" t="inlineStr">
        <is>
          <t>PO100440</t>
        </is>
      </c>
      <c r="B898" s="43" t="inlineStr">
        <is>
          <t>CMD-0020</t>
        </is>
      </c>
      <c r="C898" s="43" t="inlineStr">
        <is>
          <t>S04</t>
        </is>
      </c>
      <c r="D898" s="47" t="n">
        <v>45881</v>
      </c>
      <c r="E898" s="47" t="n">
        <v>45951</v>
      </c>
      <c r="F898" s="47" t="n">
        <v>45950</v>
      </c>
      <c r="G898" s="46" t="n">
        <v>3704</v>
      </c>
      <c r="H898" s="46" t="n">
        <v>3704</v>
      </c>
      <c r="I898" s="46" t="n">
        <v>49</v>
      </c>
      <c r="J898" s="44" t="n">
        <v>5.03</v>
      </c>
      <c r="K898" s="43" t="inlineStr">
        <is>
          <t>Received</t>
        </is>
      </c>
      <c r="L898" s="17">
        <f>INDEX(Items!$C$2:$C$117,MATCH(B898,Items!$A$2:$A$117,0))</f>
        <v/>
      </c>
      <c r="M898" s="49">
        <f>INDEX(Items!$E$2:$E$117,MATCH(B898,Items!$A$2:$A$117,0))</f>
        <v/>
      </c>
      <c r="N898" s="17">
        <f>TEXT(D898,"yyyy-mm")</f>
        <v/>
      </c>
      <c r="O898" s="50">
        <f>G898*J898</f>
        <v/>
      </c>
      <c r="P898" s="50">
        <f>(J898-M898)*G898</f>
        <v/>
      </c>
      <c r="Q898" s="51">
        <f>IF(K898="Received",1,0)</f>
        <v/>
      </c>
      <c r="R898" s="51">
        <f>IF(Q898=1,F898-D898,0)</f>
        <v/>
      </c>
      <c r="S898" s="51">
        <f>IF(Q898=1,IF(F898&lt;=E898,1,0),0)</f>
        <v/>
      </c>
      <c r="T898" s="51">
        <f>IF(Q898=1,IF(H898&gt;=G898,1,0),0)</f>
        <v/>
      </c>
      <c r="U898" s="51">
        <f>S898*T898</f>
        <v/>
      </c>
      <c r="V898" s="51">
        <f>IF(Q898=1,MAX(0,F898-E898),0)</f>
        <v/>
      </c>
    </row>
    <row r="899">
      <c r="A899" s="43" t="inlineStr">
        <is>
          <t>PO100804</t>
        </is>
      </c>
      <c r="B899" s="43" t="inlineStr">
        <is>
          <t>CMD-0036</t>
        </is>
      </c>
      <c r="C899" s="43" t="inlineStr">
        <is>
          <t>S04</t>
        </is>
      </c>
      <c r="D899" s="47" t="n">
        <v>45881</v>
      </c>
      <c r="E899" s="47" t="n">
        <v>45923</v>
      </c>
      <c r="F899" s="47" t="n">
        <v>45965</v>
      </c>
      <c r="G899" s="46" t="n">
        <v>510</v>
      </c>
      <c r="H899" s="46" t="n">
        <v>510</v>
      </c>
      <c r="I899" s="46" t="n">
        <v>5</v>
      </c>
      <c r="J899" s="44" t="n">
        <v>12.36</v>
      </c>
      <c r="K899" s="43" t="inlineStr">
        <is>
          <t>Received</t>
        </is>
      </c>
      <c r="L899" s="17">
        <f>INDEX(Items!$C$2:$C$117,MATCH(B899,Items!$A$2:$A$117,0))</f>
        <v/>
      </c>
      <c r="M899" s="49">
        <f>INDEX(Items!$E$2:$E$117,MATCH(B899,Items!$A$2:$A$117,0))</f>
        <v/>
      </c>
      <c r="N899" s="17">
        <f>TEXT(D899,"yyyy-mm")</f>
        <v/>
      </c>
      <c r="O899" s="50">
        <f>G899*J899</f>
        <v/>
      </c>
      <c r="P899" s="50">
        <f>(J899-M899)*G899</f>
        <v/>
      </c>
      <c r="Q899" s="51">
        <f>IF(K899="Received",1,0)</f>
        <v/>
      </c>
      <c r="R899" s="51">
        <f>IF(Q899=1,F899-D899,0)</f>
        <v/>
      </c>
      <c r="S899" s="51">
        <f>IF(Q899=1,IF(F899&lt;=E899,1,0),0)</f>
        <v/>
      </c>
      <c r="T899" s="51">
        <f>IF(Q899=1,IF(H899&gt;=G899,1,0),0)</f>
        <v/>
      </c>
      <c r="U899" s="51">
        <f>S899*T899</f>
        <v/>
      </c>
      <c r="V899" s="51">
        <f>IF(Q899=1,MAX(0,F899-E899),0)</f>
        <v/>
      </c>
    </row>
    <row r="900">
      <c r="A900" s="43" t="inlineStr">
        <is>
          <t>PO101628</t>
        </is>
      </c>
      <c r="B900" s="43" t="inlineStr">
        <is>
          <t>CMD-0090</t>
        </is>
      </c>
      <c r="C900" s="43" t="inlineStr">
        <is>
          <t>S01</t>
        </is>
      </c>
      <c r="D900" s="47" t="n">
        <v>45882</v>
      </c>
      <c r="E900" s="47" t="n">
        <v>45896</v>
      </c>
      <c r="F900" s="47" t="n">
        <v>45893</v>
      </c>
      <c r="G900" s="46" t="n">
        <v>4602</v>
      </c>
      <c r="H900" s="46" t="n">
        <v>4602</v>
      </c>
      <c r="I900" s="46" t="n">
        <v>4</v>
      </c>
      <c r="J900" s="44" t="n">
        <v>6.99</v>
      </c>
      <c r="K900" s="43" t="inlineStr">
        <is>
          <t>Received</t>
        </is>
      </c>
      <c r="L900" s="17">
        <f>INDEX(Items!$C$2:$C$117,MATCH(B900,Items!$A$2:$A$117,0))</f>
        <v/>
      </c>
      <c r="M900" s="49">
        <f>INDEX(Items!$E$2:$E$117,MATCH(B900,Items!$A$2:$A$117,0))</f>
        <v/>
      </c>
      <c r="N900" s="17">
        <f>TEXT(D900,"yyyy-mm")</f>
        <v/>
      </c>
      <c r="O900" s="50">
        <f>G900*J900</f>
        <v/>
      </c>
      <c r="P900" s="50">
        <f>(J900-M900)*G900</f>
        <v/>
      </c>
      <c r="Q900" s="51">
        <f>IF(K900="Received",1,0)</f>
        <v/>
      </c>
      <c r="R900" s="51">
        <f>IF(Q900=1,F900-D900,0)</f>
        <v/>
      </c>
      <c r="S900" s="51">
        <f>IF(Q900=1,IF(F900&lt;=E900,1,0),0)</f>
        <v/>
      </c>
      <c r="T900" s="51">
        <f>IF(Q900=1,IF(H900&gt;=G900,1,0),0)</f>
        <v/>
      </c>
      <c r="U900" s="51">
        <f>S900*T900</f>
        <v/>
      </c>
      <c r="V900" s="51">
        <f>IF(Q900=1,MAX(0,F900-E900),0)</f>
        <v/>
      </c>
    </row>
    <row r="901">
      <c r="A901" s="43" t="inlineStr">
        <is>
          <t>PO101724</t>
        </is>
      </c>
      <c r="B901" s="43" t="inlineStr">
        <is>
          <t>CMD-0094</t>
        </is>
      </c>
      <c r="C901" s="43" t="inlineStr">
        <is>
          <t>S08</t>
        </is>
      </c>
      <c r="D901" s="47" t="n">
        <v>45882</v>
      </c>
      <c r="E901" s="47" t="n">
        <v>45959</v>
      </c>
      <c r="F901" s="47" t="n">
        <v>45956</v>
      </c>
      <c r="G901" s="46" t="n">
        <v>387</v>
      </c>
      <c r="H901" s="46" t="n">
        <v>387</v>
      </c>
      <c r="I901" s="46" t="n">
        <v>4</v>
      </c>
      <c r="J901" s="44" t="n">
        <v>74.09</v>
      </c>
      <c r="K901" s="43" t="inlineStr">
        <is>
          <t>Received</t>
        </is>
      </c>
      <c r="L901" s="17">
        <f>INDEX(Items!$C$2:$C$117,MATCH(B901,Items!$A$2:$A$117,0))</f>
        <v/>
      </c>
      <c r="M901" s="49">
        <f>INDEX(Items!$E$2:$E$117,MATCH(B901,Items!$A$2:$A$117,0))</f>
        <v/>
      </c>
      <c r="N901" s="17">
        <f>TEXT(D901,"yyyy-mm")</f>
        <v/>
      </c>
      <c r="O901" s="50">
        <f>G901*J901</f>
        <v/>
      </c>
      <c r="P901" s="50">
        <f>(J901-M901)*G901</f>
        <v/>
      </c>
      <c r="Q901" s="51">
        <f>IF(K901="Received",1,0)</f>
        <v/>
      </c>
      <c r="R901" s="51">
        <f>IF(Q901=1,F901-D901,0)</f>
        <v/>
      </c>
      <c r="S901" s="51">
        <f>IF(Q901=1,IF(F901&lt;=E901,1,0),0)</f>
        <v/>
      </c>
      <c r="T901" s="51">
        <f>IF(Q901=1,IF(H901&gt;=G901,1,0),0)</f>
        <v/>
      </c>
      <c r="U901" s="51">
        <f>S901*T901</f>
        <v/>
      </c>
      <c r="V901" s="51">
        <f>IF(Q901=1,MAX(0,F901-E901),0)</f>
        <v/>
      </c>
    </row>
    <row r="902">
      <c r="A902" s="43" t="inlineStr">
        <is>
          <t>PO100278</t>
        </is>
      </c>
      <c r="B902" s="43" t="inlineStr">
        <is>
          <t>CMD-0013</t>
        </is>
      </c>
      <c r="C902" s="43" t="inlineStr">
        <is>
          <t>S11</t>
        </is>
      </c>
      <c r="D902" s="47" t="n">
        <v>45882</v>
      </c>
      <c r="E902" s="47" t="n">
        <v>46001</v>
      </c>
      <c r="F902" s="47" t="n">
        <v>46001</v>
      </c>
      <c r="G902" s="46" t="n">
        <v>891</v>
      </c>
      <c r="H902" s="46" t="n">
        <v>891</v>
      </c>
      <c r="I902" s="46" t="n">
        <v>1</v>
      </c>
      <c r="J902" s="44" t="n">
        <v>7.965</v>
      </c>
      <c r="K902" s="43" t="inlineStr">
        <is>
          <t>Received</t>
        </is>
      </c>
      <c r="L902" s="17">
        <f>INDEX(Items!$C$2:$C$117,MATCH(B902,Items!$A$2:$A$117,0))</f>
        <v/>
      </c>
      <c r="M902" s="49">
        <f>INDEX(Items!$E$2:$E$117,MATCH(B902,Items!$A$2:$A$117,0))</f>
        <v/>
      </c>
      <c r="N902" s="17">
        <f>TEXT(D902,"yyyy-mm")</f>
        <v/>
      </c>
      <c r="O902" s="50">
        <f>G902*J902</f>
        <v/>
      </c>
      <c r="P902" s="50">
        <f>(J902-M902)*G902</f>
        <v/>
      </c>
      <c r="Q902" s="51">
        <f>IF(K902="Received",1,0)</f>
        <v/>
      </c>
      <c r="R902" s="51">
        <f>IF(Q902=1,F902-D902,0)</f>
        <v/>
      </c>
      <c r="S902" s="51">
        <f>IF(Q902=1,IF(F902&lt;=E902,1,0),0)</f>
        <v/>
      </c>
      <c r="T902" s="51">
        <f>IF(Q902=1,IF(H902&gt;=G902,1,0),0)</f>
        <v/>
      </c>
      <c r="U902" s="51">
        <f>S902*T902</f>
        <v/>
      </c>
      <c r="V902" s="51">
        <f>IF(Q902=1,MAX(0,F902-E902),0)</f>
        <v/>
      </c>
    </row>
    <row r="903">
      <c r="A903" s="43" t="inlineStr">
        <is>
          <t>PO101406</t>
        </is>
      </c>
      <c r="B903" s="43" t="inlineStr">
        <is>
          <t>CMD-0074</t>
        </is>
      </c>
      <c r="C903" s="43" t="inlineStr">
        <is>
          <t>S10</t>
        </is>
      </c>
      <c r="D903" s="47" t="n">
        <v>45882</v>
      </c>
      <c r="E903" s="47" t="n">
        <v>45910</v>
      </c>
      <c r="F903" s="47" t="n">
        <v>45907</v>
      </c>
      <c r="G903" s="46" t="n">
        <v>53023</v>
      </c>
      <c r="H903" s="46" t="n">
        <v>53023</v>
      </c>
      <c r="I903" s="46" t="n">
        <v>41</v>
      </c>
      <c r="J903" s="44" t="n">
        <v>0.3496</v>
      </c>
      <c r="K903" s="43" t="inlineStr">
        <is>
          <t>Received</t>
        </is>
      </c>
      <c r="L903" s="17">
        <f>INDEX(Items!$C$2:$C$117,MATCH(B903,Items!$A$2:$A$117,0))</f>
        <v/>
      </c>
      <c r="M903" s="49">
        <f>INDEX(Items!$E$2:$E$117,MATCH(B903,Items!$A$2:$A$117,0))</f>
        <v/>
      </c>
      <c r="N903" s="17">
        <f>TEXT(D903,"yyyy-mm")</f>
        <v/>
      </c>
      <c r="O903" s="50">
        <f>G903*J903</f>
        <v/>
      </c>
      <c r="P903" s="50">
        <f>(J903-M903)*G903</f>
        <v/>
      </c>
      <c r="Q903" s="51">
        <f>IF(K903="Received",1,0)</f>
        <v/>
      </c>
      <c r="R903" s="51">
        <f>IF(Q903=1,F903-D903,0)</f>
        <v/>
      </c>
      <c r="S903" s="51">
        <f>IF(Q903=1,IF(F903&lt;=E903,1,0),0)</f>
        <v/>
      </c>
      <c r="T903" s="51">
        <f>IF(Q903=1,IF(H903&gt;=G903,1,0),0)</f>
        <v/>
      </c>
      <c r="U903" s="51">
        <f>S903*T903</f>
        <v/>
      </c>
      <c r="V903" s="51">
        <f>IF(Q903=1,MAX(0,F903-E903),0)</f>
        <v/>
      </c>
    </row>
    <row r="904">
      <c r="A904" s="43" t="inlineStr">
        <is>
          <t>PO101574</t>
        </is>
      </c>
      <c r="B904" s="43" t="inlineStr">
        <is>
          <t>CMD-0085</t>
        </is>
      </c>
      <c r="C904" s="43" t="inlineStr">
        <is>
          <t>S06</t>
        </is>
      </c>
      <c r="D904" s="47" t="n">
        <v>45882</v>
      </c>
      <c r="E904" s="47" t="n">
        <v>45903</v>
      </c>
      <c r="F904" s="47" t="n">
        <v>45901</v>
      </c>
      <c r="G904" s="46" t="n">
        <v>874</v>
      </c>
      <c r="H904" s="46" t="n">
        <v>874</v>
      </c>
      <c r="I904" s="46" t="n">
        <v>6</v>
      </c>
      <c r="J904" s="44" t="n">
        <v>10.56</v>
      </c>
      <c r="K904" s="43" t="inlineStr">
        <is>
          <t>Received</t>
        </is>
      </c>
      <c r="L904" s="17">
        <f>INDEX(Items!$C$2:$C$117,MATCH(B904,Items!$A$2:$A$117,0))</f>
        <v/>
      </c>
      <c r="M904" s="49">
        <f>INDEX(Items!$E$2:$E$117,MATCH(B904,Items!$A$2:$A$117,0))</f>
        <v/>
      </c>
      <c r="N904" s="17">
        <f>TEXT(D904,"yyyy-mm")</f>
        <v/>
      </c>
      <c r="O904" s="50">
        <f>G904*J904</f>
        <v/>
      </c>
      <c r="P904" s="50">
        <f>(J904-M904)*G904</f>
        <v/>
      </c>
      <c r="Q904" s="51">
        <f>IF(K904="Received",1,0)</f>
        <v/>
      </c>
      <c r="R904" s="51">
        <f>IF(Q904=1,F904-D904,0)</f>
        <v/>
      </c>
      <c r="S904" s="51">
        <f>IF(Q904=1,IF(F904&lt;=E904,1,0),0)</f>
        <v/>
      </c>
      <c r="T904" s="51">
        <f>IF(Q904=1,IF(H904&gt;=G904,1,0),0)</f>
        <v/>
      </c>
      <c r="U904" s="51">
        <f>S904*T904</f>
        <v/>
      </c>
      <c r="V904" s="51">
        <f>IF(Q904=1,MAX(0,F904-E904),0)</f>
        <v/>
      </c>
    </row>
    <row r="905">
      <c r="A905" s="43" t="inlineStr">
        <is>
          <t>PO101676</t>
        </is>
      </c>
      <c r="B905" s="43" t="inlineStr">
        <is>
          <t>CMD-0092</t>
        </is>
      </c>
      <c r="C905" s="43" t="inlineStr">
        <is>
          <t>S08</t>
        </is>
      </c>
      <c r="D905" s="47" t="n">
        <v>45882</v>
      </c>
      <c r="E905" s="47" t="n">
        <v>45959</v>
      </c>
      <c r="F905" s="47" t="n">
        <v>45956</v>
      </c>
      <c r="G905" s="46" t="n">
        <v>311</v>
      </c>
      <c r="H905" s="46" t="n">
        <v>311</v>
      </c>
      <c r="I905" s="46" t="n">
        <v>5</v>
      </c>
      <c r="J905" s="44" t="n">
        <v>29.47</v>
      </c>
      <c r="K905" s="43" t="inlineStr">
        <is>
          <t>Received</t>
        </is>
      </c>
      <c r="L905" s="17">
        <f>INDEX(Items!$C$2:$C$117,MATCH(B905,Items!$A$2:$A$117,0))</f>
        <v/>
      </c>
      <c r="M905" s="49">
        <f>INDEX(Items!$E$2:$E$117,MATCH(B905,Items!$A$2:$A$117,0))</f>
        <v/>
      </c>
      <c r="N905" s="17">
        <f>TEXT(D905,"yyyy-mm")</f>
        <v/>
      </c>
      <c r="O905" s="50">
        <f>G905*J905</f>
        <v/>
      </c>
      <c r="P905" s="50">
        <f>(J905-M905)*G905</f>
        <v/>
      </c>
      <c r="Q905" s="51">
        <f>IF(K905="Received",1,0)</f>
        <v/>
      </c>
      <c r="R905" s="51">
        <f>IF(Q905=1,F905-D905,0)</f>
        <v/>
      </c>
      <c r="S905" s="51">
        <f>IF(Q905=1,IF(F905&lt;=E905,1,0),0)</f>
        <v/>
      </c>
      <c r="T905" s="51">
        <f>IF(Q905=1,IF(H905&gt;=G905,1,0),0)</f>
        <v/>
      </c>
      <c r="U905" s="51">
        <f>S905*T905</f>
        <v/>
      </c>
      <c r="V905" s="51">
        <f>IF(Q905=1,MAX(0,F905-E905),0)</f>
        <v/>
      </c>
    </row>
    <row r="906">
      <c r="A906" s="43" t="inlineStr">
        <is>
          <t>PO100154</t>
        </is>
      </c>
      <c r="B906" s="43" t="inlineStr">
        <is>
          <t>CMD-0007</t>
        </is>
      </c>
      <c r="C906" s="43" t="inlineStr">
        <is>
          <t>S03</t>
        </is>
      </c>
      <c r="D906" s="47" t="n">
        <v>45882</v>
      </c>
      <c r="E906" s="47" t="n">
        <v>46015</v>
      </c>
      <c r="F906" s="47" t="n">
        <v>46012</v>
      </c>
      <c r="G906" s="46" t="n">
        <v>3701</v>
      </c>
      <c r="H906" s="46" t="n">
        <v>3701</v>
      </c>
      <c r="I906" s="46" t="n">
        <v>25</v>
      </c>
      <c r="J906" s="44" t="n">
        <v>22.8802</v>
      </c>
      <c r="K906" s="43" t="inlineStr">
        <is>
          <t>Received</t>
        </is>
      </c>
      <c r="L906" s="17">
        <f>INDEX(Items!$C$2:$C$117,MATCH(B906,Items!$A$2:$A$117,0))</f>
        <v/>
      </c>
      <c r="M906" s="49">
        <f>INDEX(Items!$E$2:$E$117,MATCH(B906,Items!$A$2:$A$117,0))</f>
        <v/>
      </c>
      <c r="N906" s="17">
        <f>TEXT(D906,"yyyy-mm")</f>
        <v/>
      </c>
      <c r="O906" s="50">
        <f>G906*J906</f>
        <v/>
      </c>
      <c r="P906" s="50">
        <f>(J906-M906)*G906</f>
        <v/>
      </c>
      <c r="Q906" s="51">
        <f>IF(K906="Received",1,0)</f>
        <v/>
      </c>
      <c r="R906" s="51">
        <f>IF(Q906=1,F906-D906,0)</f>
        <v/>
      </c>
      <c r="S906" s="51">
        <f>IF(Q906=1,IF(F906&lt;=E906,1,0),0)</f>
        <v/>
      </c>
      <c r="T906" s="51">
        <f>IF(Q906=1,IF(H906&gt;=G906,1,0),0)</f>
        <v/>
      </c>
      <c r="U906" s="51">
        <f>S906*T906</f>
        <v/>
      </c>
      <c r="V906" s="51">
        <f>IF(Q906=1,MAX(0,F906-E906),0)</f>
        <v/>
      </c>
    </row>
    <row r="907">
      <c r="A907" s="43" t="inlineStr">
        <is>
          <t>PO100506</t>
        </is>
      </c>
      <c r="B907" s="43" t="inlineStr">
        <is>
          <t>CMD-0023</t>
        </is>
      </c>
      <c r="C907" s="43" t="inlineStr">
        <is>
          <t>S04</t>
        </is>
      </c>
      <c r="D907" s="47" t="n">
        <v>45882</v>
      </c>
      <c r="E907" s="47" t="n">
        <v>45952</v>
      </c>
      <c r="F907" s="47" t="n">
        <v>45950</v>
      </c>
      <c r="G907" s="46" t="n">
        <v>3969</v>
      </c>
      <c r="H907" s="46" t="n">
        <v>3969</v>
      </c>
      <c r="I907" s="46" t="n">
        <v>24</v>
      </c>
      <c r="J907" s="44" t="n">
        <v>8.800000000000001</v>
      </c>
      <c r="K907" s="43" t="inlineStr">
        <is>
          <t>Received</t>
        </is>
      </c>
      <c r="L907" s="17">
        <f>INDEX(Items!$C$2:$C$117,MATCH(B907,Items!$A$2:$A$117,0))</f>
        <v/>
      </c>
      <c r="M907" s="49">
        <f>INDEX(Items!$E$2:$E$117,MATCH(B907,Items!$A$2:$A$117,0))</f>
        <v/>
      </c>
      <c r="N907" s="17">
        <f>TEXT(D907,"yyyy-mm")</f>
        <v/>
      </c>
      <c r="O907" s="50">
        <f>G907*J907</f>
        <v/>
      </c>
      <c r="P907" s="50">
        <f>(J907-M907)*G907</f>
        <v/>
      </c>
      <c r="Q907" s="51">
        <f>IF(K907="Received",1,0)</f>
        <v/>
      </c>
      <c r="R907" s="51">
        <f>IF(Q907=1,F907-D907,0)</f>
        <v/>
      </c>
      <c r="S907" s="51">
        <f>IF(Q907=1,IF(F907&lt;=E907,1,0),0)</f>
        <v/>
      </c>
      <c r="T907" s="51">
        <f>IF(Q907=1,IF(H907&gt;=G907,1,0),0)</f>
        <v/>
      </c>
      <c r="U907" s="51">
        <f>S907*T907</f>
        <v/>
      </c>
      <c r="V907" s="51">
        <f>IF(Q907=1,MAX(0,F907-E907),0)</f>
        <v/>
      </c>
    </row>
    <row r="908">
      <c r="A908" s="43" t="inlineStr">
        <is>
          <t>PO100034</t>
        </is>
      </c>
      <c r="B908" s="43" t="inlineStr">
        <is>
          <t>CMD-0002</t>
        </is>
      </c>
      <c r="C908" s="43" t="inlineStr">
        <is>
          <t>S11</t>
        </is>
      </c>
      <c r="D908" s="47" t="n">
        <v>45882</v>
      </c>
      <c r="E908" s="47" t="n">
        <v>46001</v>
      </c>
      <c r="F908" s="47" t="n">
        <v>46001</v>
      </c>
      <c r="G908" s="46" t="n">
        <v>6927</v>
      </c>
      <c r="H908" s="46" t="n">
        <v>6927</v>
      </c>
      <c r="I908" s="46" t="n">
        <v>10</v>
      </c>
      <c r="J908" s="44" t="n">
        <v>8.083</v>
      </c>
      <c r="K908" s="43" t="inlineStr">
        <is>
          <t>Received</t>
        </is>
      </c>
      <c r="L908" s="17">
        <f>INDEX(Items!$C$2:$C$117,MATCH(B908,Items!$A$2:$A$117,0))</f>
        <v/>
      </c>
      <c r="M908" s="49">
        <f>INDEX(Items!$E$2:$E$117,MATCH(B908,Items!$A$2:$A$117,0))</f>
        <v/>
      </c>
      <c r="N908" s="17">
        <f>TEXT(D908,"yyyy-mm")</f>
        <v/>
      </c>
      <c r="O908" s="50">
        <f>G908*J908</f>
        <v/>
      </c>
      <c r="P908" s="50">
        <f>(J908-M908)*G908</f>
        <v/>
      </c>
      <c r="Q908" s="51">
        <f>IF(K908="Received",1,0)</f>
        <v/>
      </c>
      <c r="R908" s="51">
        <f>IF(Q908=1,F908-D908,0)</f>
        <v/>
      </c>
      <c r="S908" s="51">
        <f>IF(Q908=1,IF(F908&lt;=E908,1,0),0)</f>
        <v/>
      </c>
      <c r="T908" s="51">
        <f>IF(Q908=1,IF(H908&gt;=G908,1,0),0)</f>
        <v/>
      </c>
      <c r="U908" s="51">
        <f>S908*T908</f>
        <v/>
      </c>
      <c r="V908" s="51">
        <f>IF(Q908=1,MAX(0,F908-E908),0)</f>
        <v/>
      </c>
    </row>
    <row r="909">
      <c r="A909" s="43" t="inlineStr">
        <is>
          <t>PO100602</t>
        </is>
      </c>
      <c r="B909" s="43" t="inlineStr">
        <is>
          <t>CMD-0027</t>
        </is>
      </c>
      <c r="C909" s="43" t="inlineStr">
        <is>
          <t>S04</t>
        </is>
      </c>
      <c r="D909" s="47" t="n">
        <v>45882</v>
      </c>
      <c r="E909" s="47" t="n">
        <v>45952</v>
      </c>
      <c r="F909" s="47" t="n">
        <v>45952</v>
      </c>
      <c r="G909" s="46" t="n">
        <v>7744</v>
      </c>
      <c r="H909" s="46" t="n">
        <v>7744</v>
      </c>
      <c r="I909" s="46" t="n">
        <v>69</v>
      </c>
      <c r="J909" s="44" t="n">
        <v>8.85</v>
      </c>
      <c r="K909" s="43" t="inlineStr">
        <is>
          <t>Received</t>
        </is>
      </c>
      <c r="L909" s="17">
        <f>INDEX(Items!$C$2:$C$117,MATCH(B909,Items!$A$2:$A$117,0))</f>
        <v/>
      </c>
      <c r="M909" s="49">
        <f>INDEX(Items!$E$2:$E$117,MATCH(B909,Items!$A$2:$A$117,0))</f>
        <v/>
      </c>
      <c r="N909" s="17">
        <f>TEXT(D909,"yyyy-mm")</f>
        <v/>
      </c>
      <c r="O909" s="50">
        <f>G909*J909</f>
        <v/>
      </c>
      <c r="P909" s="50">
        <f>(J909-M909)*G909</f>
        <v/>
      </c>
      <c r="Q909" s="51">
        <f>IF(K909="Received",1,0)</f>
        <v/>
      </c>
      <c r="R909" s="51">
        <f>IF(Q909=1,F909-D909,0)</f>
        <v/>
      </c>
      <c r="S909" s="51">
        <f>IF(Q909=1,IF(F909&lt;=E909,1,0),0)</f>
        <v/>
      </c>
      <c r="T909" s="51">
        <f>IF(Q909=1,IF(H909&gt;=G909,1,0),0)</f>
        <v/>
      </c>
      <c r="U909" s="51">
        <f>S909*T909</f>
        <v/>
      </c>
      <c r="V909" s="51">
        <f>IF(Q909=1,MAX(0,F909-E909),0)</f>
        <v/>
      </c>
    </row>
    <row r="910">
      <c r="A910" s="43" t="inlineStr">
        <is>
          <t>PO100058</t>
        </is>
      </c>
      <c r="B910" s="43" t="inlineStr">
        <is>
          <t>CMD-0003</t>
        </is>
      </c>
      <c r="C910" s="43" t="inlineStr">
        <is>
          <t>S11</t>
        </is>
      </c>
      <c r="D910" s="47" t="n">
        <v>45882</v>
      </c>
      <c r="E910" s="47" t="n">
        <v>46001</v>
      </c>
      <c r="F910" s="47" t="n">
        <v>46000</v>
      </c>
      <c r="G910" s="46" t="n">
        <v>7398</v>
      </c>
      <c r="H910" s="46" t="n">
        <v>7398</v>
      </c>
      <c r="I910" s="46" t="n">
        <v>16</v>
      </c>
      <c r="J910" s="44" t="n">
        <v>25.3582</v>
      </c>
      <c r="K910" s="43" t="inlineStr">
        <is>
          <t>Received</t>
        </is>
      </c>
      <c r="L910" s="17">
        <f>INDEX(Items!$C$2:$C$117,MATCH(B910,Items!$A$2:$A$117,0))</f>
        <v/>
      </c>
      <c r="M910" s="49">
        <f>INDEX(Items!$E$2:$E$117,MATCH(B910,Items!$A$2:$A$117,0))</f>
        <v/>
      </c>
      <c r="N910" s="17">
        <f>TEXT(D910,"yyyy-mm")</f>
        <v/>
      </c>
      <c r="O910" s="50">
        <f>G910*J910</f>
        <v/>
      </c>
      <c r="P910" s="50">
        <f>(J910-M910)*G910</f>
        <v/>
      </c>
      <c r="Q910" s="51">
        <f>IF(K910="Received",1,0)</f>
        <v/>
      </c>
      <c r="R910" s="51">
        <f>IF(Q910=1,F910-D910,0)</f>
        <v/>
      </c>
      <c r="S910" s="51">
        <f>IF(Q910=1,IF(F910&lt;=E910,1,0),0)</f>
        <v/>
      </c>
      <c r="T910" s="51">
        <f>IF(Q910=1,IF(H910&gt;=G910,1,0),0)</f>
        <v/>
      </c>
      <c r="U910" s="51">
        <f>S910*T910</f>
        <v/>
      </c>
      <c r="V910" s="51">
        <f>IF(Q910=1,MAX(0,F910-E910),0)</f>
        <v/>
      </c>
    </row>
    <row r="911">
      <c r="A911" s="43" t="inlineStr">
        <is>
          <t>PO100650</t>
        </is>
      </c>
      <c r="B911" s="43" t="inlineStr">
        <is>
          <t>CMD-0029</t>
        </is>
      </c>
      <c r="C911" s="43" t="inlineStr">
        <is>
          <t>S11</t>
        </is>
      </c>
      <c r="D911" s="47" t="n">
        <v>45883</v>
      </c>
      <c r="E911" s="47" t="n">
        <v>45960</v>
      </c>
      <c r="F911" s="47" t="n">
        <v>45964</v>
      </c>
      <c r="G911" s="46" t="n">
        <v>4486</v>
      </c>
      <c r="H911" s="46" t="n">
        <v>4486</v>
      </c>
      <c r="I911" s="46" t="n">
        <v>12</v>
      </c>
      <c r="J911" s="44" t="n">
        <v>6.87</v>
      </c>
      <c r="K911" s="43" t="inlineStr">
        <is>
          <t>Received</t>
        </is>
      </c>
      <c r="L911" s="17">
        <f>INDEX(Items!$C$2:$C$117,MATCH(B911,Items!$A$2:$A$117,0))</f>
        <v/>
      </c>
      <c r="M911" s="49">
        <f>INDEX(Items!$E$2:$E$117,MATCH(B911,Items!$A$2:$A$117,0))</f>
        <v/>
      </c>
      <c r="N911" s="17">
        <f>TEXT(D911,"yyyy-mm")</f>
        <v/>
      </c>
      <c r="O911" s="50">
        <f>G911*J911</f>
        <v/>
      </c>
      <c r="P911" s="50">
        <f>(J911-M911)*G911</f>
        <v/>
      </c>
      <c r="Q911" s="51">
        <f>IF(K911="Received",1,0)</f>
        <v/>
      </c>
      <c r="R911" s="51">
        <f>IF(Q911=1,F911-D911,0)</f>
        <v/>
      </c>
      <c r="S911" s="51">
        <f>IF(Q911=1,IF(F911&lt;=E911,1,0),0)</f>
        <v/>
      </c>
      <c r="T911" s="51">
        <f>IF(Q911=1,IF(H911&gt;=G911,1,0),0)</f>
        <v/>
      </c>
      <c r="U911" s="51">
        <f>S911*T911</f>
        <v/>
      </c>
      <c r="V911" s="51">
        <f>IF(Q911=1,MAX(0,F911-E911),0)</f>
        <v/>
      </c>
    </row>
    <row r="912">
      <c r="A912" s="43" t="inlineStr">
        <is>
          <t>PO101062</t>
        </is>
      </c>
      <c r="B912" s="43" t="inlineStr">
        <is>
          <t>CMD-0048</t>
        </is>
      </c>
      <c r="C912" s="43" t="inlineStr">
        <is>
          <t>S10</t>
        </is>
      </c>
      <c r="D912" s="47" t="n">
        <v>45883</v>
      </c>
      <c r="E912" s="47" t="n">
        <v>45911</v>
      </c>
      <c r="F912" s="47" t="n">
        <v>45911</v>
      </c>
      <c r="G912" s="46" t="n">
        <v>17492</v>
      </c>
      <c r="H912" s="46" t="n">
        <v>17492</v>
      </c>
      <c r="I912" s="46" t="n">
        <v>15</v>
      </c>
      <c r="J912" s="44" t="n">
        <v>0.3231</v>
      </c>
      <c r="K912" s="43" t="inlineStr">
        <is>
          <t>Received</t>
        </is>
      </c>
      <c r="L912" s="17">
        <f>INDEX(Items!$C$2:$C$117,MATCH(B912,Items!$A$2:$A$117,0))</f>
        <v/>
      </c>
      <c r="M912" s="49">
        <f>INDEX(Items!$E$2:$E$117,MATCH(B912,Items!$A$2:$A$117,0))</f>
        <v/>
      </c>
      <c r="N912" s="17">
        <f>TEXT(D912,"yyyy-mm")</f>
        <v/>
      </c>
      <c r="O912" s="50">
        <f>G912*J912</f>
        <v/>
      </c>
      <c r="P912" s="50">
        <f>(J912-M912)*G912</f>
        <v/>
      </c>
      <c r="Q912" s="51">
        <f>IF(K912="Received",1,0)</f>
        <v/>
      </c>
      <c r="R912" s="51">
        <f>IF(Q912=1,F912-D912,0)</f>
        <v/>
      </c>
      <c r="S912" s="51">
        <f>IF(Q912=1,IF(F912&lt;=E912,1,0),0)</f>
        <v/>
      </c>
      <c r="T912" s="51">
        <f>IF(Q912=1,IF(H912&gt;=G912,1,0),0)</f>
        <v/>
      </c>
      <c r="U912" s="51">
        <f>S912*T912</f>
        <v/>
      </c>
      <c r="V912" s="51">
        <f>IF(Q912=1,MAX(0,F912-E912),0)</f>
        <v/>
      </c>
    </row>
    <row r="913">
      <c r="A913" s="43" t="inlineStr">
        <is>
          <t>PO100326</t>
        </is>
      </c>
      <c r="B913" s="43" t="inlineStr">
        <is>
          <t>CMD-0015</t>
        </is>
      </c>
      <c r="C913" s="43" t="inlineStr">
        <is>
          <t>S03</t>
        </is>
      </c>
      <c r="D913" s="47" t="n">
        <v>45883</v>
      </c>
      <c r="E913" s="47" t="n">
        <v>46016</v>
      </c>
      <c r="F913" s="47" t="n">
        <v>46013</v>
      </c>
      <c r="G913" s="46" t="n">
        <v>4023</v>
      </c>
      <c r="H913" s="46" t="n">
        <v>4023</v>
      </c>
      <c r="I913" s="46" t="n">
        <v>26</v>
      </c>
      <c r="J913" s="44" t="n">
        <v>6.6788</v>
      </c>
      <c r="K913" s="43" t="inlineStr">
        <is>
          <t>Received</t>
        </is>
      </c>
      <c r="L913" s="17">
        <f>INDEX(Items!$C$2:$C$117,MATCH(B913,Items!$A$2:$A$117,0))</f>
        <v/>
      </c>
      <c r="M913" s="49">
        <f>INDEX(Items!$E$2:$E$117,MATCH(B913,Items!$A$2:$A$117,0))</f>
        <v/>
      </c>
      <c r="N913" s="17">
        <f>TEXT(D913,"yyyy-mm")</f>
        <v/>
      </c>
      <c r="O913" s="50">
        <f>G913*J913</f>
        <v/>
      </c>
      <c r="P913" s="50">
        <f>(J913-M913)*G913</f>
        <v/>
      </c>
      <c r="Q913" s="51">
        <f>IF(K913="Received",1,0)</f>
        <v/>
      </c>
      <c r="R913" s="51">
        <f>IF(Q913=1,F913-D913,0)</f>
        <v/>
      </c>
      <c r="S913" s="51">
        <f>IF(Q913=1,IF(F913&lt;=E913,1,0),0)</f>
        <v/>
      </c>
      <c r="T913" s="51">
        <f>IF(Q913=1,IF(H913&gt;=G913,1,0),0)</f>
        <v/>
      </c>
      <c r="U913" s="51">
        <f>S913*T913</f>
        <v/>
      </c>
      <c r="V913" s="51">
        <f>IF(Q913=1,MAX(0,F913-E913),0)</f>
        <v/>
      </c>
    </row>
    <row r="914">
      <c r="A914" s="43" t="inlineStr">
        <is>
          <t>PO100920</t>
        </is>
      </c>
      <c r="B914" s="43" t="inlineStr">
        <is>
          <t>CMD-0042</t>
        </is>
      </c>
      <c r="C914" s="43" t="inlineStr">
        <is>
          <t>S05</t>
        </is>
      </c>
      <c r="D914" s="47" t="n">
        <v>45883</v>
      </c>
      <c r="E914" s="47" t="n">
        <v>45988</v>
      </c>
      <c r="F914" s="47" t="n">
        <v>45987</v>
      </c>
      <c r="G914" s="46" t="n">
        <v>636</v>
      </c>
      <c r="H914" s="46" t="n">
        <v>636</v>
      </c>
      <c r="I914" s="46" t="n">
        <v>14</v>
      </c>
      <c r="J914" s="44" t="n">
        <v>8.91</v>
      </c>
      <c r="K914" s="43" t="inlineStr">
        <is>
          <t>Received</t>
        </is>
      </c>
      <c r="L914" s="17">
        <f>INDEX(Items!$C$2:$C$117,MATCH(B914,Items!$A$2:$A$117,0))</f>
        <v/>
      </c>
      <c r="M914" s="49">
        <f>INDEX(Items!$E$2:$E$117,MATCH(B914,Items!$A$2:$A$117,0))</f>
        <v/>
      </c>
      <c r="N914" s="17">
        <f>TEXT(D914,"yyyy-mm")</f>
        <v/>
      </c>
      <c r="O914" s="50">
        <f>G914*J914</f>
        <v/>
      </c>
      <c r="P914" s="50">
        <f>(J914-M914)*G914</f>
        <v/>
      </c>
      <c r="Q914" s="51">
        <f>IF(K914="Received",1,0)</f>
        <v/>
      </c>
      <c r="R914" s="51">
        <f>IF(Q914=1,F914-D914,0)</f>
        <v/>
      </c>
      <c r="S914" s="51">
        <f>IF(Q914=1,IF(F914&lt;=E914,1,0),0)</f>
        <v/>
      </c>
      <c r="T914" s="51">
        <f>IF(Q914=1,IF(H914&gt;=G914,1,0),0)</f>
        <v/>
      </c>
      <c r="U914" s="51">
        <f>S914*T914</f>
        <v/>
      </c>
      <c r="V914" s="51">
        <f>IF(Q914=1,MAX(0,F914-E914),0)</f>
        <v/>
      </c>
    </row>
    <row r="915">
      <c r="A915" s="43" t="inlineStr">
        <is>
          <t>PO100828</t>
        </is>
      </c>
      <c r="B915" s="43" t="inlineStr">
        <is>
          <t>CMD-0037</t>
        </is>
      </c>
      <c r="C915" s="43" t="inlineStr">
        <is>
          <t>S07</t>
        </is>
      </c>
      <c r="D915" s="47" t="n">
        <v>45883</v>
      </c>
      <c r="E915" s="47" t="n">
        <v>45925</v>
      </c>
      <c r="F915" s="47" t="n">
        <v>45924</v>
      </c>
      <c r="G915" s="46" t="n">
        <v>416</v>
      </c>
      <c r="H915" s="46" t="n">
        <v>416</v>
      </c>
      <c r="I915" s="46" t="n">
        <v>3</v>
      </c>
      <c r="J915" s="44" t="n">
        <v>53.62</v>
      </c>
      <c r="K915" s="43" t="inlineStr">
        <is>
          <t>Received</t>
        </is>
      </c>
      <c r="L915" s="17">
        <f>INDEX(Items!$C$2:$C$117,MATCH(B915,Items!$A$2:$A$117,0))</f>
        <v/>
      </c>
      <c r="M915" s="49">
        <f>INDEX(Items!$E$2:$E$117,MATCH(B915,Items!$A$2:$A$117,0))</f>
        <v/>
      </c>
      <c r="N915" s="17">
        <f>TEXT(D915,"yyyy-mm")</f>
        <v/>
      </c>
      <c r="O915" s="50">
        <f>G915*J915</f>
        <v/>
      </c>
      <c r="P915" s="50">
        <f>(J915-M915)*G915</f>
        <v/>
      </c>
      <c r="Q915" s="51">
        <f>IF(K915="Received",1,0)</f>
        <v/>
      </c>
      <c r="R915" s="51">
        <f>IF(Q915=1,F915-D915,0)</f>
        <v/>
      </c>
      <c r="S915" s="51">
        <f>IF(Q915=1,IF(F915&lt;=E915,1,0),0)</f>
        <v/>
      </c>
      <c r="T915" s="51">
        <f>IF(Q915=1,IF(H915&gt;=G915,1,0),0)</f>
        <v/>
      </c>
      <c r="U915" s="51">
        <f>S915*T915</f>
        <v/>
      </c>
      <c r="V915" s="51">
        <f>IF(Q915=1,MAX(0,F915-E915),0)</f>
        <v/>
      </c>
    </row>
    <row r="916">
      <c r="A916" s="43" t="inlineStr">
        <is>
          <t>PO101192</t>
        </is>
      </c>
      <c r="B916" s="43" t="inlineStr">
        <is>
          <t>CMD-0055</t>
        </is>
      </c>
      <c r="C916" s="43" t="inlineStr">
        <is>
          <t>S04</t>
        </is>
      </c>
      <c r="D916" s="47" t="n">
        <v>45883</v>
      </c>
      <c r="E916" s="47" t="n">
        <v>45918</v>
      </c>
      <c r="F916" s="47" t="n">
        <v>45917</v>
      </c>
      <c r="G916" s="46" t="n">
        <v>93963</v>
      </c>
      <c r="H916" s="46" t="n">
        <v>93963</v>
      </c>
      <c r="I916" s="46" t="n">
        <v>926</v>
      </c>
      <c r="J916" s="44" t="n">
        <v>0.09379999999999999</v>
      </c>
      <c r="K916" s="43" t="inlineStr">
        <is>
          <t>Received</t>
        </is>
      </c>
      <c r="L916" s="17">
        <f>INDEX(Items!$C$2:$C$117,MATCH(B916,Items!$A$2:$A$117,0))</f>
        <v/>
      </c>
      <c r="M916" s="49">
        <f>INDEX(Items!$E$2:$E$117,MATCH(B916,Items!$A$2:$A$117,0))</f>
        <v/>
      </c>
      <c r="N916" s="17">
        <f>TEXT(D916,"yyyy-mm")</f>
        <v/>
      </c>
      <c r="O916" s="50">
        <f>G916*J916</f>
        <v/>
      </c>
      <c r="P916" s="50">
        <f>(J916-M916)*G916</f>
        <v/>
      </c>
      <c r="Q916" s="51">
        <f>IF(K916="Received",1,0)</f>
        <v/>
      </c>
      <c r="R916" s="51">
        <f>IF(Q916=1,F916-D916,0)</f>
        <v/>
      </c>
      <c r="S916" s="51">
        <f>IF(Q916=1,IF(F916&lt;=E916,1,0),0)</f>
        <v/>
      </c>
      <c r="T916" s="51">
        <f>IF(Q916=1,IF(H916&gt;=G916,1,0),0)</f>
        <v/>
      </c>
      <c r="U916" s="51">
        <f>S916*T916</f>
        <v/>
      </c>
      <c r="V916" s="51">
        <f>IF(Q916=1,MAX(0,F916-E916),0)</f>
        <v/>
      </c>
    </row>
    <row r="917">
      <c r="A917" s="43" t="inlineStr">
        <is>
          <t>PO100554</t>
        </is>
      </c>
      <c r="B917" s="43" t="inlineStr">
        <is>
          <t>CMD-0025</t>
        </is>
      </c>
      <c r="C917" s="43" t="inlineStr">
        <is>
          <t>S02</t>
        </is>
      </c>
      <c r="D917" s="47" t="n">
        <v>45883</v>
      </c>
      <c r="E917" s="47" t="n">
        <v>45939</v>
      </c>
      <c r="F917" s="47" t="n">
        <v>45939</v>
      </c>
      <c r="G917" s="46" t="n">
        <v>1206</v>
      </c>
      <c r="H917" s="46" t="n">
        <v>1206</v>
      </c>
      <c r="I917" s="46" t="n">
        <v>3</v>
      </c>
      <c r="J917" s="44" t="n">
        <v>10.52</v>
      </c>
      <c r="K917" s="43" t="inlineStr">
        <is>
          <t>Received</t>
        </is>
      </c>
      <c r="L917" s="17">
        <f>INDEX(Items!$C$2:$C$117,MATCH(B917,Items!$A$2:$A$117,0))</f>
        <v/>
      </c>
      <c r="M917" s="49">
        <f>INDEX(Items!$E$2:$E$117,MATCH(B917,Items!$A$2:$A$117,0))</f>
        <v/>
      </c>
      <c r="N917" s="17">
        <f>TEXT(D917,"yyyy-mm")</f>
        <v/>
      </c>
      <c r="O917" s="50">
        <f>G917*J917</f>
        <v/>
      </c>
      <c r="P917" s="50">
        <f>(J917-M917)*G917</f>
        <v/>
      </c>
      <c r="Q917" s="51">
        <f>IF(K917="Received",1,0)</f>
        <v/>
      </c>
      <c r="R917" s="51">
        <f>IF(Q917=1,F917-D917,0)</f>
        <v/>
      </c>
      <c r="S917" s="51">
        <f>IF(Q917=1,IF(F917&lt;=E917,1,0),0)</f>
        <v/>
      </c>
      <c r="T917" s="51">
        <f>IF(Q917=1,IF(H917&gt;=G917,1,0),0)</f>
        <v/>
      </c>
      <c r="U917" s="51">
        <f>S917*T917</f>
        <v/>
      </c>
      <c r="V917" s="51">
        <f>IF(Q917=1,MAX(0,F917-E917),0)</f>
        <v/>
      </c>
    </row>
    <row r="918">
      <c r="A918" s="43" t="inlineStr">
        <is>
          <t>PO100944</t>
        </is>
      </c>
      <c r="B918" s="43" t="inlineStr">
        <is>
          <t>CMD-0043</t>
        </is>
      </c>
      <c r="C918" s="43" t="inlineStr">
        <is>
          <t>S05</t>
        </is>
      </c>
      <c r="D918" s="47" t="n">
        <v>45883</v>
      </c>
      <c r="E918" s="47" t="n">
        <v>45988</v>
      </c>
      <c r="F918" s="47" t="n">
        <v>45985</v>
      </c>
      <c r="G918" s="46" t="n">
        <v>5855</v>
      </c>
      <c r="H918" s="46" t="n">
        <v>5855</v>
      </c>
      <c r="I918" s="46" t="n">
        <v>112</v>
      </c>
      <c r="J918" s="44" t="n">
        <v>3.69</v>
      </c>
      <c r="K918" s="43" t="inlineStr">
        <is>
          <t>Received</t>
        </is>
      </c>
      <c r="L918" s="17">
        <f>INDEX(Items!$C$2:$C$117,MATCH(B918,Items!$A$2:$A$117,0))</f>
        <v/>
      </c>
      <c r="M918" s="49">
        <f>INDEX(Items!$E$2:$E$117,MATCH(B918,Items!$A$2:$A$117,0))</f>
        <v/>
      </c>
      <c r="N918" s="17">
        <f>TEXT(D918,"yyyy-mm")</f>
        <v/>
      </c>
      <c r="O918" s="50">
        <f>G918*J918</f>
        <v/>
      </c>
      <c r="P918" s="50">
        <f>(J918-M918)*G918</f>
        <v/>
      </c>
      <c r="Q918" s="51">
        <f>IF(K918="Received",1,0)</f>
        <v/>
      </c>
      <c r="R918" s="51">
        <f>IF(Q918=1,F918-D918,0)</f>
        <v/>
      </c>
      <c r="S918" s="51">
        <f>IF(Q918=1,IF(F918&lt;=E918,1,0),0)</f>
        <v/>
      </c>
      <c r="T918" s="51">
        <f>IF(Q918=1,IF(H918&gt;=G918,1,0),0)</f>
        <v/>
      </c>
      <c r="U918" s="51">
        <f>S918*T918</f>
        <v/>
      </c>
      <c r="V918" s="51">
        <f>IF(Q918=1,MAX(0,F918-E918),0)</f>
        <v/>
      </c>
    </row>
    <row r="919">
      <c r="A919" s="43" t="inlineStr">
        <is>
          <t>PO101878</t>
        </is>
      </c>
      <c r="B919" s="43" t="inlineStr">
        <is>
          <t>CMD-0102</t>
        </is>
      </c>
      <c r="C919" s="43" t="inlineStr">
        <is>
          <t>S09</t>
        </is>
      </c>
      <c r="D919" s="47" t="n">
        <v>45883</v>
      </c>
      <c r="E919" s="47" t="n">
        <v>45904</v>
      </c>
      <c r="F919" s="47" t="n">
        <v>45901</v>
      </c>
      <c r="G919" s="46" t="n">
        <v>2427</v>
      </c>
      <c r="H919" s="46" t="n">
        <v>2427</v>
      </c>
      <c r="I919" s="46" t="n">
        <v>4</v>
      </c>
      <c r="J919" s="44" t="n">
        <v>6.71</v>
      </c>
      <c r="K919" s="43" t="inlineStr">
        <is>
          <t>Received</t>
        </is>
      </c>
      <c r="L919" s="17">
        <f>INDEX(Items!$C$2:$C$117,MATCH(B919,Items!$A$2:$A$117,0))</f>
        <v/>
      </c>
      <c r="M919" s="49">
        <f>INDEX(Items!$E$2:$E$117,MATCH(B919,Items!$A$2:$A$117,0))</f>
        <v/>
      </c>
      <c r="N919" s="17">
        <f>TEXT(D919,"yyyy-mm")</f>
        <v/>
      </c>
      <c r="O919" s="50">
        <f>G919*J919</f>
        <v/>
      </c>
      <c r="P919" s="50">
        <f>(J919-M919)*G919</f>
        <v/>
      </c>
      <c r="Q919" s="51">
        <f>IF(K919="Received",1,0)</f>
        <v/>
      </c>
      <c r="R919" s="51">
        <f>IF(Q919=1,F919-D919,0)</f>
        <v/>
      </c>
      <c r="S919" s="51">
        <f>IF(Q919=1,IF(F919&lt;=E919,1,0),0)</f>
        <v/>
      </c>
      <c r="T919" s="51">
        <f>IF(Q919=1,IF(H919&gt;=G919,1,0),0)</f>
        <v/>
      </c>
      <c r="U919" s="51">
        <f>S919*T919</f>
        <v/>
      </c>
      <c r="V919" s="51">
        <f>IF(Q919=1,MAX(0,F919-E919),0)</f>
        <v/>
      </c>
    </row>
    <row r="920">
      <c r="A920" s="43" t="inlineStr">
        <is>
          <t>PO100674</t>
        </is>
      </c>
      <c r="B920" s="43" t="inlineStr">
        <is>
          <t>CMD-0030</t>
        </is>
      </c>
      <c r="C920" s="43" t="inlineStr">
        <is>
          <t>S11</t>
        </is>
      </c>
      <c r="D920" s="47" t="n">
        <v>45883</v>
      </c>
      <c r="E920" s="47" t="n">
        <v>45960</v>
      </c>
      <c r="F920" s="47" t="n">
        <v>45958</v>
      </c>
      <c r="G920" s="46" t="n">
        <v>7413</v>
      </c>
      <c r="H920" s="46" t="n">
        <v>7413</v>
      </c>
      <c r="I920" s="46" t="n">
        <v>17</v>
      </c>
      <c r="J920" s="44" t="n">
        <v>23.19</v>
      </c>
      <c r="K920" s="43" t="inlineStr">
        <is>
          <t>Received</t>
        </is>
      </c>
      <c r="L920" s="17">
        <f>INDEX(Items!$C$2:$C$117,MATCH(B920,Items!$A$2:$A$117,0))</f>
        <v/>
      </c>
      <c r="M920" s="49">
        <f>INDEX(Items!$E$2:$E$117,MATCH(B920,Items!$A$2:$A$117,0))</f>
        <v/>
      </c>
      <c r="N920" s="17">
        <f>TEXT(D920,"yyyy-mm")</f>
        <v/>
      </c>
      <c r="O920" s="50">
        <f>G920*J920</f>
        <v/>
      </c>
      <c r="P920" s="50">
        <f>(J920-M920)*G920</f>
        <v/>
      </c>
      <c r="Q920" s="51">
        <f>IF(K920="Received",1,0)</f>
        <v/>
      </c>
      <c r="R920" s="51">
        <f>IF(Q920=1,F920-D920,0)</f>
        <v/>
      </c>
      <c r="S920" s="51">
        <f>IF(Q920=1,IF(F920&lt;=E920,1,0),0)</f>
        <v/>
      </c>
      <c r="T920" s="51">
        <f>IF(Q920=1,IF(H920&gt;=G920,1,0),0)</f>
        <v/>
      </c>
      <c r="U920" s="51">
        <f>S920*T920</f>
        <v/>
      </c>
      <c r="V920" s="51">
        <f>IF(Q920=1,MAX(0,F920-E920),0)</f>
        <v/>
      </c>
    </row>
    <row r="921">
      <c r="A921" s="43" t="inlineStr">
        <is>
          <t>PO100082</t>
        </is>
      </c>
      <c r="B921" s="43" t="inlineStr">
        <is>
          <t>CMD-0004</t>
        </is>
      </c>
      <c r="C921" s="43" t="inlineStr">
        <is>
          <t>S07</t>
        </is>
      </c>
      <c r="D921" s="47" t="n">
        <v>45884</v>
      </c>
      <c r="E921" s="47" t="n">
        <v>45975</v>
      </c>
      <c r="F921" s="47" t="n">
        <v>45973</v>
      </c>
      <c r="G921" s="46" t="n">
        <v>4002</v>
      </c>
      <c r="H921" s="46" t="n">
        <v>4002</v>
      </c>
      <c r="I921" s="46" t="n">
        <v>23</v>
      </c>
      <c r="J921" s="44" t="n">
        <v>4.779</v>
      </c>
      <c r="K921" s="43" t="inlineStr">
        <is>
          <t>Received</t>
        </is>
      </c>
      <c r="L921" s="17">
        <f>INDEX(Items!$C$2:$C$117,MATCH(B921,Items!$A$2:$A$117,0))</f>
        <v/>
      </c>
      <c r="M921" s="49">
        <f>INDEX(Items!$E$2:$E$117,MATCH(B921,Items!$A$2:$A$117,0))</f>
        <v/>
      </c>
      <c r="N921" s="17">
        <f>TEXT(D921,"yyyy-mm")</f>
        <v/>
      </c>
      <c r="O921" s="50">
        <f>G921*J921</f>
        <v/>
      </c>
      <c r="P921" s="50">
        <f>(J921-M921)*G921</f>
        <v/>
      </c>
      <c r="Q921" s="51">
        <f>IF(K921="Received",1,0)</f>
        <v/>
      </c>
      <c r="R921" s="51">
        <f>IF(Q921=1,F921-D921,0)</f>
        <v/>
      </c>
      <c r="S921" s="51">
        <f>IF(Q921=1,IF(F921&lt;=E921,1,0),0)</f>
        <v/>
      </c>
      <c r="T921" s="51">
        <f>IF(Q921=1,IF(H921&gt;=G921,1,0),0)</f>
        <v/>
      </c>
      <c r="U921" s="51">
        <f>S921*T921</f>
        <v/>
      </c>
      <c r="V921" s="51">
        <f>IF(Q921=1,MAX(0,F921-E921),0)</f>
        <v/>
      </c>
    </row>
    <row r="922">
      <c r="A922" s="43" t="inlineStr">
        <is>
          <t>PO101238</t>
        </is>
      </c>
      <c r="B922" s="43" t="inlineStr">
        <is>
          <t>CMD-0058</t>
        </is>
      </c>
      <c r="C922" s="43" t="inlineStr">
        <is>
          <t>S04</t>
        </is>
      </c>
      <c r="D922" s="47" t="n">
        <v>45884</v>
      </c>
      <c r="E922" s="47" t="n">
        <v>45919</v>
      </c>
      <c r="F922" s="47" t="n">
        <v>45916</v>
      </c>
      <c r="G922" s="46" t="n">
        <v>70631</v>
      </c>
      <c r="H922" s="46" t="n">
        <v>70631</v>
      </c>
      <c r="I922" s="46" t="n">
        <v>706</v>
      </c>
      <c r="J922" s="44" t="n">
        <v>0.1178</v>
      </c>
      <c r="K922" s="43" t="inlineStr">
        <is>
          <t>Received</t>
        </is>
      </c>
      <c r="L922" s="17">
        <f>INDEX(Items!$C$2:$C$117,MATCH(B922,Items!$A$2:$A$117,0))</f>
        <v/>
      </c>
      <c r="M922" s="49">
        <f>INDEX(Items!$E$2:$E$117,MATCH(B922,Items!$A$2:$A$117,0))</f>
        <v/>
      </c>
      <c r="N922" s="17">
        <f>TEXT(D922,"yyyy-mm")</f>
        <v/>
      </c>
      <c r="O922" s="50">
        <f>G922*J922</f>
        <v/>
      </c>
      <c r="P922" s="50">
        <f>(J922-M922)*G922</f>
        <v/>
      </c>
      <c r="Q922" s="51">
        <f>IF(K922="Received",1,0)</f>
        <v/>
      </c>
      <c r="R922" s="51">
        <f>IF(Q922=1,F922-D922,0)</f>
        <v/>
      </c>
      <c r="S922" s="51">
        <f>IF(Q922=1,IF(F922&lt;=E922,1,0),0)</f>
        <v/>
      </c>
      <c r="T922" s="51">
        <f>IF(Q922=1,IF(H922&gt;=G922,1,0),0)</f>
        <v/>
      </c>
      <c r="U922" s="51">
        <f>S922*T922</f>
        <v/>
      </c>
      <c r="V922" s="51">
        <f>IF(Q922=1,MAX(0,F922-E922),0)</f>
        <v/>
      </c>
    </row>
    <row r="923">
      <c r="A923" s="43" t="inlineStr">
        <is>
          <t>PO101466</t>
        </is>
      </c>
      <c r="B923" s="43" t="inlineStr">
        <is>
          <t>CMD-0078</t>
        </is>
      </c>
      <c r="C923" s="43" t="inlineStr">
        <is>
          <t>S06</t>
        </is>
      </c>
      <c r="D923" s="47" t="n">
        <v>45884</v>
      </c>
      <c r="E923" s="47" t="n">
        <v>45905</v>
      </c>
      <c r="F923" s="47" t="n">
        <v>45907</v>
      </c>
      <c r="G923" s="46" t="n">
        <v>6041</v>
      </c>
      <c r="H923" s="46" t="n">
        <v>6041</v>
      </c>
      <c r="I923" s="46" t="n">
        <v>41</v>
      </c>
      <c r="J923" s="44" t="n">
        <v>2.6</v>
      </c>
      <c r="K923" s="43" t="inlineStr">
        <is>
          <t>Received</t>
        </is>
      </c>
      <c r="L923" s="17">
        <f>INDEX(Items!$C$2:$C$117,MATCH(B923,Items!$A$2:$A$117,0))</f>
        <v/>
      </c>
      <c r="M923" s="49">
        <f>INDEX(Items!$E$2:$E$117,MATCH(B923,Items!$A$2:$A$117,0))</f>
        <v/>
      </c>
      <c r="N923" s="17">
        <f>TEXT(D923,"yyyy-mm")</f>
        <v/>
      </c>
      <c r="O923" s="50">
        <f>G923*J923</f>
        <v/>
      </c>
      <c r="P923" s="50">
        <f>(J923-M923)*G923</f>
        <v/>
      </c>
      <c r="Q923" s="51">
        <f>IF(K923="Received",1,0)</f>
        <v/>
      </c>
      <c r="R923" s="51">
        <f>IF(Q923=1,F923-D923,0)</f>
        <v/>
      </c>
      <c r="S923" s="51">
        <f>IF(Q923=1,IF(F923&lt;=E923,1,0),0)</f>
        <v/>
      </c>
      <c r="T923" s="51">
        <f>IF(Q923=1,IF(H923&gt;=G923,1,0),0)</f>
        <v/>
      </c>
      <c r="U923" s="51">
        <f>S923*T923</f>
        <v/>
      </c>
      <c r="V923" s="51">
        <f>IF(Q923=1,MAX(0,F923-E923),0)</f>
        <v/>
      </c>
    </row>
    <row r="924">
      <c r="A924" s="43" t="inlineStr">
        <is>
          <t>PO101490</t>
        </is>
      </c>
      <c r="B924" s="43" t="inlineStr">
        <is>
          <t>CMD-0079</t>
        </is>
      </c>
      <c r="C924" s="43" t="inlineStr">
        <is>
          <t>S06</t>
        </is>
      </c>
      <c r="D924" s="47" t="n">
        <v>45884</v>
      </c>
      <c r="E924" s="47" t="n">
        <v>45905</v>
      </c>
      <c r="F924" s="47" t="n">
        <v>45903</v>
      </c>
      <c r="G924" s="46" t="n">
        <v>1753</v>
      </c>
      <c r="H924" s="46" t="n">
        <v>1753</v>
      </c>
      <c r="I924" s="46" t="n">
        <v>14</v>
      </c>
      <c r="J924" s="44" t="n">
        <v>3.53</v>
      </c>
      <c r="K924" s="43" t="inlineStr">
        <is>
          <t>Received</t>
        </is>
      </c>
      <c r="L924" s="17">
        <f>INDEX(Items!$C$2:$C$117,MATCH(B924,Items!$A$2:$A$117,0))</f>
        <v/>
      </c>
      <c r="M924" s="49">
        <f>INDEX(Items!$E$2:$E$117,MATCH(B924,Items!$A$2:$A$117,0))</f>
        <v/>
      </c>
      <c r="N924" s="17">
        <f>TEXT(D924,"yyyy-mm")</f>
        <v/>
      </c>
      <c r="O924" s="50">
        <f>G924*J924</f>
        <v/>
      </c>
      <c r="P924" s="50">
        <f>(J924-M924)*G924</f>
        <v/>
      </c>
      <c r="Q924" s="51">
        <f>IF(K924="Received",1,0)</f>
        <v/>
      </c>
      <c r="R924" s="51">
        <f>IF(Q924=1,F924-D924,0)</f>
        <v/>
      </c>
      <c r="S924" s="51">
        <f>IF(Q924=1,IF(F924&lt;=E924,1,0),0)</f>
        <v/>
      </c>
      <c r="T924" s="51">
        <f>IF(Q924=1,IF(H924&gt;=G924,1,0),0)</f>
        <v/>
      </c>
      <c r="U924" s="51">
        <f>S924*T924</f>
        <v/>
      </c>
      <c r="V924" s="51">
        <f>IF(Q924=1,MAX(0,F924-E924),0)</f>
        <v/>
      </c>
    </row>
    <row r="925">
      <c r="A925" s="43" t="inlineStr">
        <is>
          <t>PO100876</t>
        </is>
      </c>
      <c r="B925" s="43" t="inlineStr">
        <is>
          <t>CMD-0039</t>
        </is>
      </c>
      <c r="C925" s="43" t="inlineStr">
        <is>
          <t>S07</t>
        </is>
      </c>
      <c r="D925" s="47" t="n">
        <v>45884</v>
      </c>
      <c r="E925" s="47" t="n">
        <v>45926</v>
      </c>
      <c r="F925" s="47" t="n">
        <v>45924</v>
      </c>
      <c r="G925" s="46" t="n">
        <v>347</v>
      </c>
      <c r="H925" s="46" t="n">
        <v>347</v>
      </c>
      <c r="I925" s="46" t="n">
        <v>1</v>
      </c>
      <c r="J925" s="44" t="n">
        <v>51.99</v>
      </c>
      <c r="K925" s="43" t="inlineStr">
        <is>
          <t>Received</t>
        </is>
      </c>
      <c r="L925" s="17">
        <f>INDEX(Items!$C$2:$C$117,MATCH(B925,Items!$A$2:$A$117,0))</f>
        <v/>
      </c>
      <c r="M925" s="49">
        <f>INDEX(Items!$E$2:$E$117,MATCH(B925,Items!$A$2:$A$117,0))</f>
        <v/>
      </c>
      <c r="N925" s="17">
        <f>TEXT(D925,"yyyy-mm")</f>
        <v/>
      </c>
      <c r="O925" s="50">
        <f>G925*J925</f>
        <v/>
      </c>
      <c r="P925" s="50">
        <f>(J925-M925)*G925</f>
        <v/>
      </c>
      <c r="Q925" s="51">
        <f>IF(K925="Received",1,0)</f>
        <v/>
      </c>
      <c r="R925" s="51">
        <f>IF(Q925=1,F925-D925,0)</f>
        <v/>
      </c>
      <c r="S925" s="51">
        <f>IF(Q925=1,IF(F925&lt;=E925,1,0),0)</f>
        <v/>
      </c>
      <c r="T925" s="51">
        <f>IF(Q925=1,IF(H925&gt;=G925,1,0),0)</f>
        <v/>
      </c>
      <c r="U925" s="51">
        <f>S925*T925</f>
        <v/>
      </c>
      <c r="V925" s="51">
        <f>IF(Q925=1,MAX(0,F925-E925),0)</f>
        <v/>
      </c>
    </row>
    <row r="926">
      <c r="A926" s="43" t="inlineStr">
        <is>
          <t>PO101286</t>
        </is>
      </c>
      <c r="B926" s="43" t="inlineStr">
        <is>
          <t>CMD-0062</t>
        </is>
      </c>
      <c r="C926" s="43" t="inlineStr">
        <is>
          <t>S01</t>
        </is>
      </c>
      <c r="D926" s="47" t="n">
        <v>45884</v>
      </c>
      <c r="E926" s="47" t="n">
        <v>45905</v>
      </c>
      <c r="F926" s="47" t="n">
        <v>45902</v>
      </c>
      <c r="G926" s="46" t="n">
        <v>79891</v>
      </c>
      <c r="H926" s="46" t="n">
        <v>79891</v>
      </c>
      <c r="I926" s="46" t="n">
        <v>169</v>
      </c>
      <c r="J926" s="44" t="n">
        <v>0.1139</v>
      </c>
      <c r="K926" s="43" t="inlineStr">
        <is>
          <t>Received</t>
        </is>
      </c>
      <c r="L926" s="17">
        <f>INDEX(Items!$C$2:$C$117,MATCH(B926,Items!$A$2:$A$117,0))</f>
        <v/>
      </c>
      <c r="M926" s="49">
        <f>INDEX(Items!$E$2:$E$117,MATCH(B926,Items!$A$2:$A$117,0))</f>
        <v/>
      </c>
      <c r="N926" s="17">
        <f>TEXT(D926,"yyyy-mm")</f>
        <v/>
      </c>
      <c r="O926" s="50">
        <f>G926*J926</f>
        <v/>
      </c>
      <c r="P926" s="50">
        <f>(J926-M926)*G926</f>
        <v/>
      </c>
      <c r="Q926" s="51">
        <f>IF(K926="Received",1,0)</f>
        <v/>
      </c>
      <c r="R926" s="51">
        <f>IF(Q926=1,F926-D926,0)</f>
        <v/>
      </c>
      <c r="S926" s="51">
        <f>IF(Q926=1,IF(F926&lt;=E926,1,0),0)</f>
        <v/>
      </c>
      <c r="T926" s="51">
        <f>IF(Q926=1,IF(H926&gt;=G926,1,0),0)</f>
        <v/>
      </c>
      <c r="U926" s="51">
        <f>S926*T926</f>
        <v/>
      </c>
      <c r="V926" s="51">
        <f>IF(Q926=1,MAX(0,F926-E926),0)</f>
        <v/>
      </c>
    </row>
    <row r="927">
      <c r="A927" s="43" t="inlineStr">
        <is>
          <t>PO100250</t>
        </is>
      </c>
      <c r="B927" s="43" t="inlineStr">
        <is>
          <t>CMD-0011</t>
        </is>
      </c>
      <c r="C927" s="43" t="inlineStr">
        <is>
          <t>S07</t>
        </is>
      </c>
      <c r="D927" s="47" t="n">
        <v>45884</v>
      </c>
      <c r="E927" s="47" t="n">
        <v>45975</v>
      </c>
      <c r="F927" s="47" t="n">
        <v>45974</v>
      </c>
      <c r="G927" s="46" t="n">
        <v>3771</v>
      </c>
      <c r="H927" s="46" t="n">
        <v>3771</v>
      </c>
      <c r="I927" s="46" t="n">
        <v>28</v>
      </c>
      <c r="J927" s="44" t="n">
        <v>9.5344</v>
      </c>
      <c r="K927" s="43" t="inlineStr">
        <is>
          <t>Received</t>
        </is>
      </c>
      <c r="L927" s="17">
        <f>INDEX(Items!$C$2:$C$117,MATCH(B927,Items!$A$2:$A$117,0))</f>
        <v/>
      </c>
      <c r="M927" s="49">
        <f>INDEX(Items!$E$2:$E$117,MATCH(B927,Items!$A$2:$A$117,0))</f>
        <v/>
      </c>
      <c r="N927" s="17">
        <f>TEXT(D927,"yyyy-mm")</f>
        <v/>
      </c>
      <c r="O927" s="50">
        <f>G927*J927</f>
        <v/>
      </c>
      <c r="P927" s="50">
        <f>(J927-M927)*G927</f>
        <v/>
      </c>
      <c r="Q927" s="51">
        <f>IF(K927="Received",1,0)</f>
        <v/>
      </c>
      <c r="R927" s="51">
        <f>IF(Q927=1,F927-D927,0)</f>
        <v/>
      </c>
      <c r="S927" s="51">
        <f>IF(Q927=1,IF(F927&lt;=E927,1,0),0)</f>
        <v/>
      </c>
      <c r="T927" s="51">
        <f>IF(Q927=1,IF(H927&gt;=G927,1,0),0)</f>
        <v/>
      </c>
      <c r="U927" s="51">
        <f>S927*T927</f>
        <v/>
      </c>
      <c r="V927" s="51">
        <f>IF(Q927=1,MAX(0,F927-E927),0)</f>
        <v/>
      </c>
    </row>
    <row r="928">
      <c r="A928" s="43" t="inlineStr">
        <is>
          <t>PO101700</t>
        </is>
      </c>
      <c r="B928" s="43" t="inlineStr">
        <is>
          <t>CMD-0093</t>
        </is>
      </c>
      <c r="C928" s="43" t="inlineStr">
        <is>
          <t>S08</t>
        </is>
      </c>
      <c r="D928" s="47" t="n">
        <v>45884</v>
      </c>
      <c r="E928" s="47" t="n">
        <v>45961</v>
      </c>
      <c r="F928" s="47" t="n">
        <v>45961</v>
      </c>
      <c r="G928" s="46" t="n">
        <v>734</v>
      </c>
      <c r="H928" s="46" t="n">
        <v>734</v>
      </c>
      <c r="I928" s="46" t="n">
        <v>8</v>
      </c>
      <c r="J928" s="44" t="n">
        <v>59.41</v>
      </c>
      <c r="K928" s="43" t="inlineStr">
        <is>
          <t>Received</t>
        </is>
      </c>
      <c r="L928" s="17">
        <f>INDEX(Items!$C$2:$C$117,MATCH(B928,Items!$A$2:$A$117,0))</f>
        <v/>
      </c>
      <c r="M928" s="49">
        <f>INDEX(Items!$E$2:$E$117,MATCH(B928,Items!$A$2:$A$117,0))</f>
        <v/>
      </c>
      <c r="N928" s="17">
        <f>TEXT(D928,"yyyy-mm")</f>
        <v/>
      </c>
      <c r="O928" s="50">
        <f>G928*J928</f>
        <v/>
      </c>
      <c r="P928" s="50">
        <f>(J928-M928)*G928</f>
        <v/>
      </c>
      <c r="Q928" s="51">
        <f>IF(K928="Received",1,0)</f>
        <v/>
      </c>
      <c r="R928" s="51">
        <f>IF(Q928=1,F928-D928,0)</f>
        <v/>
      </c>
      <c r="S928" s="51">
        <f>IF(Q928=1,IF(F928&lt;=E928,1,0),0)</f>
        <v/>
      </c>
      <c r="T928" s="51">
        <f>IF(Q928=1,IF(H928&gt;=G928,1,0),0)</f>
        <v/>
      </c>
      <c r="U928" s="51">
        <f>S928*T928</f>
        <v/>
      </c>
      <c r="V928" s="51">
        <f>IF(Q928=1,MAX(0,F928-E928),0)</f>
        <v/>
      </c>
    </row>
    <row r="929">
      <c r="A929" s="43" t="inlineStr">
        <is>
          <t>PO101808</t>
        </is>
      </c>
      <c r="B929" s="43" t="inlineStr">
        <is>
          <t>CMD-0098</t>
        </is>
      </c>
      <c r="C929" s="43" t="inlineStr">
        <is>
          <t>S09</t>
        </is>
      </c>
      <c r="D929" s="47" t="n">
        <v>45888</v>
      </c>
      <c r="E929" s="47" t="n">
        <v>45909</v>
      </c>
      <c r="F929" s="47" t="n">
        <v>45906</v>
      </c>
      <c r="G929" s="46" t="n">
        <v>862</v>
      </c>
      <c r="H929" s="46" t="n">
        <v>862</v>
      </c>
      <c r="I929" s="46" t="n">
        <v>2</v>
      </c>
      <c r="J929" s="44" t="n">
        <v>7.2</v>
      </c>
      <c r="K929" s="43" t="inlineStr">
        <is>
          <t>Received</t>
        </is>
      </c>
      <c r="L929" s="17">
        <f>INDEX(Items!$C$2:$C$117,MATCH(B929,Items!$A$2:$A$117,0))</f>
        <v/>
      </c>
      <c r="M929" s="49">
        <f>INDEX(Items!$E$2:$E$117,MATCH(B929,Items!$A$2:$A$117,0))</f>
        <v/>
      </c>
      <c r="N929" s="17">
        <f>TEXT(D929,"yyyy-mm")</f>
        <v/>
      </c>
      <c r="O929" s="50">
        <f>G929*J929</f>
        <v/>
      </c>
      <c r="P929" s="50">
        <f>(J929-M929)*G929</f>
        <v/>
      </c>
      <c r="Q929" s="51">
        <f>IF(K929="Received",1,0)</f>
        <v/>
      </c>
      <c r="R929" s="51">
        <f>IF(Q929=1,F929-D929,0)</f>
        <v/>
      </c>
      <c r="S929" s="51">
        <f>IF(Q929=1,IF(F929&lt;=E929,1,0),0)</f>
        <v/>
      </c>
      <c r="T929" s="51">
        <f>IF(Q929=1,IF(H929&gt;=G929,1,0),0)</f>
        <v/>
      </c>
      <c r="U929" s="51">
        <f>S929*T929</f>
        <v/>
      </c>
      <c r="V929" s="51">
        <f>IF(Q929=1,MAX(0,F929-E929),0)</f>
        <v/>
      </c>
    </row>
    <row r="930">
      <c r="A930" s="43" t="inlineStr">
        <is>
          <t>PO100904</t>
        </is>
      </c>
      <c r="B930" s="43" t="inlineStr">
        <is>
          <t>CMD-0041</t>
        </is>
      </c>
      <c r="C930" s="43" t="inlineStr">
        <is>
          <t>S05</t>
        </is>
      </c>
      <c r="D930" s="47" t="n">
        <v>45890</v>
      </c>
      <c r="E930" s="47" t="n">
        <v>45995</v>
      </c>
      <c r="F930" s="47" t="n">
        <v>45993</v>
      </c>
      <c r="G930" s="46" t="n">
        <v>1016</v>
      </c>
      <c r="H930" s="46" t="n">
        <v>788</v>
      </c>
      <c r="I930" s="46" t="n">
        <v>13</v>
      </c>
      <c r="J930" s="44" t="n">
        <v>5.63</v>
      </c>
      <c r="K930" s="43" t="inlineStr">
        <is>
          <t>Received</t>
        </is>
      </c>
      <c r="L930" s="17">
        <f>INDEX(Items!$C$2:$C$117,MATCH(B930,Items!$A$2:$A$117,0))</f>
        <v/>
      </c>
      <c r="M930" s="49">
        <f>INDEX(Items!$E$2:$E$117,MATCH(B930,Items!$A$2:$A$117,0))</f>
        <v/>
      </c>
      <c r="N930" s="17">
        <f>TEXT(D930,"yyyy-mm")</f>
        <v/>
      </c>
      <c r="O930" s="50">
        <f>G930*J930</f>
        <v/>
      </c>
      <c r="P930" s="50">
        <f>(J930-M930)*G930</f>
        <v/>
      </c>
      <c r="Q930" s="51">
        <f>IF(K930="Received",1,0)</f>
        <v/>
      </c>
      <c r="R930" s="51">
        <f>IF(Q930=1,F930-D930,0)</f>
        <v/>
      </c>
      <c r="S930" s="51">
        <f>IF(Q930=1,IF(F930&lt;=E930,1,0),0)</f>
        <v/>
      </c>
      <c r="T930" s="51">
        <f>IF(Q930=1,IF(H930&gt;=G930,1,0),0)</f>
        <v/>
      </c>
      <c r="U930" s="51">
        <f>S930*T930</f>
        <v/>
      </c>
      <c r="V930" s="51">
        <f>IF(Q930=1,MAX(0,F930-E930),0)</f>
        <v/>
      </c>
    </row>
    <row r="931">
      <c r="A931" s="43" t="inlineStr">
        <is>
          <t>PO100894</t>
        </is>
      </c>
      <c r="B931" s="43" t="inlineStr">
        <is>
          <t>CMD-0040</t>
        </is>
      </c>
      <c r="C931" s="43" t="inlineStr">
        <is>
          <t>S07</t>
        </is>
      </c>
      <c r="D931" s="47" t="n">
        <v>45891</v>
      </c>
      <c r="E931" s="47" t="n">
        <v>45933</v>
      </c>
      <c r="F931" s="47" t="n">
        <v>45933</v>
      </c>
      <c r="G931" s="46" t="n">
        <v>742</v>
      </c>
      <c r="H931" s="46" t="n">
        <v>742</v>
      </c>
      <c r="I931" s="46" t="n">
        <v>9</v>
      </c>
      <c r="J931" s="44" t="n">
        <v>8.960000000000001</v>
      </c>
      <c r="K931" s="43" t="inlineStr">
        <is>
          <t>Received</t>
        </is>
      </c>
      <c r="L931" s="17">
        <f>INDEX(Items!$C$2:$C$117,MATCH(B931,Items!$A$2:$A$117,0))</f>
        <v/>
      </c>
      <c r="M931" s="49">
        <f>INDEX(Items!$E$2:$E$117,MATCH(B931,Items!$A$2:$A$117,0))</f>
        <v/>
      </c>
      <c r="N931" s="17">
        <f>TEXT(D931,"yyyy-mm")</f>
        <v/>
      </c>
      <c r="O931" s="50">
        <f>G931*J931</f>
        <v/>
      </c>
      <c r="P931" s="50">
        <f>(J931-M931)*G931</f>
        <v/>
      </c>
      <c r="Q931" s="51">
        <f>IF(K931="Received",1,0)</f>
        <v/>
      </c>
      <c r="R931" s="51">
        <f>IF(Q931=1,F931-D931,0)</f>
        <v/>
      </c>
      <c r="S931" s="51">
        <f>IF(Q931=1,IF(F931&lt;=E931,1,0),0)</f>
        <v/>
      </c>
      <c r="T931" s="51">
        <f>IF(Q931=1,IF(H931&gt;=G931,1,0),0)</f>
        <v/>
      </c>
      <c r="U931" s="51">
        <f>S931*T931</f>
        <v/>
      </c>
      <c r="V931" s="51">
        <f>IF(Q931=1,MAX(0,F931-E931),0)</f>
        <v/>
      </c>
    </row>
    <row r="932">
      <c r="A932" s="43" t="inlineStr">
        <is>
          <t>PO102009</t>
        </is>
      </c>
      <c r="B932" s="43" t="inlineStr">
        <is>
          <t>CMD-0114</t>
        </is>
      </c>
      <c r="C932" s="43" t="inlineStr">
        <is>
          <t>S12</t>
        </is>
      </c>
      <c r="D932" s="47" t="n">
        <v>45896</v>
      </c>
      <c r="E932" s="47" t="n">
        <v>45903</v>
      </c>
      <c r="F932" s="47" t="n">
        <v>45900</v>
      </c>
      <c r="G932" s="46" t="n">
        <v>13515</v>
      </c>
      <c r="H932" s="46" t="n">
        <v>13515</v>
      </c>
      <c r="I932" s="46" t="n">
        <v>17</v>
      </c>
      <c r="J932" s="44" t="n">
        <v>0.3431</v>
      </c>
      <c r="K932" s="43" t="inlineStr">
        <is>
          <t>Received</t>
        </is>
      </c>
      <c r="L932" s="17">
        <f>INDEX(Items!$C$2:$C$117,MATCH(B932,Items!$A$2:$A$117,0))</f>
        <v/>
      </c>
      <c r="M932" s="49">
        <f>INDEX(Items!$E$2:$E$117,MATCH(B932,Items!$A$2:$A$117,0))</f>
        <v/>
      </c>
      <c r="N932" s="17">
        <f>TEXT(D932,"yyyy-mm")</f>
        <v/>
      </c>
      <c r="O932" s="50">
        <f>G932*J932</f>
        <v/>
      </c>
      <c r="P932" s="50">
        <f>(J932-M932)*G932</f>
        <v/>
      </c>
      <c r="Q932" s="51">
        <f>IF(K932="Received",1,0)</f>
        <v/>
      </c>
      <c r="R932" s="51">
        <f>IF(Q932=1,F932-D932,0)</f>
        <v/>
      </c>
      <c r="S932" s="51">
        <f>IF(Q932=1,IF(F932&lt;=E932,1,0),0)</f>
        <v/>
      </c>
      <c r="T932" s="51">
        <f>IF(Q932=1,IF(H932&gt;=G932,1,0),0)</f>
        <v/>
      </c>
      <c r="U932" s="51">
        <f>S932*T932</f>
        <v/>
      </c>
      <c r="V932" s="51">
        <f>IF(Q932=1,MAX(0,F932-E932),0)</f>
        <v/>
      </c>
    </row>
    <row r="933">
      <c r="A933" s="43" t="inlineStr">
        <is>
          <t>PO101112</t>
        </is>
      </c>
      <c r="B933" s="43" t="inlineStr">
        <is>
          <t>CMD-0051</t>
        </is>
      </c>
      <c r="C933" s="43" t="inlineStr">
        <is>
          <t>S01</t>
        </is>
      </c>
      <c r="D933" s="47" t="n">
        <v>45897</v>
      </c>
      <c r="E933" s="47" t="n">
        <v>45918</v>
      </c>
      <c r="F933" s="47" t="n">
        <v>45916</v>
      </c>
      <c r="G933" s="46" t="n">
        <v>237916</v>
      </c>
      <c r="H933" s="46" t="n">
        <v>237916</v>
      </c>
      <c r="I933" s="46" t="n">
        <v>479</v>
      </c>
      <c r="J933" s="44" t="n">
        <v>0.0236</v>
      </c>
      <c r="K933" s="43" t="inlineStr">
        <is>
          <t>Received</t>
        </is>
      </c>
      <c r="L933" s="17">
        <f>INDEX(Items!$C$2:$C$117,MATCH(B933,Items!$A$2:$A$117,0))</f>
        <v/>
      </c>
      <c r="M933" s="49">
        <f>INDEX(Items!$E$2:$E$117,MATCH(B933,Items!$A$2:$A$117,0))</f>
        <v/>
      </c>
      <c r="N933" s="17">
        <f>TEXT(D933,"yyyy-mm")</f>
        <v/>
      </c>
      <c r="O933" s="50">
        <f>G933*J933</f>
        <v/>
      </c>
      <c r="P933" s="50">
        <f>(J933-M933)*G933</f>
        <v/>
      </c>
      <c r="Q933" s="51">
        <f>IF(K933="Received",1,0)</f>
        <v/>
      </c>
      <c r="R933" s="51">
        <f>IF(Q933=1,F933-D933,0)</f>
        <v/>
      </c>
      <c r="S933" s="51">
        <f>IF(Q933=1,IF(F933&lt;=E933,1,0),0)</f>
        <v/>
      </c>
      <c r="T933" s="51">
        <f>IF(Q933=1,IF(H933&gt;=G933,1,0),0)</f>
        <v/>
      </c>
      <c r="U933" s="51">
        <f>S933*T933</f>
        <v/>
      </c>
      <c r="V933" s="51">
        <f>IF(Q933=1,MAX(0,F933-E933),0)</f>
        <v/>
      </c>
    </row>
    <row r="934">
      <c r="A934" s="43" t="inlineStr">
        <is>
          <t>PO101258</t>
        </is>
      </c>
      <c r="B934" s="43" t="inlineStr">
        <is>
          <t>CMD-0059</t>
        </is>
      </c>
      <c r="C934" s="43" t="inlineStr">
        <is>
          <t>S01</t>
        </is>
      </c>
      <c r="D934" s="47" t="n">
        <v>45897</v>
      </c>
      <c r="E934" s="47" t="n">
        <v>45918</v>
      </c>
      <c r="F934" s="47" t="n">
        <v>45917</v>
      </c>
      <c r="G934" s="46" t="n">
        <v>220171</v>
      </c>
      <c r="H934" s="46" t="n">
        <v>220171</v>
      </c>
      <c r="I934" s="46" t="n">
        <v>470</v>
      </c>
      <c r="J934" s="44" t="n">
        <v>0.0281</v>
      </c>
      <c r="K934" s="43" t="inlineStr">
        <is>
          <t>Received</t>
        </is>
      </c>
      <c r="L934" s="17">
        <f>INDEX(Items!$C$2:$C$117,MATCH(B934,Items!$A$2:$A$117,0))</f>
        <v/>
      </c>
      <c r="M934" s="49">
        <f>INDEX(Items!$E$2:$E$117,MATCH(B934,Items!$A$2:$A$117,0))</f>
        <v/>
      </c>
      <c r="N934" s="17">
        <f>TEXT(D934,"yyyy-mm")</f>
        <v/>
      </c>
      <c r="O934" s="50">
        <f>G934*J934</f>
        <v/>
      </c>
      <c r="P934" s="50">
        <f>(J934-M934)*G934</f>
        <v/>
      </c>
      <c r="Q934" s="51">
        <f>IF(K934="Received",1,0)</f>
        <v/>
      </c>
      <c r="R934" s="51">
        <f>IF(Q934=1,F934-D934,0)</f>
        <v/>
      </c>
      <c r="S934" s="51">
        <f>IF(Q934=1,IF(F934&lt;=E934,1,0),0)</f>
        <v/>
      </c>
      <c r="T934" s="51">
        <f>IF(Q934=1,IF(H934&gt;=G934,1,0),0)</f>
        <v/>
      </c>
      <c r="U934" s="51">
        <f>S934*T934</f>
        <v/>
      </c>
      <c r="V934" s="51">
        <f>IF(Q934=1,MAX(0,F934-E934),0)</f>
        <v/>
      </c>
    </row>
    <row r="935">
      <c r="A935" s="43" t="inlineStr">
        <is>
          <t>PO101924</t>
        </is>
      </c>
      <c r="B935" s="43" t="inlineStr">
        <is>
          <t>CMD-0106</t>
        </is>
      </c>
      <c r="C935" s="43" t="inlineStr">
        <is>
          <t>S09</t>
        </is>
      </c>
      <c r="D935" s="47" t="n">
        <v>45897</v>
      </c>
      <c r="E935" s="47" t="n">
        <v>45918</v>
      </c>
      <c r="F935" s="47" t="n">
        <v>45917</v>
      </c>
      <c r="G935" s="46" t="n">
        <v>598</v>
      </c>
      <c r="H935" s="46" t="n">
        <v>598</v>
      </c>
      <c r="I935" s="46" t="n">
        <v>1</v>
      </c>
      <c r="J935" s="44" t="n">
        <v>10.42</v>
      </c>
      <c r="K935" s="43" t="inlineStr">
        <is>
          <t>Received</t>
        </is>
      </c>
      <c r="L935" s="17">
        <f>INDEX(Items!$C$2:$C$117,MATCH(B935,Items!$A$2:$A$117,0))</f>
        <v/>
      </c>
      <c r="M935" s="49">
        <f>INDEX(Items!$E$2:$E$117,MATCH(B935,Items!$A$2:$A$117,0))</f>
        <v/>
      </c>
      <c r="N935" s="17">
        <f>TEXT(D935,"yyyy-mm")</f>
        <v/>
      </c>
      <c r="O935" s="50">
        <f>G935*J935</f>
        <v/>
      </c>
      <c r="P935" s="50">
        <f>(J935-M935)*G935</f>
        <v/>
      </c>
      <c r="Q935" s="51">
        <f>IF(K935="Received",1,0)</f>
        <v/>
      </c>
      <c r="R935" s="51">
        <f>IF(Q935=1,F935-D935,0)</f>
        <v/>
      </c>
      <c r="S935" s="51">
        <f>IF(Q935=1,IF(F935&lt;=E935,1,0),0)</f>
        <v/>
      </c>
      <c r="T935" s="51">
        <f>IF(Q935=1,IF(H935&gt;=G935,1,0),0)</f>
        <v/>
      </c>
      <c r="U935" s="51">
        <f>S935*T935</f>
        <v/>
      </c>
      <c r="V935" s="51">
        <f>IF(Q935=1,MAX(0,F935-E935),0)</f>
        <v/>
      </c>
    </row>
    <row r="936">
      <c r="A936" s="43" t="inlineStr">
        <is>
          <t>PO101212</t>
        </is>
      </c>
      <c r="B936" s="43" t="inlineStr">
        <is>
          <t>CMD-0056</t>
        </is>
      </c>
      <c r="C936" s="43" t="inlineStr">
        <is>
          <t>S04</t>
        </is>
      </c>
      <c r="D936" s="47" t="n">
        <v>45899</v>
      </c>
      <c r="E936" s="47" t="n">
        <v>45934</v>
      </c>
      <c r="F936" s="47" t="n">
        <v>45933</v>
      </c>
      <c r="G936" s="46" t="n">
        <v>55314</v>
      </c>
      <c r="H936" s="46" t="n">
        <v>55314</v>
      </c>
      <c r="I936" s="46" t="n">
        <v>580</v>
      </c>
      <c r="J936" s="44" t="n">
        <v>0.1015</v>
      </c>
      <c r="K936" s="43" t="inlineStr">
        <is>
          <t>Received</t>
        </is>
      </c>
      <c r="L936" s="17">
        <f>INDEX(Items!$C$2:$C$117,MATCH(B936,Items!$A$2:$A$117,0))</f>
        <v/>
      </c>
      <c r="M936" s="49">
        <f>INDEX(Items!$E$2:$E$117,MATCH(B936,Items!$A$2:$A$117,0))</f>
        <v/>
      </c>
      <c r="N936" s="17">
        <f>TEXT(D936,"yyyy-mm")</f>
        <v/>
      </c>
      <c r="O936" s="50">
        <f>G936*J936</f>
        <v/>
      </c>
      <c r="P936" s="50">
        <f>(J936-M936)*G936</f>
        <v/>
      </c>
      <c r="Q936" s="51">
        <f>IF(K936="Received",1,0)</f>
        <v/>
      </c>
      <c r="R936" s="51">
        <f>IF(Q936=1,F936-D936,0)</f>
        <v/>
      </c>
      <c r="S936" s="51">
        <f>IF(Q936=1,IF(F936&lt;=E936,1,0),0)</f>
        <v/>
      </c>
      <c r="T936" s="51">
        <f>IF(Q936=1,IF(H936&gt;=G936,1,0),0)</f>
        <v/>
      </c>
      <c r="U936" s="51">
        <f>S936*T936</f>
        <v/>
      </c>
      <c r="V936" s="51">
        <f>IF(Q936=1,MAX(0,F936-E936),0)</f>
        <v/>
      </c>
    </row>
    <row r="937">
      <c r="A937" s="43" t="inlineStr">
        <is>
          <t>PO101150</t>
        </is>
      </c>
      <c r="B937" s="43" t="inlineStr">
        <is>
          <t>CMD-0053</t>
        </is>
      </c>
      <c r="C937" s="43" t="inlineStr">
        <is>
          <t>S04</t>
        </is>
      </c>
      <c r="D937" s="47" t="n">
        <v>45901</v>
      </c>
      <c r="E937" s="47" t="n">
        <v>45936</v>
      </c>
      <c r="F937" s="47" t="n">
        <v>45934</v>
      </c>
      <c r="G937" s="46" t="n">
        <v>56340</v>
      </c>
      <c r="H937" s="46" t="n">
        <v>56340</v>
      </c>
      <c r="I937" s="46" t="n">
        <v>608</v>
      </c>
      <c r="J937" s="44" t="n">
        <v>0.0968</v>
      </c>
      <c r="K937" s="43" t="inlineStr">
        <is>
          <t>Received</t>
        </is>
      </c>
      <c r="L937" s="17">
        <f>INDEX(Items!$C$2:$C$117,MATCH(B937,Items!$A$2:$A$117,0))</f>
        <v/>
      </c>
      <c r="M937" s="49">
        <f>INDEX(Items!$E$2:$E$117,MATCH(B937,Items!$A$2:$A$117,0))</f>
        <v/>
      </c>
      <c r="N937" s="17">
        <f>TEXT(D937,"yyyy-mm")</f>
        <v/>
      </c>
      <c r="O937" s="50">
        <f>G937*J937</f>
        <v/>
      </c>
      <c r="P937" s="50">
        <f>(J937-M937)*G937</f>
        <v/>
      </c>
      <c r="Q937" s="51">
        <f>IF(K937="Received",1,0)</f>
        <v/>
      </c>
      <c r="R937" s="51">
        <f>IF(Q937=1,F937-D937,0)</f>
        <v/>
      </c>
      <c r="S937" s="51">
        <f>IF(Q937=1,IF(F937&lt;=E937,1,0),0)</f>
        <v/>
      </c>
      <c r="T937" s="51">
        <f>IF(Q937=1,IF(H937&gt;=G937,1,0),0)</f>
        <v/>
      </c>
      <c r="U937" s="51">
        <f>S937*T937</f>
        <v/>
      </c>
      <c r="V937" s="51">
        <f>IF(Q937=1,MAX(0,F937-E937),0)</f>
        <v/>
      </c>
    </row>
    <row r="938">
      <c r="A938" s="43" t="inlineStr">
        <is>
          <t>PO101899</t>
        </is>
      </c>
      <c r="B938" s="43" t="inlineStr">
        <is>
          <t>CMD-0103</t>
        </is>
      </c>
      <c r="C938" s="43" t="inlineStr">
        <is>
          <t>S09</t>
        </is>
      </c>
      <c r="D938" s="47" t="n">
        <v>45902</v>
      </c>
      <c r="E938" s="47" t="n">
        <v>45923</v>
      </c>
      <c r="F938" s="47" t="n">
        <v>45922</v>
      </c>
      <c r="G938" s="46" t="n">
        <v>1216</v>
      </c>
      <c r="H938" s="46" t="n">
        <v>1216</v>
      </c>
      <c r="I938" s="46" t="n">
        <v>2</v>
      </c>
      <c r="J938" s="44" t="n">
        <v>4.18</v>
      </c>
      <c r="K938" s="43" t="inlineStr">
        <is>
          <t>Received</t>
        </is>
      </c>
      <c r="L938" s="17">
        <f>INDEX(Items!$C$2:$C$117,MATCH(B938,Items!$A$2:$A$117,0))</f>
        <v/>
      </c>
      <c r="M938" s="49">
        <f>INDEX(Items!$E$2:$E$117,MATCH(B938,Items!$A$2:$A$117,0))</f>
        <v/>
      </c>
      <c r="N938" s="17">
        <f>TEXT(D938,"yyyy-mm")</f>
        <v/>
      </c>
      <c r="O938" s="50">
        <f>G938*J938</f>
        <v/>
      </c>
      <c r="P938" s="50">
        <f>(J938-M938)*G938</f>
        <v/>
      </c>
      <c r="Q938" s="51">
        <f>IF(K938="Received",1,0)</f>
        <v/>
      </c>
      <c r="R938" s="51">
        <f>IF(Q938=1,F938-D938,0)</f>
        <v/>
      </c>
      <c r="S938" s="51">
        <f>IF(Q938=1,IF(F938&lt;=E938,1,0),0)</f>
        <v/>
      </c>
      <c r="T938" s="51">
        <f>IF(Q938=1,IF(H938&gt;=G938,1,0),0)</f>
        <v/>
      </c>
      <c r="U938" s="51">
        <f>S938*T938</f>
        <v/>
      </c>
      <c r="V938" s="51">
        <f>IF(Q938=1,MAX(0,F938-E938),0)</f>
        <v/>
      </c>
    </row>
    <row r="939">
      <c r="A939" s="43" t="inlineStr">
        <is>
          <t>PO101608</t>
        </is>
      </c>
      <c r="B939" s="43" t="inlineStr">
        <is>
          <t>CMD-0089</t>
        </is>
      </c>
      <c r="C939" s="43" t="inlineStr">
        <is>
          <t>S01</t>
        </is>
      </c>
      <c r="D939" s="47" t="n">
        <v>45902</v>
      </c>
      <c r="E939" s="47" t="n">
        <v>45916</v>
      </c>
      <c r="F939" s="47" t="n">
        <v>45913</v>
      </c>
      <c r="G939" s="46" t="n">
        <v>629</v>
      </c>
      <c r="H939" s="46" t="n">
        <v>629</v>
      </c>
      <c r="I939" s="46" t="n">
        <v>1</v>
      </c>
      <c r="J939" s="44" t="n">
        <v>9.49</v>
      </c>
      <c r="K939" s="43" t="inlineStr">
        <is>
          <t>Received</t>
        </is>
      </c>
      <c r="L939" s="17">
        <f>INDEX(Items!$C$2:$C$117,MATCH(B939,Items!$A$2:$A$117,0))</f>
        <v/>
      </c>
      <c r="M939" s="49">
        <f>INDEX(Items!$E$2:$E$117,MATCH(B939,Items!$A$2:$A$117,0))</f>
        <v/>
      </c>
      <c r="N939" s="17">
        <f>TEXT(D939,"yyyy-mm")</f>
        <v/>
      </c>
      <c r="O939" s="50">
        <f>G939*J939</f>
        <v/>
      </c>
      <c r="P939" s="50">
        <f>(J939-M939)*G939</f>
        <v/>
      </c>
      <c r="Q939" s="51">
        <f>IF(K939="Received",1,0)</f>
        <v/>
      </c>
      <c r="R939" s="51">
        <f>IF(Q939=1,F939-D939,0)</f>
        <v/>
      </c>
      <c r="S939" s="51">
        <f>IF(Q939=1,IF(F939&lt;=E939,1,0),0)</f>
        <v/>
      </c>
      <c r="T939" s="51">
        <f>IF(Q939=1,IF(H939&gt;=G939,1,0),0)</f>
        <v/>
      </c>
      <c r="U939" s="51">
        <f>S939*T939</f>
        <v/>
      </c>
      <c r="V939" s="51">
        <f>IF(Q939=1,MAX(0,F939-E939),0)</f>
        <v/>
      </c>
    </row>
    <row r="940">
      <c r="A940" s="43" t="inlineStr">
        <is>
          <t>PO100462</t>
        </is>
      </c>
      <c r="B940" s="43" t="inlineStr">
        <is>
          <t>CMD-0021</t>
        </is>
      </c>
      <c r="C940" s="43" t="inlineStr">
        <is>
          <t>S04</t>
        </is>
      </c>
      <c r="D940" s="47" t="n">
        <v>45903</v>
      </c>
      <c r="E940" s="47" t="n">
        <v>45973</v>
      </c>
      <c r="F940" s="47" t="n">
        <v>45970</v>
      </c>
      <c r="G940" s="46" t="n">
        <v>1188</v>
      </c>
      <c r="H940" s="46" t="n">
        <v>1188</v>
      </c>
      <c r="I940" s="46" t="n">
        <v>8</v>
      </c>
      <c r="J940" s="44" t="n">
        <v>4.94</v>
      </c>
      <c r="K940" s="43" t="inlineStr">
        <is>
          <t>Received</t>
        </is>
      </c>
      <c r="L940" s="17">
        <f>INDEX(Items!$C$2:$C$117,MATCH(B940,Items!$A$2:$A$117,0))</f>
        <v/>
      </c>
      <c r="M940" s="49">
        <f>INDEX(Items!$E$2:$E$117,MATCH(B940,Items!$A$2:$A$117,0))</f>
        <v/>
      </c>
      <c r="N940" s="17">
        <f>TEXT(D940,"yyyy-mm")</f>
        <v/>
      </c>
      <c r="O940" s="50">
        <f>G940*J940</f>
        <v/>
      </c>
      <c r="P940" s="50">
        <f>(J940-M940)*G940</f>
        <v/>
      </c>
      <c r="Q940" s="51">
        <f>IF(K940="Received",1,0)</f>
        <v/>
      </c>
      <c r="R940" s="51">
        <f>IF(Q940=1,F940-D940,0)</f>
        <v/>
      </c>
      <c r="S940" s="51">
        <f>IF(Q940=1,IF(F940&lt;=E940,1,0),0)</f>
        <v/>
      </c>
      <c r="T940" s="51">
        <f>IF(Q940=1,IF(H940&gt;=G940,1,0),0)</f>
        <v/>
      </c>
      <c r="U940" s="51">
        <f>S940*T940</f>
        <v/>
      </c>
      <c r="V940" s="51">
        <f>IF(Q940=1,MAX(0,F940-E940),0)</f>
        <v/>
      </c>
    </row>
    <row r="941">
      <c r="A941" s="43" t="inlineStr">
        <is>
          <t>PO101794</t>
        </is>
      </c>
      <c r="B941" s="43" t="inlineStr">
        <is>
          <t>CMD-0097</t>
        </is>
      </c>
      <c r="C941" s="43" t="inlineStr">
        <is>
          <t>S09</t>
        </is>
      </c>
      <c r="D941" s="47" t="n">
        <v>45904</v>
      </c>
      <c r="E941" s="47" t="n">
        <v>45925</v>
      </c>
      <c r="F941" s="47" t="n">
        <v>45922</v>
      </c>
      <c r="G941" s="46" t="n">
        <v>540</v>
      </c>
      <c r="H941" s="46" t="n">
        <v>540</v>
      </c>
      <c r="I941" s="46" t="n">
        <v>2</v>
      </c>
      <c r="J941" s="44" t="n">
        <v>9.27</v>
      </c>
      <c r="K941" s="43" t="inlineStr">
        <is>
          <t>Received</t>
        </is>
      </c>
      <c r="L941" s="17">
        <f>INDEX(Items!$C$2:$C$117,MATCH(B941,Items!$A$2:$A$117,0))</f>
        <v/>
      </c>
      <c r="M941" s="49">
        <f>INDEX(Items!$E$2:$E$117,MATCH(B941,Items!$A$2:$A$117,0))</f>
        <v/>
      </c>
      <c r="N941" s="17">
        <f>TEXT(D941,"yyyy-mm")</f>
        <v/>
      </c>
      <c r="O941" s="50">
        <f>G941*J941</f>
        <v/>
      </c>
      <c r="P941" s="50">
        <f>(J941-M941)*G941</f>
        <v/>
      </c>
      <c r="Q941" s="51">
        <f>IF(K941="Received",1,0)</f>
        <v/>
      </c>
      <c r="R941" s="51">
        <f>IF(Q941=1,F941-D941,0)</f>
        <v/>
      </c>
      <c r="S941" s="51">
        <f>IF(Q941=1,IF(F941&lt;=E941,1,0),0)</f>
        <v/>
      </c>
      <c r="T941" s="51">
        <f>IF(Q941=1,IF(H941&gt;=G941,1,0),0)</f>
        <v/>
      </c>
      <c r="U941" s="51">
        <f>S941*T941</f>
        <v/>
      </c>
      <c r="V941" s="51">
        <f>IF(Q941=1,MAX(0,F941-E941),0)</f>
        <v/>
      </c>
    </row>
    <row r="942">
      <c r="A942" s="43" t="inlineStr">
        <is>
          <t>PO101374</t>
        </is>
      </c>
      <c r="B942" s="43" t="inlineStr">
        <is>
          <t>CMD-0070</t>
        </is>
      </c>
      <c r="C942" s="43" t="inlineStr">
        <is>
          <t>S04</t>
        </is>
      </c>
      <c r="D942" s="47" t="n">
        <v>45905</v>
      </c>
      <c r="E942" s="47" t="n">
        <v>45940</v>
      </c>
      <c r="F942" s="47" t="n">
        <v>45939</v>
      </c>
      <c r="G942" s="46" t="n">
        <v>47169</v>
      </c>
      <c r="H942" s="46" t="n">
        <v>47169</v>
      </c>
      <c r="I942" s="46" t="n">
        <v>489</v>
      </c>
      <c r="J942" s="44" t="n">
        <v>0.141</v>
      </c>
      <c r="K942" s="43" t="inlineStr">
        <is>
          <t>Received</t>
        </is>
      </c>
      <c r="L942" s="17">
        <f>INDEX(Items!$C$2:$C$117,MATCH(B942,Items!$A$2:$A$117,0))</f>
        <v/>
      </c>
      <c r="M942" s="49">
        <f>INDEX(Items!$E$2:$E$117,MATCH(B942,Items!$A$2:$A$117,0))</f>
        <v/>
      </c>
      <c r="N942" s="17">
        <f>TEXT(D942,"yyyy-mm")</f>
        <v/>
      </c>
      <c r="O942" s="50">
        <f>G942*J942</f>
        <v/>
      </c>
      <c r="P942" s="50">
        <f>(J942-M942)*G942</f>
        <v/>
      </c>
      <c r="Q942" s="51">
        <f>IF(K942="Received",1,0)</f>
        <v/>
      </c>
      <c r="R942" s="51">
        <f>IF(Q942=1,F942-D942,0)</f>
        <v/>
      </c>
      <c r="S942" s="51">
        <f>IF(Q942=1,IF(F942&lt;=E942,1,0),0)</f>
        <v/>
      </c>
      <c r="T942" s="51">
        <f>IF(Q942=1,IF(H942&gt;=G942,1,0),0)</f>
        <v/>
      </c>
      <c r="U942" s="51">
        <f>S942*T942</f>
        <v/>
      </c>
      <c r="V942" s="51">
        <f>IF(Q942=1,MAX(0,F942-E942),0)</f>
        <v/>
      </c>
    </row>
    <row r="943">
      <c r="A943" s="43" t="inlineStr">
        <is>
          <t>PO100696</t>
        </is>
      </c>
      <c r="B943" s="43" t="inlineStr">
        <is>
          <t>CMD-0031</t>
        </is>
      </c>
      <c r="C943" s="43" t="inlineStr">
        <is>
          <t>S01</t>
        </is>
      </c>
      <c r="D943" s="47" t="n">
        <v>45905</v>
      </c>
      <c r="E943" s="47" t="n">
        <v>45933</v>
      </c>
      <c r="F943" s="47" t="n">
        <v>45933</v>
      </c>
      <c r="G943" s="46" t="n">
        <v>583</v>
      </c>
      <c r="H943" s="46" t="n">
        <v>583</v>
      </c>
      <c r="I943" s="46" t="n">
        <v>1</v>
      </c>
      <c r="J943" s="44" t="n">
        <v>9.69</v>
      </c>
      <c r="K943" s="43" t="inlineStr">
        <is>
          <t>Received</t>
        </is>
      </c>
      <c r="L943" s="17">
        <f>INDEX(Items!$C$2:$C$117,MATCH(B943,Items!$A$2:$A$117,0))</f>
        <v/>
      </c>
      <c r="M943" s="49">
        <f>INDEX(Items!$E$2:$E$117,MATCH(B943,Items!$A$2:$A$117,0))</f>
        <v/>
      </c>
      <c r="N943" s="17">
        <f>TEXT(D943,"yyyy-mm")</f>
        <v/>
      </c>
      <c r="O943" s="50">
        <f>G943*J943</f>
        <v/>
      </c>
      <c r="P943" s="50">
        <f>(J943-M943)*G943</f>
        <v/>
      </c>
      <c r="Q943" s="51">
        <f>IF(K943="Received",1,0)</f>
        <v/>
      </c>
      <c r="R943" s="51">
        <f>IF(Q943=1,F943-D943,0)</f>
        <v/>
      </c>
      <c r="S943" s="51">
        <f>IF(Q943=1,IF(F943&lt;=E943,1,0),0)</f>
        <v/>
      </c>
      <c r="T943" s="51">
        <f>IF(Q943=1,IF(H943&gt;=G943,1,0),0)</f>
        <v/>
      </c>
      <c r="U943" s="51">
        <f>S943*T943</f>
        <v/>
      </c>
      <c r="V943" s="51">
        <f>IF(Q943=1,MAX(0,F943-E943),0)</f>
        <v/>
      </c>
    </row>
    <row r="944">
      <c r="A944" s="43" t="inlineStr">
        <is>
          <t>PO100420</t>
        </is>
      </c>
      <c r="B944" s="43" t="inlineStr">
        <is>
          <t>CMD-0019</t>
        </is>
      </c>
      <c r="C944" s="43" t="inlineStr">
        <is>
          <t>S11</t>
        </is>
      </c>
      <c r="D944" s="47" t="n">
        <v>45906</v>
      </c>
      <c r="E944" s="47" t="n">
        <v>45983</v>
      </c>
      <c r="F944" s="47" t="n">
        <v>45982</v>
      </c>
      <c r="G944" s="46" t="n">
        <v>971</v>
      </c>
      <c r="H944" s="46" t="n">
        <v>971</v>
      </c>
      <c r="I944" s="46" t="n">
        <v>1</v>
      </c>
      <c r="J944" s="44" t="n">
        <v>7.25</v>
      </c>
      <c r="K944" s="43" t="inlineStr">
        <is>
          <t>Received</t>
        </is>
      </c>
      <c r="L944" s="17">
        <f>INDEX(Items!$C$2:$C$117,MATCH(B944,Items!$A$2:$A$117,0))</f>
        <v/>
      </c>
      <c r="M944" s="49">
        <f>INDEX(Items!$E$2:$E$117,MATCH(B944,Items!$A$2:$A$117,0))</f>
        <v/>
      </c>
      <c r="N944" s="17">
        <f>TEXT(D944,"yyyy-mm")</f>
        <v/>
      </c>
      <c r="O944" s="50">
        <f>G944*J944</f>
        <v/>
      </c>
      <c r="P944" s="50">
        <f>(J944-M944)*G944</f>
        <v/>
      </c>
      <c r="Q944" s="51">
        <f>IF(K944="Received",1,0)</f>
        <v/>
      </c>
      <c r="R944" s="51">
        <f>IF(Q944=1,F944-D944,0)</f>
        <v/>
      </c>
      <c r="S944" s="51">
        <f>IF(Q944=1,IF(F944&lt;=E944,1,0),0)</f>
        <v/>
      </c>
      <c r="T944" s="51">
        <f>IF(Q944=1,IF(H944&gt;=G944,1,0),0)</f>
        <v/>
      </c>
      <c r="U944" s="51">
        <f>S944*T944</f>
        <v/>
      </c>
      <c r="V944" s="51">
        <f>IF(Q944=1,MAX(0,F944-E944),0)</f>
        <v/>
      </c>
    </row>
    <row r="945">
      <c r="A945" s="43" t="inlineStr">
        <is>
          <t>PO100279</t>
        </is>
      </c>
      <c r="B945" s="43" t="inlineStr">
        <is>
          <t>CMD-0013</t>
        </is>
      </c>
      <c r="C945" s="43" t="inlineStr">
        <is>
          <t>S11</t>
        </is>
      </c>
      <c r="D945" s="47" t="n">
        <v>45907</v>
      </c>
      <c r="E945" s="47" t="n">
        <v>46026</v>
      </c>
      <c r="F945" s="47" t="n">
        <v>46026</v>
      </c>
      <c r="G945" s="46" t="n">
        <v>946</v>
      </c>
      <c r="H945" s="46" t="n">
        <v>946</v>
      </c>
      <c r="I945" s="46" t="n">
        <v>3</v>
      </c>
      <c r="J945" s="44" t="n">
        <v>7.965</v>
      </c>
      <c r="K945" s="43" t="inlineStr">
        <is>
          <t>Received</t>
        </is>
      </c>
      <c r="L945" s="17">
        <f>INDEX(Items!$C$2:$C$117,MATCH(B945,Items!$A$2:$A$117,0))</f>
        <v/>
      </c>
      <c r="M945" s="49">
        <f>INDEX(Items!$E$2:$E$117,MATCH(B945,Items!$A$2:$A$117,0))</f>
        <v/>
      </c>
      <c r="N945" s="17">
        <f>TEXT(D945,"yyyy-mm")</f>
        <v/>
      </c>
      <c r="O945" s="50">
        <f>G945*J945</f>
        <v/>
      </c>
      <c r="P945" s="50">
        <f>(J945-M945)*G945</f>
        <v/>
      </c>
      <c r="Q945" s="51">
        <f>IF(K945="Received",1,0)</f>
        <v/>
      </c>
      <c r="R945" s="51">
        <f>IF(Q945=1,F945-D945,0)</f>
        <v/>
      </c>
      <c r="S945" s="51">
        <f>IF(Q945=1,IF(F945&lt;=E945,1,0),0)</f>
        <v/>
      </c>
      <c r="T945" s="51">
        <f>IF(Q945=1,IF(H945&gt;=G945,1,0),0)</f>
        <v/>
      </c>
      <c r="U945" s="51">
        <f>S945*T945</f>
        <v/>
      </c>
      <c r="V945" s="51">
        <f>IF(Q945=1,MAX(0,F945-E945),0)</f>
        <v/>
      </c>
    </row>
    <row r="946">
      <c r="A946" s="43" t="inlineStr">
        <is>
          <t>PO101467</t>
        </is>
      </c>
      <c r="B946" s="43" t="inlineStr">
        <is>
          <t>CMD-0078</t>
        </is>
      </c>
      <c r="C946" s="43" t="inlineStr">
        <is>
          <t>S06</t>
        </is>
      </c>
      <c r="D946" s="47" t="n">
        <v>45907</v>
      </c>
      <c r="E946" s="47" t="n">
        <v>45928</v>
      </c>
      <c r="F946" s="47" t="n">
        <v>45926</v>
      </c>
      <c r="G946" s="46" t="n">
        <v>5496</v>
      </c>
      <c r="H946" s="46" t="n">
        <v>5496</v>
      </c>
      <c r="I946" s="46" t="n">
        <v>22</v>
      </c>
      <c r="J946" s="44" t="n">
        <v>2.6</v>
      </c>
      <c r="K946" s="43" t="inlineStr">
        <is>
          <t>Received</t>
        </is>
      </c>
      <c r="L946" s="17">
        <f>INDEX(Items!$C$2:$C$117,MATCH(B946,Items!$A$2:$A$117,0))</f>
        <v/>
      </c>
      <c r="M946" s="49">
        <f>INDEX(Items!$E$2:$E$117,MATCH(B946,Items!$A$2:$A$117,0))</f>
        <v/>
      </c>
      <c r="N946" s="17">
        <f>TEXT(D946,"yyyy-mm")</f>
        <v/>
      </c>
      <c r="O946" s="50">
        <f>G946*J946</f>
        <v/>
      </c>
      <c r="P946" s="50">
        <f>(J946-M946)*G946</f>
        <v/>
      </c>
      <c r="Q946" s="51">
        <f>IF(K946="Received",1,0)</f>
        <v/>
      </c>
      <c r="R946" s="51">
        <f>IF(Q946=1,F946-D946,0)</f>
        <v/>
      </c>
      <c r="S946" s="51">
        <f>IF(Q946=1,IF(F946&lt;=E946,1,0),0)</f>
        <v/>
      </c>
      <c r="T946" s="51">
        <f>IF(Q946=1,IF(H946&gt;=G946,1,0),0)</f>
        <v/>
      </c>
      <c r="U946" s="51">
        <f>S946*T946</f>
        <v/>
      </c>
      <c r="V946" s="51">
        <f>IF(Q946=1,MAX(0,F946-E946),0)</f>
        <v/>
      </c>
    </row>
    <row r="947">
      <c r="A947" s="43" t="inlineStr">
        <is>
          <t>PO100155</t>
        </is>
      </c>
      <c r="B947" s="43" t="inlineStr">
        <is>
          <t>CMD-0007</t>
        </is>
      </c>
      <c r="C947" s="43" t="inlineStr">
        <is>
          <t>S03</t>
        </is>
      </c>
      <c r="D947" s="47" t="n">
        <v>45907</v>
      </c>
      <c r="E947" s="47" t="n">
        <v>46040</v>
      </c>
      <c r="F947" s="47" t="n">
        <v>46039</v>
      </c>
      <c r="G947" s="46" t="n">
        <v>4065</v>
      </c>
      <c r="H947" s="46" t="n">
        <v>4065</v>
      </c>
      <c r="I947" s="46" t="n">
        <v>28</v>
      </c>
      <c r="J947" s="44" t="n">
        <v>22.8802</v>
      </c>
      <c r="K947" s="43" t="inlineStr">
        <is>
          <t>Received</t>
        </is>
      </c>
      <c r="L947" s="17">
        <f>INDEX(Items!$C$2:$C$117,MATCH(B947,Items!$A$2:$A$117,0))</f>
        <v/>
      </c>
      <c r="M947" s="49">
        <f>INDEX(Items!$E$2:$E$117,MATCH(B947,Items!$A$2:$A$117,0))</f>
        <v/>
      </c>
      <c r="N947" s="17">
        <f>TEXT(D947,"yyyy-mm")</f>
        <v/>
      </c>
      <c r="O947" s="50">
        <f>G947*J947</f>
        <v/>
      </c>
      <c r="P947" s="50">
        <f>(J947-M947)*G947</f>
        <v/>
      </c>
      <c r="Q947" s="51">
        <f>IF(K947="Received",1,0)</f>
        <v/>
      </c>
      <c r="R947" s="51">
        <f>IF(Q947=1,F947-D947,0)</f>
        <v/>
      </c>
      <c r="S947" s="51">
        <f>IF(Q947=1,IF(F947&lt;=E947,1,0),0)</f>
        <v/>
      </c>
      <c r="T947" s="51">
        <f>IF(Q947=1,IF(H947&gt;=G947,1,0),0)</f>
        <v/>
      </c>
      <c r="U947" s="51">
        <f>S947*T947</f>
        <v/>
      </c>
      <c r="V947" s="51">
        <f>IF(Q947=1,MAX(0,F947-E947),0)</f>
        <v/>
      </c>
    </row>
    <row r="948">
      <c r="A948" s="43" t="inlineStr">
        <is>
          <t>PO101131</t>
        </is>
      </c>
      <c r="B948" s="43" t="inlineStr">
        <is>
          <t>CMD-0052</t>
        </is>
      </c>
      <c r="C948" s="43" t="inlineStr">
        <is>
          <t>S01</t>
        </is>
      </c>
      <c r="D948" s="47" t="n">
        <v>45907</v>
      </c>
      <c r="E948" s="47" t="n">
        <v>45928</v>
      </c>
      <c r="F948" s="47" t="n">
        <v>45926</v>
      </c>
      <c r="G948" s="46" t="n">
        <v>130424</v>
      </c>
      <c r="H948" s="46" t="n">
        <v>130424</v>
      </c>
      <c r="I948" s="46" t="n">
        <v>239</v>
      </c>
      <c r="J948" s="44" t="n">
        <v>0.2016</v>
      </c>
      <c r="K948" s="43" t="inlineStr">
        <is>
          <t>Received</t>
        </is>
      </c>
      <c r="L948" s="17">
        <f>INDEX(Items!$C$2:$C$117,MATCH(B948,Items!$A$2:$A$117,0))</f>
        <v/>
      </c>
      <c r="M948" s="49">
        <f>INDEX(Items!$E$2:$E$117,MATCH(B948,Items!$A$2:$A$117,0))</f>
        <v/>
      </c>
      <c r="N948" s="17">
        <f>TEXT(D948,"yyyy-mm")</f>
        <v/>
      </c>
      <c r="O948" s="50">
        <f>G948*J948</f>
        <v/>
      </c>
      <c r="P948" s="50">
        <f>(J948-M948)*G948</f>
        <v/>
      </c>
      <c r="Q948" s="51">
        <f>IF(K948="Received",1,0)</f>
        <v/>
      </c>
      <c r="R948" s="51">
        <f>IF(Q948=1,F948-D948,0)</f>
        <v/>
      </c>
      <c r="S948" s="51">
        <f>IF(Q948=1,IF(F948&lt;=E948,1,0),0)</f>
        <v/>
      </c>
      <c r="T948" s="51">
        <f>IF(Q948=1,IF(H948&gt;=G948,1,0),0)</f>
        <v/>
      </c>
      <c r="U948" s="51">
        <f>S948*T948</f>
        <v/>
      </c>
      <c r="V948" s="51">
        <f>IF(Q948=1,MAX(0,F948-E948),0)</f>
        <v/>
      </c>
    </row>
    <row r="949">
      <c r="A949" s="43" t="inlineStr">
        <is>
          <t>PO100781</t>
        </is>
      </c>
      <c r="B949" s="43" t="inlineStr">
        <is>
          <t>CMD-0035</t>
        </is>
      </c>
      <c r="C949" s="43" t="inlineStr">
        <is>
          <t>S01</t>
        </is>
      </c>
      <c r="D949" s="47" t="n">
        <v>45907</v>
      </c>
      <c r="E949" s="47" t="n">
        <v>45935</v>
      </c>
      <c r="F949" s="47" t="n">
        <v>45935</v>
      </c>
      <c r="G949" s="46" t="n">
        <v>773</v>
      </c>
      <c r="H949" s="46" t="n">
        <v>773</v>
      </c>
      <c r="I949" s="46" t="n">
        <v>0</v>
      </c>
      <c r="J949" s="44" t="n">
        <v>9.369999999999999</v>
      </c>
      <c r="K949" s="43" t="inlineStr">
        <is>
          <t>Received</t>
        </is>
      </c>
      <c r="L949" s="17">
        <f>INDEX(Items!$C$2:$C$117,MATCH(B949,Items!$A$2:$A$117,0))</f>
        <v/>
      </c>
      <c r="M949" s="49">
        <f>INDEX(Items!$E$2:$E$117,MATCH(B949,Items!$A$2:$A$117,0))</f>
        <v/>
      </c>
      <c r="N949" s="17">
        <f>TEXT(D949,"yyyy-mm")</f>
        <v/>
      </c>
      <c r="O949" s="50">
        <f>G949*J949</f>
        <v/>
      </c>
      <c r="P949" s="50">
        <f>(J949-M949)*G949</f>
        <v/>
      </c>
      <c r="Q949" s="51">
        <f>IF(K949="Received",1,0)</f>
        <v/>
      </c>
      <c r="R949" s="51">
        <f>IF(Q949=1,F949-D949,0)</f>
        <v/>
      </c>
      <c r="S949" s="51">
        <f>IF(Q949=1,IF(F949&lt;=E949,1,0),0)</f>
        <v/>
      </c>
      <c r="T949" s="51">
        <f>IF(Q949=1,IF(H949&gt;=G949,1,0),0)</f>
        <v/>
      </c>
      <c r="U949" s="51">
        <f>S949*T949</f>
        <v/>
      </c>
      <c r="V949" s="51">
        <f>IF(Q949=1,MAX(0,F949-E949),0)</f>
        <v/>
      </c>
    </row>
    <row r="950">
      <c r="A950" s="43" t="inlineStr">
        <is>
          <t>PO100805</t>
        </is>
      </c>
      <c r="B950" s="43" t="inlineStr">
        <is>
          <t>CMD-0036</t>
        </is>
      </c>
      <c r="C950" s="43" t="inlineStr">
        <is>
          <t>S04</t>
        </is>
      </c>
      <c r="D950" s="47" t="n">
        <v>45907</v>
      </c>
      <c r="E950" s="47" t="n">
        <v>45949</v>
      </c>
      <c r="F950" s="47" t="n">
        <v>45949</v>
      </c>
      <c r="G950" s="46" t="n">
        <v>490</v>
      </c>
      <c r="H950" s="46" t="n">
        <v>490</v>
      </c>
      <c r="I950" s="46" t="n">
        <v>5</v>
      </c>
      <c r="J950" s="44" t="n">
        <v>12.36</v>
      </c>
      <c r="K950" s="43" t="inlineStr">
        <is>
          <t>Received</t>
        </is>
      </c>
      <c r="L950" s="17">
        <f>INDEX(Items!$C$2:$C$117,MATCH(B950,Items!$A$2:$A$117,0))</f>
        <v/>
      </c>
      <c r="M950" s="49">
        <f>INDEX(Items!$E$2:$E$117,MATCH(B950,Items!$A$2:$A$117,0))</f>
        <v/>
      </c>
      <c r="N950" s="17">
        <f>TEXT(D950,"yyyy-mm")</f>
        <v/>
      </c>
      <c r="O950" s="50">
        <f>G950*J950</f>
        <v/>
      </c>
      <c r="P950" s="50">
        <f>(J950-M950)*G950</f>
        <v/>
      </c>
      <c r="Q950" s="51">
        <f>IF(K950="Received",1,0)</f>
        <v/>
      </c>
      <c r="R950" s="51">
        <f>IF(Q950=1,F950-D950,0)</f>
        <v/>
      </c>
      <c r="S950" s="51">
        <f>IF(Q950=1,IF(F950&lt;=E950,1,0),0)</f>
        <v/>
      </c>
      <c r="T950" s="51">
        <f>IF(Q950=1,IF(H950&gt;=G950,1,0),0)</f>
        <v/>
      </c>
      <c r="U950" s="51">
        <f>S950*T950</f>
        <v/>
      </c>
      <c r="V950" s="51">
        <f>IF(Q950=1,MAX(0,F950-E950),0)</f>
        <v/>
      </c>
    </row>
    <row r="951">
      <c r="A951" s="43" t="inlineStr">
        <is>
          <t>PO100713</t>
        </is>
      </c>
      <c r="B951" s="43" t="inlineStr">
        <is>
          <t>CMD-0032</t>
        </is>
      </c>
      <c r="C951" s="43" t="inlineStr">
        <is>
          <t>S01</t>
        </is>
      </c>
      <c r="D951" s="47" t="n">
        <v>45907</v>
      </c>
      <c r="E951" s="47" t="n">
        <v>45935</v>
      </c>
      <c r="F951" s="47" t="n">
        <v>45935</v>
      </c>
      <c r="G951" s="46" t="n">
        <v>1220</v>
      </c>
      <c r="H951" s="46" t="n">
        <v>1220</v>
      </c>
      <c r="I951" s="46" t="n">
        <v>1</v>
      </c>
      <c r="J951" s="44" t="n">
        <v>5.15</v>
      </c>
      <c r="K951" s="43" t="inlineStr">
        <is>
          <t>Received</t>
        </is>
      </c>
      <c r="L951" s="17">
        <f>INDEX(Items!$C$2:$C$117,MATCH(B951,Items!$A$2:$A$117,0))</f>
        <v/>
      </c>
      <c r="M951" s="49">
        <f>INDEX(Items!$E$2:$E$117,MATCH(B951,Items!$A$2:$A$117,0))</f>
        <v/>
      </c>
      <c r="N951" s="17">
        <f>TEXT(D951,"yyyy-mm")</f>
        <v/>
      </c>
      <c r="O951" s="50">
        <f>G951*J951</f>
        <v/>
      </c>
      <c r="P951" s="50">
        <f>(J951-M951)*G951</f>
        <v/>
      </c>
      <c r="Q951" s="51">
        <f>IF(K951="Received",1,0)</f>
        <v/>
      </c>
      <c r="R951" s="51">
        <f>IF(Q951=1,F951-D951,0)</f>
        <v/>
      </c>
      <c r="S951" s="51">
        <f>IF(Q951=1,IF(F951&lt;=E951,1,0),0)</f>
        <v/>
      </c>
      <c r="T951" s="51">
        <f>IF(Q951=1,IF(H951&gt;=G951,1,0),0)</f>
        <v/>
      </c>
      <c r="U951" s="51">
        <f>S951*T951</f>
        <v/>
      </c>
      <c r="V951" s="51">
        <f>IF(Q951=1,MAX(0,F951-E951),0)</f>
        <v/>
      </c>
    </row>
    <row r="952">
      <c r="A952" s="43" t="inlineStr">
        <is>
          <t>PO100327</t>
        </is>
      </c>
      <c r="B952" s="43" t="inlineStr">
        <is>
          <t>CMD-0015</t>
        </is>
      </c>
      <c r="C952" s="43" t="inlineStr">
        <is>
          <t>S03</t>
        </is>
      </c>
      <c r="D952" s="47" t="n">
        <v>45907</v>
      </c>
      <c r="E952" s="47" t="n">
        <v>46040</v>
      </c>
      <c r="F952" s="47" t="n">
        <v>46040</v>
      </c>
      <c r="G952" s="46" t="n">
        <v>4041</v>
      </c>
      <c r="H952" s="46" t="n">
        <v>4041</v>
      </c>
      <c r="I952" s="46" t="n">
        <v>29</v>
      </c>
      <c r="J952" s="44" t="n">
        <v>6.6788</v>
      </c>
      <c r="K952" s="43" t="inlineStr">
        <is>
          <t>Received</t>
        </is>
      </c>
      <c r="L952" s="17">
        <f>INDEX(Items!$C$2:$C$117,MATCH(B952,Items!$A$2:$A$117,0))</f>
        <v/>
      </c>
      <c r="M952" s="49">
        <f>INDEX(Items!$E$2:$E$117,MATCH(B952,Items!$A$2:$A$117,0))</f>
        <v/>
      </c>
      <c r="N952" s="17">
        <f>TEXT(D952,"yyyy-mm")</f>
        <v/>
      </c>
      <c r="O952" s="50">
        <f>G952*J952</f>
        <v/>
      </c>
      <c r="P952" s="50">
        <f>(J952-M952)*G952</f>
        <v/>
      </c>
      <c r="Q952" s="51">
        <f>IF(K952="Received",1,0)</f>
        <v/>
      </c>
      <c r="R952" s="51">
        <f>IF(Q952=1,F952-D952,0)</f>
        <v/>
      </c>
      <c r="S952" s="51">
        <f>IF(Q952=1,IF(F952&lt;=E952,1,0),0)</f>
        <v/>
      </c>
      <c r="T952" s="51">
        <f>IF(Q952=1,IF(H952&gt;=G952,1,0),0)</f>
        <v/>
      </c>
      <c r="U952" s="51">
        <f>S952*T952</f>
        <v/>
      </c>
      <c r="V952" s="51">
        <f>IF(Q952=1,MAX(0,F952-E952),0)</f>
        <v/>
      </c>
    </row>
    <row r="953">
      <c r="A953" s="43" t="inlineStr">
        <is>
          <t>PO101287</t>
        </is>
      </c>
      <c r="B953" s="43" t="inlineStr">
        <is>
          <t>CMD-0062</t>
        </is>
      </c>
      <c r="C953" s="43" t="inlineStr">
        <is>
          <t>S01</t>
        </is>
      </c>
      <c r="D953" s="47" t="n">
        <v>45908</v>
      </c>
      <c r="E953" s="47" t="n">
        <v>45929</v>
      </c>
      <c r="F953" s="47" t="n">
        <v>45926</v>
      </c>
      <c r="G953" s="46" t="n">
        <v>71372</v>
      </c>
      <c r="H953" s="46" t="n">
        <v>71372</v>
      </c>
      <c r="I953" s="46" t="n">
        <v>137</v>
      </c>
      <c r="J953" s="44" t="n">
        <v>0.1139</v>
      </c>
      <c r="K953" s="43" t="inlineStr">
        <is>
          <t>Received</t>
        </is>
      </c>
      <c r="L953" s="17">
        <f>INDEX(Items!$C$2:$C$117,MATCH(B953,Items!$A$2:$A$117,0))</f>
        <v/>
      </c>
      <c r="M953" s="49">
        <f>INDEX(Items!$E$2:$E$117,MATCH(B953,Items!$A$2:$A$117,0))</f>
        <v/>
      </c>
      <c r="N953" s="17">
        <f>TEXT(D953,"yyyy-mm")</f>
        <v/>
      </c>
      <c r="O953" s="50">
        <f>G953*J953</f>
        <v/>
      </c>
      <c r="P953" s="50">
        <f>(J953-M953)*G953</f>
        <v/>
      </c>
      <c r="Q953" s="51">
        <f>IF(K953="Received",1,0)</f>
        <v/>
      </c>
      <c r="R953" s="51">
        <f>IF(Q953=1,F953-D953,0)</f>
        <v/>
      </c>
      <c r="S953" s="51">
        <f>IF(Q953=1,IF(F953&lt;=E953,1,0),0)</f>
        <v/>
      </c>
      <c r="T953" s="51">
        <f>IF(Q953=1,IF(H953&gt;=G953,1,0),0)</f>
        <v/>
      </c>
      <c r="U953" s="51">
        <f>S953*T953</f>
        <v/>
      </c>
      <c r="V953" s="51">
        <f>IF(Q953=1,MAX(0,F953-E953),0)</f>
        <v/>
      </c>
    </row>
    <row r="954">
      <c r="A954" s="43" t="inlineStr">
        <is>
          <t>PO101943</t>
        </is>
      </c>
      <c r="B954" s="43" t="inlineStr">
        <is>
          <t>CMD-0107</t>
        </is>
      </c>
      <c r="C954" s="43" t="inlineStr">
        <is>
          <t>S09</t>
        </is>
      </c>
      <c r="D954" s="47" t="n">
        <v>45908</v>
      </c>
      <c r="E954" s="47" t="n">
        <v>45929</v>
      </c>
      <c r="F954" s="47" t="n">
        <v>45929</v>
      </c>
      <c r="G954" s="46" t="n">
        <v>1181</v>
      </c>
      <c r="H954" s="46" t="n">
        <v>1181</v>
      </c>
      <c r="I954" s="46" t="n">
        <v>2</v>
      </c>
      <c r="J954" s="44" t="n">
        <v>6.95</v>
      </c>
      <c r="K954" s="43" t="inlineStr">
        <is>
          <t>Received</t>
        </is>
      </c>
      <c r="L954" s="17">
        <f>INDEX(Items!$C$2:$C$117,MATCH(B954,Items!$A$2:$A$117,0))</f>
        <v/>
      </c>
      <c r="M954" s="49">
        <f>INDEX(Items!$E$2:$E$117,MATCH(B954,Items!$A$2:$A$117,0))</f>
        <v/>
      </c>
      <c r="N954" s="17">
        <f>TEXT(D954,"yyyy-mm")</f>
        <v/>
      </c>
      <c r="O954" s="50">
        <f>G954*J954</f>
        <v/>
      </c>
      <c r="P954" s="50">
        <f>(J954-M954)*G954</f>
        <v/>
      </c>
      <c r="Q954" s="51">
        <f>IF(K954="Received",1,0)</f>
        <v/>
      </c>
      <c r="R954" s="51">
        <f>IF(Q954=1,F954-D954,0)</f>
        <v/>
      </c>
      <c r="S954" s="51">
        <f>IF(Q954=1,IF(F954&lt;=E954,1,0),0)</f>
        <v/>
      </c>
      <c r="T954" s="51">
        <f>IF(Q954=1,IF(H954&gt;=G954,1,0),0)</f>
        <v/>
      </c>
      <c r="U954" s="51">
        <f>S954*T954</f>
        <v/>
      </c>
      <c r="V954" s="51">
        <f>IF(Q954=1,MAX(0,F954-E954),0)</f>
        <v/>
      </c>
    </row>
    <row r="955">
      <c r="A955" s="43" t="inlineStr">
        <is>
          <t>PO100853</t>
        </is>
      </c>
      <c r="B955" s="43" t="inlineStr">
        <is>
          <t>CMD-0038</t>
        </is>
      </c>
      <c r="C955" s="43" t="inlineStr">
        <is>
          <t>S01</t>
        </is>
      </c>
      <c r="D955" s="47" t="n">
        <v>45908</v>
      </c>
      <c r="E955" s="47" t="n">
        <v>45936</v>
      </c>
      <c r="F955" s="47" t="n">
        <v>45935</v>
      </c>
      <c r="G955" s="46" t="n">
        <v>962</v>
      </c>
      <c r="H955" s="46" t="n">
        <v>962</v>
      </c>
      <c r="I955" s="46" t="n">
        <v>7</v>
      </c>
      <c r="J955" s="44" t="n">
        <v>21.49</v>
      </c>
      <c r="K955" s="43" t="inlineStr">
        <is>
          <t>Received</t>
        </is>
      </c>
      <c r="L955" s="17">
        <f>INDEX(Items!$C$2:$C$117,MATCH(B955,Items!$A$2:$A$117,0))</f>
        <v/>
      </c>
      <c r="M955" s="49">
        <f>INDEX(Items!$E$2:$E$117,MATCH(B955,Items!$A$2:$A$117,0))</f>
        <v/>
      </c>
      <c r="N955" s="17">
        <f>TEXT(D955,"yyyy-mm")</f>
        <v/>
      </c>
      <c r="O955" s="50">
        <f>G955*J955</f>
        <v/>
      </c>
      <c r="P955" s="50">
        <f>(J955-M955)*G955</f>
        <v/>
      </c>
      <c r="Q955" s="51">
        <f>IF(K955="Received",1,0)</f>
        <v/>
      </c>
      <c r="R955" s="51">
        <f>IF(Q955=1,F955-D955,0)</f>
        <v/>
      </c>
      <c r="S955" s="51">
        <f>IF(Q955=1,IF(F955&lt;=E955,1,0),0)</f>
        <v/>
      </c>
      <c r="T955" s="51">
        <f>IF(Q955=1,IF(H955&gt;=G955,1,0),0)</f>
        <v/>
      </c>
      <c r="U955" s="51">
        <f>S955*T955</f>
        <v/>
      </c>
      <c r="V955" s="51">
        <f>IF(Q955=1,MAX(0,F955-E955),0)</f>
        <v/>
      </c>
    </row>
    <row r="956">
      <c r="A956" s="43" t="inlineStr">
        <is>
          <t>PO100579</t>
        </is>
      </c>
      <c r="B956" s="43" t="inlineStr">
        <is>
          <t>CMD-0026</t>
        </is>
      </c>
      <c r="C956" s="43" t="inlineStr">
        <is>
          <t>S04</t>
        </is>
      </c>
      <c r="D956" s="47" t="n">
        <v>45908</v>
      </c>
      <c r="E956" s="47" t="n">
        <v>45978</v>
      </c>
      <c r="F956" s="47" t="n">
        <v>45981</v>
      </c>
      <c r="G956" s="46" t="n">
        <v>7365</v>
      </c>
      <c r="H956" s="46" t="n">
        <v>7365</v>
      </c>
      <c r="I956" s="46" t="n">
        <v>64</v>
      </c>
      <c r="J956" s="44" t="n">
        <v>5.96</v>
      </c>
      <c r="K956" s="43" t="inlineStr">
        <is>
          <t>Received</t>
        </is>
      </c>
      <c r="L956" s="17">
        <f>INDEX(Items!$C$2:$C$117,MATCH(B956,Items!$A$2:$A$117,0))</f>
        <v/>
      </c>
      <c r="M956" s="49">
        <f>INDEX(Items!$E$2:$E$117,MATCH(B956,Items!$A$2:$A$117,0))</f>
        <v/>
      </c>
      <c r="N956" s="17">
        <f>TEXT(D956,"yyyy-mm")</f>
        <v/>
      </c>
      <c r="O956" s="50">
        <f>G956*J956</f>
        <v/>
      </c>
      <c r="P956" s="50">
        <f>(J956-M956)*G956</f>
        <v/>
      </c>
      <c r="Q956" s="51">
        <f>IF(K956="Received",1,0)</f>
        <v/>
      </c>
      <c r="R956" s="51">
        <f>IF(Q956=1,F956-D956,0)</f>
        <v/>
      </c>
      <c r="S956" s="51">
        <f>IF(Q956=1,IF(F956&lt;=E956,1,0),0)</f>
        <v/>
      </c>
      <c r="T956" s="51">
        <f>IF(Q956=1,IF(H956&gt;=G956,1,0),0)</f>
        <v/>
      </c>
      <c r="U956" s="51">
        <f>S956*T956</f>
        <v/>
      </c>
      <c r="V956" s="51">
        <f>IF(Q956=1,MAX(0,F956-E956),0)</f>
        <v/>
      </c>
    </row>
    <row r="957">
      <c r="A957" s="43" t="inlineStr">
        <is>
          <t>PO100945</t>
        </is>
      </c>
      <c r="B957" s="43" t="inlineStr">
        <is>
          <t>CMD-0043</t>
        </is>
      </c>
      <c r="C957" s="43" t="inlineStr">
        <is>
          <t>S05</t>
        </is>
      </c>
      <c r="D957" s="47" t="n">
        <v>45908</v>
      </c>
      <c r="E957" s="47" t="n">
        <v>46013</v>
      </c>
      <c r="F957" s="47" t="n">
        <v>46012</v>
      </c>
      <c r="G957" s="46" t="n">
        <v>6932</v>
      </c>
      <c r="H957" s="46" t="n">
        <v>6932</v>
      </c>
      <c r="I957" s="46" t="n">
        <v>141</v>
      </c>
      <c r="J957" s="44" t="n">
        <v>3.69</v>
      </c>
      <c r="K957" s="43" t="inlineStr">
        <is>
          <t>Received</t>
        </is>
      </c>
      <c r="L957" s="17">
        <f>INDEX(Items!$C$2:$C$117,MATCH(B957,Items!$A$2:$A$117,0))</f>
        <v/>
      </c>
      <c r="M957" s="49">
        <f>INDEX(Items!$E$2:$E$117,MATCH(B957,Items!$A$2:$A$117,0))</f>
        <v/>
      </c>
      <c r="N957" s="17">
        <f>TEXT(D957,"yyyy-mm")</f>
        <v/>
      </c>
      <c r="O957" s="50">
        <f>G957*J957</f>
        <v/>
      </c>
      <c r="P957" s="50">
        <f>(J957-M957)*G957</f>
        <v/>
      </c>
      <c r="Q957" s="51">
        <f>IF(K957="Received",1,0)</f>
        <v/>
      </c>
      <c r="R957" s="51">
        <f>IF(Q957=1,F957-D957,0)</f>
        <v/>
      </c>
      <c r="S957" s="51">
        <f>IF(Q957=1,IF(F957&lt;=E957,1,0),0)</f>
        <v/>
      </c>
      <c r="T957" s="51">
        <f>IF(Q957=1,IF(H957&gt;=G957,1,0),0)</f>
        <v/>
      </c>
      <c r="U957" s="51">
        <f>S957*T957</f>
        <v/>
      </c>
      <c r="V957" s="51">
        <f>IF(Q957=1,MAX(0,F957-E957),0)</f>
        <v/>
      </c>
    </row>
    <row r="958">
      <c r="A958" s="43" t="inlineStr">
        <is>
          <t>PO101749</t>
        </is>
      </c>
      <c r="B958" s="43" t="inlineStr">
        <is>
          <t>CMD-0095</t>
        </is>
      </c>
      <c r="C958" s="43" t="inlineStr">
        <is>
          <t>S08</t>
        </is>
      </c>
      <c r="D958" s="47" t="n">
        <v>45908</v>
      </c>
      <c r="E958" s="47" t="n">
        <v>45985</v>
      </c>
      <c r="F958" s="47" t="n">
        <v>45982</v>
      </c>
      <c r="G958" s="46" t="n">
        <v>329</v>
      </c>
      <c r="H958" s="46" t="n">
        <v>329</v>
      </c>
      <c r="I958" s="46" t="n">
        <v>5</v>
      </c>
      <c r="J958" s="44" t="n">
        <v>91.83</v>
      </c>
      <c r="K958" s="43" t="inlineStr">
        <is>
          <t>Received</t>
        </is>
      </c>
      <c r="L958" s="17">
        <f>INDEX(Items!$C$2:$C$117,MATCH(B958,Items!$A$2:$A$117,0))</f>
        <v/>
      </c>
      <c r="M958" s="49">
        <f>INDEX(Items!$E$2:$E$117,MATCH(B958,Items!$A$2:$A$117,0))</f>
        <v/>
      </c>
      <c r="N958" s="17">
        <f>TEXT(D958,"yyyy-mm")</f>
        <v/>
      </c>
      <c r="O958" s="50">
        <f>G958*J958</f>
        <v/>
      </c>
      <c r="P958" s="50">
        <f>(J958-M958)*G958</f>
        <v/>
      </c>
      <c r="Q958" s="51">
        <f>IF(K958="Received",1,0)</f>
        <v/>
      </c>
      <c r="R958" s="51">
        <f>IF(Q958=1,F958-D958,0)</f>
        <v/>
      </c>
      <c r="S958" s="51">
        <f>IF(Q958=1,IF(F958&lt;=E958,1,0),0)</f>
        <v/>
      </c>
      <c r="T958" s="51">
        <f>IF(Q958=1,IF(H958&gt;=G958,1,0),0)</f>
        <v/>
      </c>
      <c r="U958" s="51">
        <f>S958*T958</f>
        <v/>
      </c>
      <c r="V958" s="51">
        <f>IF(Q958=1,MAX(0,F958-E958),0)</f>
        <v/>
      </c>
    </row>
    <row r="959">
      <c r="A959" s="43" t="inlineStr">
        <is>
          <t>PO101407</t>
        </is>
      </c>
      <c r="B959" s="43" t="inlineStr">
        <is>
          <t>CMD-0074</t>
        </is>
      </c>
      <c r="C959" s="43" t="inlineStr">
        <is>
          <t>S10</t>
        </is>
      </c>
      <c r="D959" s="47" t="n">
        <v>45908</v>
      </c>
      <c r="E959" s="47" t="n">
        <v>45936</v>
      </c>
      <c r="F959" s="47" t="n">
        <v>45933</v>
      </c>
      <c r="G959" s="46" t="n">
        <v>58650</v>
      </c>
      <c r="H959" s="46" t="n">
        <v>58650</v>
      </c>
      <c r="I959" s="46" t="n">
        <v>62</v>
      </c>
      <c r="J959" s="44" t="n">
        <v>0.3496</v>
      </c>
      <c r="K959" s="43" t="inlineStr">
        <is>
          <t>Received</t>
        </is>
      </c>
      <c r="L959" s="17">
        <f>INDEX(Items!$C$2:$C$117,MATCH(B959,Items!$A$2:$A$117,0))</f>
        <v/>
      </c>
      <c r="M959" s="49">
        <f>INDEX(Items!$E$2:$E$117,MATCH(B959,Items!$A$2:$A$117,0))</f>
        <v/>
      </c>
      <c r="N959" s="17">
        <f>TEXT(D959,"yyyy-mm")</f>
        <v/>
      </c>
      <c r="O959" s="50">
        <f>G959*J959</f>
        <v/>
      </c>
      <c r="P959" s="50">
        <f>(J959-M959)*G959</f>
        <v/>
      </c>
      <c r="Q959" s="51">
        <f>IF(K959="Received",1,0)</f>
        <v/>
      </c>
      <c r="R959" s="51">
        <f>IF(Q959=1,F959-D959,0)</f>
        <v/>
      </c>
      <c r="S959" s="51">
        <f>IF(Q959=1,IF(F959&lt;=E959,1,0),0)</f>
        <v/>
      </c>
      <c r="T959" s="51">
        <f>IF(Q959=1,IF(H959&gt;=G959,1,0),0)</f>
        <v/>
      </c>
      <c r="U959" s="51">
        <f>S959*T959</f>
        <v/>
      </c>
      <c r="V959" s="51">
        <f>IF(Q959=1,MAX(0,F959-E959),0)</f>
        <v/>
      </c>
    </row>
    <row r="960">
      <c r="A960" s="43" t="inlineStr">
        <is>
          <t>PO101319</t>
        </is>
      </c>
      <c r="B960" s="43" t="inlineStr">
        <is>
          <t>CMD-0065</t>
        </is>
      </c>
      <c r="C960" s="43" t="inlineStr">
        <is>
          <t>S10</t>
        </is>
      </c>
      <c r="D960" s="47" t="n">
        <v>45908</v>
      </c>
      <c r="E960" s="47" t="n">
        <v>45936</v>
      </c>
      <c r="F960" s="47" t="n">
        <v>45934</v>
      </c>
      <c r="G960" s="46" t="n">
        <v>91283</v>
      </c>
      <c r="H960" s="46" t="n">
        <v>91283</v>
      </c>
      <c r="I960" s="46" t="n">
        <v>98</v>
      </c>
      <c r="J960" s="44" t="n">
        <v>0.1155</v>
      </c>
      <c r="K960" s="43" t="inlineStr">
        <is>
          <t>Received</t>
        </is>
      </c>
      <c r="L960" s="17">
        <f>INDEX(Items!$C$2:$C$117,MATCH(B960,Items!$A$2:$A$117,0))</f>
        <v/>
      </c>
      <c r="M960" s="49">
        <f>INDEX(Items!$E$2:$E$117,MATCH(B960,Items!$A$2:$A$117,0))</f>
        <v/>
      </c>
      <c r="N960" s="17">
        <f>TEXT(D960,"yyyy-mm")</f>
        <v/>
      </c>
      <c r="O960" s="50">
        <f>G960*J960</f>
        <v/>
      </c>
      <c r="P960" s="50">
        <f>(J960-M960)*G960</f>
        <v/>
      </c>
      <c r="Q960" s="51">
        <f>IF(K960="Received",1,0)</f>
        <v/>
      </c>
      <c r="R960" s="51">
        <f>IF(Q960=1,F960-D960,0)</f>
        <v/>
      </c>
      <c r="S960" s="51">
        <f>IF(Q960=1,IF(F960&lt;=E960,1,0),0)</f>
        <v/>
      </c>
      <c r="T960" s="51">
        <f>IF(Q960=1,IF(H960&gt;=G960,1,0),0)</f>
        <v/>
      </c>
      <c r="U960" s="51">
        <f>S960*T960</f>
        <v/>
      </c>
      <c r="V960" s="51">
        <f>IF(Q960=1,MAX(0,F960-E960),0)</f>
        <v/>
      </c>
    </row>
    <row r="961">
      <c r="A961" s="43" t="inlineStr">
        <is>
          <t>PO100011</t>
        </is>
      </c>
      <c r="B961" s="43" t="inlineStr">
        <is>
          <t>CMD-0001</t>
        </is>
      </c>
      <c r="C961" s="43" t="inlineStr">
        <is>
          <t>S07</t>
        </is>
      </c>
      <c r="D961" s="47" t="n">
        <v>45908</v>
      </c>
      <c r="E961" s="47" t="n">
        <v>45999</v>
      </c>
      <c r="F961" s="47" t="n">
        <v>45998</v>
      </c>
      <c r="G961" s="46" t="n">
        <v>7216</v>
      </c>
      <c r="H961" s="46" t="n">
        <v>7216</v>
      </c>
      <c r="I961" s="46" t="n">
        <v>66</v>
      </c>
      <c r="J961" s="44" t="n">
        <v>16.8268</v>
      </c>
      <c r="K961" s="43" t="inlineStr">
        <is>
          <t>Received</t>
        </is>
      </c>
      <c r="L961" s="17">
        <f>INDEX(Items!$C$2:$C$117,MATCH(B961,Items!$A$2:$A$117,0))</f>
        <v/>
      </c>
      <c r="M961" s="49">
        <f>INDEX(Items!$E$2:$E$117,MATCH(B961,Items!$A$2:$A$117,0))</f>
        <v/>
      </c>
      <c r="N961" s="17">
        <f>TEXT(D961,"yyyy-mm")</f>
        <v/>
      </c>
      <c r="O961" s="50">
        <f>G961*J961</f>
        <v/>
      </c>
      <c r="P961" s="50">
        <f>(J961-M961)*G961</f>
        <v/>
      </c>
      <c r="Q961" s="51">
        <f>IF(K961="Received",1,0)</f>
        <v/>
      </c>
      <c r="R961" s="51">
        <f>IF(Q961=1,F961-D961,0)</f>
        <v/>
      </c>
      <c r="S961" s="51">
        <f>IF(Q961=1,IF(F961&lt;=E961,1,0),0)</f>
        <v/>
      </c>
      <c r="T961" s="51">
        <f>IF(Q961=1,IF(H961&gt;=G961,1,0),0)</f>
        <v/>
      </c>
      <c r="U961" s="51">
        <f>S961*T961</f>
        <v/>
      </c>
      <c r="V961" s="51">
        <f>IF(Q961=1,MAX(0,F961-E961),0)</f>
        <v/>
      </c>
    </row>
    <row r="962">
      <c r="A962" s="43" t="inlineStr">
        <is>
          <t>PO100483</t>
        </is>
      </c>
      <c r="B962" s="43" t="inlineStr">
        <is>
          <t>CMD-0022</t>
        </is>
      </c>
      <c r="C962" s="43" t="inlineStr">
        <is>
          <t>S02</t>
        </is>
      </c>
      <c r="D962" s="47" t="n">
        <v>45908</v>
      </c>
      <c r="E962" s="47" t="n">
        <v>45964</v>
      </c>
      <c r="F962" s="47" t="n">
        <v>45962</v>
      </c>
      <c r="G962" s="46" t="n">
        <v>4254</v>
      </c>
      <c r="H962" s="46" t="n">
        <v>4254</v>
      </c>
      <c r="I962" s="46" t="n">
        <v>15</v>
      </c>
      <c r="J962" s="44" t="n">
        <v>17.18</v>
      </c>
      <c r="K962" s="43" t="inlineStr">
        <is>
          <t>Received</t>
        </is>
      </c>
      <c r="L962" s="17">
        <f>INDEX(Items!$C$2:$C$117,MATCH(B962,Items!$A$2:$A$117,0))</f>
        <v/>
      </c>
      <c r="M962" s="49">
        <f>INDEX(Items!$E$2:$E$117,MATCH(B962,Items!$A$2:$A$117,0))</f>
        <v/>
      </c>
      <c r="N962" s="17">
        <f>TEXT(D962,"yyyy-mm")</f>
        <v/>
      </c>
      <c r="O962" s="50">
        <f>G962*J962</f>
        <v/>
      </c>
      <c r="P962" s="50">
        <f>(J962-M962)*G962</f>
        <v/>
      </c>
      <c r="Q962" s="51">
        <f>IF(K962="Received",1,0)</f>
        <v/>
      </c>
      <c r="R962" s="51">
        <f>IF(Q962=1,F962-D962,0)</f>
        <v/>
      </c>
      <c r="S962" s="51">
        <f>IF(Q962=1,IF(F962&lt;=E962,1,0),0)</f>
        <v/>
      </c>
      <c r="T962" s="51">
        <f>IF(Q962=1,IF(H962&gt;=G962,1,0),0)</f>
        <v/>
      </c>
      <c r="U962" s="51">
        <f>S962*T962</f>
        <v/>
      </c>
      <c r="V962" s="51">
        <f>IF(Q962=1,MAX(0,F962-E962),0)</f>
        <v/>
      </c>
    </row>
    <row r="963">
      <c r="A963" s="43" t="inlineStr">
        <is>
          <t>PO100651</t>
        </is>
      </c>
      <c r="B963" s="43" t="inlineStr">
        <is>
          <t>CMD-0029</t>
        </is>
      </c>
      <c r="C963" s="43" t="inlineStr">
        <is>
          <t>S11</t>
        </is>
      </c>
      <c r="D963" s="47" t="n">
        <v>45908</v>
      </c>
      <c r="E963" s="47" t="n">
        <v>45985</v>
      </c>
      <c r="F963" s="47" t="n">
        <v>45984</v>
      </c>
      <c r="G963" s="46" t="n">
        <v>4278</v>
      </c>
      <c r="H963" s="46" t="n">
        <v>4278</v>
      </c>
      <c r="I963" s="46" t="n">
        <v>9</v>
      </c>
      <c r="J963" s="44" t="n">
        <v>6.87</v>
      </c>
      <c r="K963" s="43" t="inlineStr">
        <is>
          <t>Received</t>
        </is>
      </c>
      <c r="L963" s="17">
        <f>INDEX(Items!$C$2:$C$117,MATCH(B963,Items!$A$2:$A$117,0))</f>
        <v/>
      </c>
      <c r="M963" s="49">
        <f>INDEX(Items!$E$2:$E$117,MATCH(B963,Items!$A$2:$A$117,0))</f>
        <v/>
      </c>
      <c r="N963" s="17">
        <f>TEXT(D963,"yyyy-mm")</f>
        <v/>
      </c>
      <c r="O963" s="50">
        <f>G963*J963</f>
        <v/>
      </c>
      <c r="P963" s="50">
        <f>(J963-M963)*G963</f>
        <v/>
      </c>
      <c r="Q963" s="51">
        <f>IF(K963="Received",1,0)</f>
        <v/>
      </c>
      <c r="R963" s="51">
        <f>IF(Q963=1,F963-D963,0)</f>
        <v/>
      </c>
      <c r="S963" s="51">
        <f>IF(Q963=1,IF(F963&lt;=E963,1,0),0)</f>
        <v/>
      </c>
      <c r="T963" s="51">
        <f>IF(Q963=1,IF(H963&gt;=G963,1,0),0)</f>
        <v/>
      </c>
      <c r="U963" s="51">
        <f>S963*T963</f>
        <v/>
      </c>
      <c r="V963" s="51">
        <f>IF(Q963=1,MAX(0,F963-E963),0)</f>
        <v/>
      </c>
    </row>
    <row r="964">
      <c r="A964" s="43" t="inlineStr">
        <is>
          <t>PO101629</t>
        </is>
      </c>
      <c r="B964" s="43" t="inlineStr">
        <is>
          <t>CMD-0090</t>
        </is>
      </c>
      <c r="C964" s="43" t="inlineStr">
        <is>
          <t>S01</t>
        </is>
      </c>
      <c r="D964" s="47" t="n">
        <v>45909</v>
      </c>
      <c r="E964" s="47" t="n">
        <v>45923</v>
      </c>
      <c r="F964" s="47" t="n">
        <v>45949</v>
      </c>
      <c r="G964" s="46" t="n">
        <v>4823</v>
      </c>
      <c r="H964" s="46" t="n">
        <v>4823</v>
      </c>
      <c r="I964" s="46" t="n">
        <v>16</v>
      </c>
      <c r="J964" s="44" t="n">
        <v>6.99</v>
      </c>
      <c r="K964" s="43" t="inlineStr">
        <is>
          <t>Received</t>
        </is>
      </c>
      <c r="L964" s="17">
        <f>INDEX(Items!$C$2:$C$117,MATCH(B964,Items!$A$2:$A$117,0))</f>
        <v/>
      </c>
      <c r="M964" s="49">
        <f>INDEX(Items!$E$2:$E$117,MATCH(B964,Items!$A$2:$A$117,0))</f>
        <v/>
      </c>
      <c r="N964" s="17">
        <f>TEXT(D964,"yyyy-mm")</f>
        <v/>
      </c>
      <c r="O964" s="50">
        <f>G964*J964</f>
        <v/>
      </c>
      <c r="P964" s="50">
        <f>(J964-M964)*G964</f>
        <v/>
      </c>
      <c r="Q964" s="51">
        <f>IF(K964="Received",1,0)</f>
        <v/>
      </c>
      <c r="R964" s="51">
        <f>IF(Q964=1,F964-D964,0)</f>
        <v/>
      </c>
      <c r="S964" s="51">
        <f>IF(Q964=1,IF(F964&lt;=E964,1,0),0)</f>
        <v/>
      </c>
      <c r="T964" s="51">
        <f>IF(Q964=1,IF(H964&gt;=G964,1,0),0)</f>
        <v/>
      </c>
      <c r="U964" s="51">
        <f>S964*T964</f>
        <v/>
      </c>
      <c r="V964" s="51">
        <f>IF(Q964=1,MAX(0,F964-E964),0)</f>
        <v/>
      </c>
    </row>
    <row r="965">
      <c r="A965" s="43" t="inlineStr">
        <is>
          <t>PO100107</t>
        </is>
      </c>
      <c r="B965" s="43" t="inlineStr">
        <is>
          <t>CMD-0005</t>
        </is>
      </c>
      <c r="C965" s="43" t="inlineStr">
        <is>
          <t>S07</t>
        </is>
      </c>
      <c r="D965" s="47" t="n">
        <v>45909</v>
      </c>
      <c r="E965" s="47" t="n">
        <v>46000</v>
      </c>
      <c r="F965" s="47" t="n">
        <v>45997</v>
      </c>
      <c r="G965" s="46" t="n">
        <v>4447</v>
      </c>
      <c r="H965" s="46" t="n">
        <v>4447</v>
      </c>
      <c r="I965" s="46" t="n">
        <v>33</v>
      </c>
      <c r="J965" s="44" t="n">
        <v>6.6434</v>
      </c>
      <c r="K965" s="43" t="inlineStr">
        <is>
          <t>Received</t>
        </is>
      </c>
      <c r="L965" s="17">
        <f>INDEX(Items!$C$2:$C$117,MATCH(B965,Items!$A$2:$A$117,0))</f>
        <v/>
      </c>
      <c r="M965" s="49">
        <f>INDEX(Items!$E$2:$E$117,MATCH(B965,Items!$A$2:$A$117,0))</f>
        <v/>
      </c>
      <c r="N965" s="17">
        <f>TEXT(D965,"yyyy-mm")</f>
        <v/>
      </c>
      <c r="O965" s="50">
        <f>G965*J965</f>
        <v/>
      </c>
      <c r="P965" s="50">
        <f>(J965-M965)*G965</f>
        <v/>
      </c>
      <c r="Q965" s="51">
        <f>IF(K965="Received",1,0)</f>
        <v/>
      </c>
      <c r="R965" s="51">
        <f>IF(Q965=1,F965-D965,0)</f>
        <v/>
      </c>
      <c r="S965" s="51">
        <f>IF(Q965=1,IF(F965&lt;=E965,1,0),0)</f>
        <v/>
      </c>
      <c r="T965" s="51">
        <f>IF(Q965=1,IF(H965&gt;=G965,1,0),0)</f>
        <v/>
      </c>
      <c r="U965" s="51">
        <f>S965*T965</f>
        <v/>
      </c>
      <c r="V965" s="51">
        <f>IF(Q965=1,MAX(0,F965-E965),0)</f>
        <v/>
      </c>
    </row>
    <row r="966">
      <c r="A966" s="43" t="inlineStr">
        <is>
          <t>PO101063</t>
        </is>
      </c>
      <c r="B966" s="43" t="inlineStr">
        <is>
          <t>CMD-0048</t>
        </is>
      </c>
      <c r="C966" s="43" t="inlineStr">
        <is>
          <t>S10</t>
        </is>
      </c>
      <c r="D966" s="47" t="n">
        <v>45909</v>
      </c>
      <c r="E966" s="47" t="n">
        <v>45937</v>
      </c>
      <c r="F966" s="47" t="n">
        <v>45951</v>
      </c>
      <c r="G966" s="46" t="n">
        <v>17889</v>
      </c>
      <c r="H966" s="46" t="n">
        <v>17889</v>
      </c>
      <c r="I966" s="46" t="n">
        <v>15</v>
      </c>
      <c r="J966" s="44" t="n">
        <v>0.3231</v>
      </c>
      <c r="K966" s="43" t="inlineStr">
        <is>
          <t>Received</t>
        </is>
      </c>
      <c r="L966" s="17">
        <f>INDEX(Items!$C$2:$C$117,MATCH(B966,Items!$A$2:$A$117,0))</f>
        <v/>
      </c>
      <c r="M966" s="49">
        <f>INDEX(Items!$E$2:$E$117,MATCH(B966,Items!$A$2:$A$117,0))</f>
        <v/>
      </c>
      <c r="N966" s="17">
        <f>TEXT(D966,"yyyy-mm")</f>
        <v/>
      </c>
      <c r="O966" s="50">
        <f>G966*J966</f>
        <v/>
      </c>
      <c r="P966" s="50">
        <f>(J966-M966)*G966</f>
        <v/>
      </c>
      <c r="Q966" s="51">
        <f>IF(K966="Received",1,0)</f>
        <v/>
      </c>
      <c r="R966" s="51">
        <f>IF(Q966=1,F966-D966,0)</f>
        <v/>
      </c>
      <c r="S966" s="51">
        <f>IF(Q966=1,IF(F966&lt;=E966,1,0),0)</f>
        <v/>
      </c>
      <c r="T966" s="51">
        <f>IF(Q966=1,IF(H966&gt;=G966,1,0),0)</f>
        <v/>
      </c>
      <c r="U966" s="51">
        <f>S966*T966</f>
        <v/>
      </c>
      <c r="V966" s="51">
        <f>IF(Q966=1,MAX(0,F966-E966),0)</f>
        <v/>
      </c>
    </row>
    <row r="967">
      <c r="A967" s="43" t="inlineStr">
        <is>
          <t>PO100733</t>
        </is>
      </c>
      <c r="B967" s="43" t="inlineStr">
        <is>
          <t>CMD-0033</t>
        </is>
      </c>
      <c r="C967" s="43" t="inlineStr">
        <is>
          <t>S07</t>
        </is>
      </c>
      <c r="D967" s="47" t="n">
        <v>45909</v>
      </c>
      <c r="E967" s="47" t="n">
        <v>45951</v>
      </c>
      <c r="F967" s="47" t="n">
        <v>45958</v>
      </c>
      <c r="G967" s="46" t="n">
        <v>3980</v>
      </c>
      <c r="H967" s="46" t="n">
        <v>3980</v>
      </c>
      <c r="I967" s="46" t="n">
        <v>26</v>
      </c>
      <c r="J967" s="44" t="n">
        <v>58.36</v>
      </c>
      <c r="K967" s="43" t="inlineStr">
        <is>
          <t>Received</t>
        </is>
      </c>
      <c r="L967" s="17">
        <f>INDEX(Items!$C$2:$C$117,MATCH(B967,Items!$A$2:$A$117,0))</f>
        <v/>
      </c>
      <c r="M967" s="49">
        <f>INDEX(Items!$E$2:$E$117,MATCH(B967,Items!$A$2:$A$117,0))</f>
        <v/>
      </c>
      <c r="N967" s="17">
        <f>TEXT(D967,"yyyy-mm")</f>
        <v/>
      </c>
      <c r="O967" s="50">
        <f>G967*J967</f>
        <v/>
      </c>
      <c r="P967" s="50">
        <f>(J967-M967)*G967</f>
        <v/>
      </c>
      <c r="Q967" s="51">
        <f>IF(K967="Received",1,0)</f>
        <v/>
      </c>
      <c r="R967" s="51">
        <f>IF(Q967=1,F967-D967,0)</f>
        <v/>
      </c>
      <c r="S967" s="51">
        <f>IF(Q967=1,IF(F967&lt;=E967,1,0),0)</f>
        <v/>
      </c>
      <c r="T967" s="51">
        <f>IF(Q967=1,IF(H967&gt;=G967,1,0),0)</f>
        <v/>
      </c>
      <c r="U967" s="51">
        <f>S967*T967</f>
        <v/>
      </c>
      <c r="V967" s="51">
        <f>IF(Q967=1,MAX(0,F967-E967),0)</f>
        <v/>
      </c>
    </row>
    <row r="968">
      <c r="A968" s="43" t="inlineStr">
        <is>
          <t>PO100757</t>
        </is>
      </c>
      <c r="B968" s="43" t="inlineStr">
        <is>
          <t>CMD-0034</t>
        </is>
      </c>
      <c r="C968" s="43" t="inlineStr">
        <is>
          <t>S04</t>
        </is>
      </c>
      <c r="D968" s="47" t="n">
        <v>45909</v>
      </c>
      <c r="E968" s="47" t="n">
        <v>45951</v>
      </c>
      <c r="F968" s="47" t="n">
        <v>45949</v>
      </c>
      <c r="G968" s="46" t="n">
        <v>694</v>
      </c>
      <c r="H968" s="46" t="n">
        <v>694</v>
      </c>
      <c r="I968" s="46" t="n">
        <v>5</v>
      </c>
      <c r="J968" s="44" t="n">
        <v>10.55</v>
      </c>
      <c r="K968" s="43" t="inlineStr">
        <is>
          <t>Received</t>
        </is>
      </c>
      <c r="L968" s="17">
        <f>INDEX(Items!$C$2:$C$117,MATCH(B968,Items!$A$2:$A$117,0))</f>
        <v/>
      </c>
      <c r="M968" s="49">
        <f>INDEX(Items!$E$2:$E$117,MATCH(B968,Items!$A$2:$A$117,0))</f>
        <v/>
      </c>
      <c r="N968" s="17">
        <f>TEXT(D968,"yyyy-mm")</f>
        <v/>
      </c>
      <c r="O968" s="50">
        <f>G968*J968</f>
        <v/>
      </c>
      <c r="P968" s="50">
        <f>(J968-M968)*G968</f>
        <v/>
      </c>
      <c r="Q968" s="51">
        <f>IF(K968="Received",1,0)</f>
        <v/>
      </c>
      <c r="R968" s="51">
        <f>IF(Q968=1,F968-D968,0)</f>
        <v/>
      </c>
      <c r="S968" s="51">
        <f>IF(Q968=1,IF(F968&lt;=E968,1,0),0)</f>
        <v/>
      </c>
      <c r="T968" s="51">
        <f>IF(Q968=1,IF(H968&gt;=G968,1,0),0)</f>
        <v/>
      </c>
      <c r="U968" s="51">
        <f>S968*T968</f>
        <v/>
      </c>
      <c r="V968" s="51">
        <f>IF(Q968=1,MAX(0,F968-E968),0)</f>
        <v/>
      </c>
    </row>
    <row r="969">
      <c r="A969" s="43" t="inlineStr">
        <is>
          <t>PO101491</t>
        </is>
      </c>
      <c r="B969" s="43" t="inlineStr">
        <is>
          <t>CMD-0079</t>
        </is>
      </c>
      <c r="C969" s="43" t="inlineStr">
        <is>
          <t>S06</t>
        </is>
      </c>
      <c r="D969" s="47" t="n">
        <v>45909</v>
      </c>
      <c r="E969" s="47" t="n">
        <v>45930</v>
      </c>
      <c r="F969" s="47" t="n">
        <v>45930</v>
      </c>
      <c r="G969" s="46" t="n">
        <v>1913</v>
      </c>
      <c r="H969" s="46" t="n">
        <v>1913</v>
      </c>
      <c r="I969" s="46" t="n">
        <v>9</v>
      </c>
      <c r="J969" s="44" t="n">
        <v>3.53</v>
      </c>
      <c r="K969" s="43" t="inlineStr">
        <is>
          <t>Received</t>
        </is>
      </c>
      <c r="L969" s="17">
        <f>INDEX(Items!$C$2:$C$117,MATCH(B969,Items!$A$2:$A$117,0))</f>
        <v/>
      </c>
      <c r="M969" s="49">
        <f>INDEX(Items!$E$2:$E$117,MATCH(B969,Items!$A$2:$A$117,0))</f>
        <v/>
      </c>
      <c r="N969" s="17">
        <f>TEXT(D969,"yyyy-mm")</f>
        <v/>
      </c>
      <c r="O969" s="50">
        <f>G969*J969</f>
        <v/>
      </c>
      <c r="P969" s="50">
        <f>(J969-M969)*G969</f>
        <v/>
      </c>
      <c r="Q969" s="51">
        <f>IF(K969="Received",1,0)</f>
        <v/>
      </c>
      <c r="R969" s="51">
        <f>IF(Q969=1,F969-D969,0)</f>
        <v/>
      </c>
      <c r="S969" s="51">
        <f>IF(Q969=1,IF(F969&lt;=E969,1,0),0)</f>
        <v/>
      </c>
      <c r="T969" s="51">
        <f>IF(Q969=1,IF(H969&gt;=G969,1,0),0)</f>
        <v/>
      </c>
      <c r="U969" s="51">
        <f>S969*T969</f>
        <v/>
      </c>
      <c r="V969" s="51">
        <f>IF(Q969=1,MAX(0,F969-E969),0)</f>
        <v/>
      </c>
    </row>
    <row r="970">
      <c r="A970" s="43" t="inlineStr">
        <is>
          <t>PO101093</t>
        </is>
      </c>
      <c r="B970" s="43" t="inlineStr">
        <is>
          <t>CMD-0050</t>
        </is>
      </c>
      <c r="C970" s="43" t="inlineStr">
        <is>
          <t>S10</t>
        </is>
      </c>
      <c r="D970" s="47" t="n">
        <v>45909</v>
      </c>
      <c r="E970" s="47" t="n">
        <v>45937</v>
      </c>
      <c r="F970" s="47" t="n">
        <v>45936</v>
      </c>
      <c r="G970" s="46" t="n">
        <v>81346</v>
      </c>
      <c r="H970" s="46" t="n">
        <v>81346</v>
      </c>
      <c r="I970" s="46" t="n">
        <v>86</v>
      </c>
      <c r="J970" s="44" t="n">
        <v>0.075</v>
      </c>
      <c r="K970" s="43" t="inlineStr">
        <is>
          <t>Received</t>
        </is>
      </c>
      <c r="L970" s="17">
        <f>INDEX(Items!$C$2:$C$117,MATCH(B970,Items!$A$2:$A$117,0))</f>
        <v/>
      </c>
      <c r="M970" s="49">
        <f>INDEX(Items!$E$2:$E$117,MATCH(B970,Items!$A$2:$A$117,0))</f>
        <v/>
      </c>
      <c r="N970" s="17">
        <f>TEXT(D970,"yyyy-mm")</f>
        <v/>
      </c>
      <c r="O970" s="50">
        <f>G970*J970</f>
        <v/>
      </c>
      <c r="P970" s="50">
        <f>(J970-M970)*G970</f>
        <v/>
      </c>
      <c r="Q970" s="51">
        <f>IF(K970="Received",1,0)</f>
        <v/>
      </c>
      <c r="R970" s="51">
        <f>IF(Q970=1,F970-D970,0)</f>
        <v/>
      </c>
      <c r="S970" s="51">
        <f>IF(Q970=1,IF(F970&lt;=E970,1,0),0)</f>
        <v/>
      </c>
      <c r="T970" s="51">
        <f>IF(Q970=1,IF(H970&gt;=G970,1,0),0)</f>
        <v/>
      </c>
      <c r="U970" s="51">
        <f>S970*T970</f>
        <v/>
      </c>
      <c r="V970" s="51">
        <f>IF(Q970=1,MAX(0,F970-E970),0)</f>
        <v/>
      </c>
    </row>
    <row r="971">
      <c r="A971" s="43" t="inlineStr">
        <is>
          <t>PO101351</t>
        </is>
      </c>
      <c r="B971" s="43" t="inlineStr">
        <is>
          <t>CMD-0068</t>
        </is>
      </c>
      <c r="C971" s="43" t="inlineStr">
        <is>
          <t>S01</t>
        </is>
      </c>
      <c r="D971" s="47" t="n">
        <v>45909</v>
      </c>
      <c r="E971" s="47" t="n">
        <v>45930</v>
      </c>
      <c r="F971" s="47" t="n">
        <v>45928</v>
      </c>
      <c r="G971" s="46" t="n">
        <v>39161</v>
      </c>
      <c r="H971" s="46" t="n">
        <v>39161</v>
      </c>
      <c r="I971" s="46" t="n">
        <v>76</v>
      </c>
      <c r="J971" s="44" t="n">
        <v>0.1562</v>
      </c>
      <c r="K971" s="43" t="inlineStr">
        <is>
          <t>Received</t>
        </is>
      </c>
      <c r="L971" s="17">
        <f>INDEX(Items!$C$2:$C$117,MATCH(B971,Items!$A$2:$A$117,0))</f>
        <v/>
      </c>
      <c r="M971" s="49">
        <f>INDEX(Items!$E$2:$E$117,MATCH(B971,Items!$A$2:$A$117,0))</f>
        <v/>
      </c>
      <c r="N971" s="17">
        <f>TEXT(D971,"yyyy-mm")</f>
        <v/>
      </c>
      <c r="O971" s="50">
        <f>G971*J971</f>
        <v/>
      </c>
      <c r="P971" s="50">
        <f>(J971-M971)*G971</f>
        <v/>
      </c>
      <c r="Q971" s="51">
        <f>IF(K971="Received",1,0)</f>
        <v/>
      </c>
      <c r="R971" s="51">
        <f>IF(Q971=1,F971-D971,0)</f>
        <v/>
      </c>
      <c r="S971" s="51">
        <f>IF(Q971=1,IF(F971&lt;=E971,1,0),0)</f>
        <v/>
      </c>
      <c r="T971" s="51">
        <f>IF(Q971=1,IF(H971&gt;=G971,1,0),0)</f>
        <v/>
      </c>
      <c r="U971" s="51">
        <f>S971*T971</f>
        <v/>
      </c>
      <c r="V971" s="51">
        <f>IF(Q971=1,MAX(0,F971-E971),0)</f>
        <v/>
      </c>
    </row>
    <row r="972">
      <c r="A972" s="43" t="inlineStr">
        <is>
          <t>PO100531</t>
        </is>
      </c>
      <c r="B972" s="43" t="inlineStr">
        <is>
          <t>CMD-0024</t>
        </is>
      </c>
      <c r="C972" s="43" t="inlineStr">
        <is>
          <t>S04</t>
        </is>
      </c>
      <c r="D972" s="47" t="n">
        <v>45909</v>
      </c>
      <c r="E972" s="47" t="n">
        <v>45979</v>
      </c>
      <c r="F972" s="47" t="n">
        <v>45978</v>
      </c>
      <c r="G972" s="46" t="n">
        <v>4139</v>
      </c>
      <c r="H972" s="46" t="n">
        <v>4139</v>
      </c>
      <c r="I972" s="46" t="n">
        <v>45</v>
      </c>
      <c r="J972" s="44" t="n">
        <v>3.31</v>
      </c>
      <c r="K972" s="43" t="inlineStr">
        <is>
          <t>Received</t>
        </is>
      </c>
      <c r="L972" s="17">
        <f>INDEX(Items!$C$2:$C$117,MATCH(B972,Items!$A$2:$A$117,0))</f>
        <v/>
      </c>
      <c r="M972" s="49">
        <f>INDEX(Items!$E$2:$E$117,MATCH(B972,Items!$A$2:$A$117,0))</f>
        <v/>
      </c>
      <c r="N972" s="17">
        <f>TEXT(D972,"yyyy-mm")</f>
        <v/>
      </c>
      <c r="O972" s="50">
        <f>G972*J972</f>
        <v/>
      </c>
      <c r="P972" s="50">
        <f>(J972-M972)*G972</f>
        <v/>
      </c>
      <c r="Q972" s="51">
        <f>IF(K972="Received",1,0)</f>
        <v/>
      </c>
      <c r="R972" s="51">
        <f>IF(Q972=1,F972-D972,0)</f>
        <v/>
      </c>
      <c r="S972" s="51">
        <f>IF(Q972=1,IF(F972&lt;=E972,1,0),0)</f>
        <v/>
      </c>
      <c r="T972" s="51">
        <f>IF(Q972=1,IF(H972&gt;=G972,1,0),0)</f>
        <v/>
      </c>
      <c r="U972" s="51">
        <f>S972*T972</f>
        <v/>
      </c>
      <c r="V972" s="51">
        <f>IF(Q972=1,MAX(0,F972-E972),0)</f>
        <v/>
      </c>
    </row>
    <row r="973">
      <c r="A973" s="43" t="inlineStr">
        <is>
          <t>PO100603</t>
        </is>
      </c>
      <c r="B973" s="43" t="inlineStr">
        <is>
          <t>CMD-0027</t>
        </is>
      </c>
      <c r="C973" s="43" t="inlineStr">
        <is>
          <t>S04</t>
        </is>
      </c>
      <c r="D973" s="47" t="n">
        <v>45910</v>
      </c>
      <c r="E973" s="47" t="n">
        <v>45980</v>
      </c>
      <c r="F973" s="47" t="n">
        <v>45977</v>
      </c>
      <c r="G973" s="46" t="n">
        <v>8657</v>
      </c>
      <c r="H973" s="46" t="n">
        <v>8657</v>
      </c>
      <c r="I973" s="46" t="n">
        <v>94</v>
      </c>
      <c r="J973" s="44" t="n">
        <v>8.85</v>
      </c>
      <c r="K973" s="43" t="inlineStr">
        <is>
          <t>Received</t>
        </is>
      </c>
      <c r="L973" s="17">
        <f>INDEX(Items!$C$2:$C$117,MATCH(B973,Items!$A$2:$A$117,0))</f>
        <v/>
      </c>
      <c r="M973" s="49">
        <f>INDEX(Items!$E$2:$E$117,MATCH(B973,Items!$A$2:$A$117,0))</f>
        <v/>
      </c>
      <c r="N973" s="17">
        <f>TEXT(D973,"yyyy-mm")</f>
        <v/>
      </c>
      <c r="O973" s="50">
        <f>G973*J973</f>
        <v/>
      </c>
      <c r="P973" s="50">
        <f>(J973-M973)*G973</f>
        <v/>
      </c>
      <c r="Q973" s="51">
        <f>IF(K973="Received",1,0)</f>
        <v/>
      </c>
      <c r="R973" s="51">
        <f>IF(Q973=1,F973-D973,0)</f>
        <v/>
      </c>
      <c r="S973" s="51">
        <f>IF(Q973=1,IF(F973&lt;=E973,1,0),0)</f>
        <v/>
      </c>
      <c r="T973" s="51">
        <f>IF(Q973=1,IF(H973&gt;=G973,1,0),0)</f>
        <v/>
      </c>
      <c r="U973" s="51">
        <f>S973*T973</f>
        <v/>
      </c>
      <c r="V973" s="51">
        <f>IF(Q973=1,MAX(0,F973-E973),0)</f>
        <v/>
      </c>
    </row>
    <row r="974">
      <c r="A974" s="43" t="inlineStr">
        <is>
          <t>PO100555</t>
        </is>
      </c>
      <c r="B974" s="43" t="inlineStr">
        <is>
          <t>CMD-0025</t>
        </is>
      </c>
      <c r="C974" s="43" t="inlineStr">
        <is>
          <t>S02</t>
        </is>
      </c>
      <c r="D974" s="47" t="n">
        <v>45910</v>
      </c>
      <c r="E974" s="47" t="n">
        <v>45966</v>
      </c>
      <c r="F974" s="47" t="n">
        <v>45964</v>
      </c>
      <c r="G974" s="46" t="n">
        <v>1075</v>
      </c>
      <c r="H974" s="46" t="n">
        <v>1075</v>
      </c>
      <c r="I974" s="46" t="n">
        <v>3</v>
      </c>
      <c r="J974" s="44" t="n">
        <v>10.52</v>
      </c>
      <c r="K974" s="43" t="inlineStr">
        <is>
          <t>Received</t>
        </is>
      </c>
      <c r="L974" s="17">
        <f>INDEX(Items!$C$2:$C$117,MATCH(B974,Items!$A$2:$A$117,0))</f>
        <v/>
      </c>
      <c r="M974" s="49">
        <f>INDEX(Items!$E$2:$E$117,MATCH(B974,Items!$A$2:$A$117,0))</f>
        <v/>
      </c>
      <c r="N974" s="17">
        <f>TEXT(D974,"yyyy-mm")</f>
        <v/>
      </c>
      <c r="O974" s="50">
        <f>G974*J974</f>
        <v/>
      </c>
      <c r="P974" s="50">
        <f>(J974-M974)*G974</f>
        <v/>
      </c>
      <c r="Q974" s="51">
        <f>IF(K974="Received",1,0)</f>
        <v/>
      </c>
      <c r="R974" s="51">
        <f>IF(Q974=1,F974-D974,0)</f>
        <v/>
      </c>
      <c r="S974" s="51">
        <f>IF(Q974=1,IF(F974&lt;=E974,1,0),0)</f>
        <v/>
      </c>
      <c r="T974" s="51">
        <f>IF(Q974=1,IF(H974&gt;=G974,1,0),0)</f>
        <v/>
      </c>
      <c r="U974" s="51">
        <f>S974*T974</f>
        <v/>
      </c>
      <c r="V974" s="51">
        <f>IF(Q974=1,MAX(0,F974-E974),0)</f>
        <v/>
      </c>
    </row>
    <row r="975">
      <c r="A975" s="43" t="inlineStr">
        <is>
          <t>PO100993</t>
        </is>
      </c>
      <c r="B975" s="43" t="inlineStr">
        <is>
          <t>CMD-0045</t>
        </is>
      </c>
      <c r="C975" s="43" t="inlineStr">
        <is>
          <t>S05</t>
        </is>
      </c>
      <c r="D975" s="47" t="n">
        <v>45910</v>
      </c>
      <c r="E975" s="47" t="n">
        <v>46015</v>
      </c>
      <c r="F975" s="47" t="n">
        <v>46038</v>
      </c>
      <c r="G975" s="46" t="n">
        <v>3336</v>
      </c>
      <c r="H975" s="46" t="n">
        <v>3336</v>
      </c>
      <c r="I975" s="46" t="n">
        <v>66</v>
      </c>
      <c r="J975" s="44" t="n">
        <v>8.99</v>
      </c>
      <c r="K975" s="43" t="inlineStr">
        <is>
          <t>Received</t>
        </is>
      </c>
      <c r="L975" s="17">
        <f>INDEX(Items!$C$2:$C$117,MATCH(B975,Items!$A$2:$A$117,0))</f>
        <v/>
      </c>
      <c r="M975" s="49">
        <f>INDEX(Items!$E$2:$E$117,MATCH(B975,Items!$A$2:$A$117,0))</f>
        <v/>
      </c>
      <c r="N975" s="17">
        <f>TEXT(D975,"yyyy-mm")</f>
        <v/>
      </c>
      <c r="O975" s="50">
        <f>G975*J975</f>
        <v/>
      </c>
      <c r="P975" s="50">
        <f>(J975-M975)*G975</f>
        <v/>
      </c>
      <c r="Q975" s="51">
        <f>IF(K975="Received",1,0)</f>
        <v/>
      </c>
      <c r="R975" s="51">
        <f>IF(Q975=1,F975-D975,0)</f>
        <v/>
      </c>
      <c r="S975" s="51">
        <f>IF(Q975=1,IF(F975&lt;=E975,1,0),0)</f>
        <v/>
      </c>
      <c r="T975" s="51">
        <f>IF(Q975=1,IF(H975&gt;=G975,1,0),0)</f>
        <v/>
      </c>
      <c r="U975" s="51">
        <f>S975*T975</f>
        <v/>
      </c>
      <c r="V975" s="51">
        <f>IF(Q975=1,MAX(0,F975-E975),0)</f>
        <v/>
      </c>
    </row>
    <row r="976">
      <c r="A976" s="43" t="inlineStr">
        <is>
          <t>PO101443</t>
        </is>
      </c>
      <c r="B976" s="43" t="inlineStr">
        <is>
          <t>CMD-0077</t>
        </is>
      </c>
      <c r="C976" s="43" t="inlineStr">
        <is>
          <t>S01</t>
        </is>
      </c>
      <c r="D976" s="47" t="n">
        <v>45910</v>
      </c>
      <c r="E976" s="47" t="n">
        <v>45924</v>
      </c>
      <c r="F976" s="47" t="n">
        <v>45923</v>
      </c>
      <c r="G976" s="46" t="n">
        <v>4570</v>
      </c>
      <c r="H976" s="46" t="n">
        <v>4570</v>
      </c>
      <c r="I976" s="46" t="n">
        <v>3</v>
      </c>
      <c r="J976" s="44" t="n">
        <v>8.75</v>
      </c>
      <c r="K976" s="43" t="inlineStr">
        <is>
          <t>Received</t>
        </is>
      </c>
      <c r="L976" s="17">
        <f>INDEX(Items!$C$2:$C$117,MATCH(B976,Items!$A$2:$A$117,0))</f>
        <v/>
      </c>
      <c r="M976" s="49">
        <f>INDEX(Items!$E$2:$E$117,MATCH(B976,Items!$A$2:$A$117,0))</f>
        <v/>
      </c>
      <c r="N976" s="17">
        <f>TEXT(D976,"yyyy-mm")</f>
        <v/>
      </c>
      <c r="O976" s="50">
        <f>G976*J976</f>
        <v/>
      </c>
      <c r="P976" s="50">
        <f>(J976-M976)*G976</f>
        <v/>
      </c>
      <c r="Q976" s="51">
        <f>IF(K976="Received",1,0)</f>
        <v/>
      </c>
      <c r="R976" s="51">
        <f>IF(Q976=1,F976-D976,0)</f>
        <v/>
      </c>
      <c r="S976" s="51">
        <f>IF(Q976=1,IF(F976&lt;=E976,1,0),0)</f>
        <v/>
      </c>
      <c r="T976" s="51">
        <f>IF(Q976=1,IF(H976&gt;=G976,1,0),0)</f>
        <v/>
      </c>
      <c r="U976" s="51">
        <f>S976*T976</f>
        <v/>
      </c>
      <c r="V976" s="51">
        <f>IF(Q976=1,MAX(0,F976-E976),0)</f>
        <v/>
      </c>
    </row>
    <row r="977">
      <c r="A977" s="43" t="inlineStr">
        <is>
          <t>PO100399</t>
        </is>
      </c>
      <c r="B977" s="43" t="inlineStr">
        <is>
          <t>CMD-0018</t>
        </is>
      </c>
      <c r="C977" s="43" t="inlineStr">
        <is>
          <t>S02</t>
        </is>
      </c>
      <c r="D977" s="47" t="n">
        <v>45910</v>
      </c>
      <c r="E977" s="47" t="n">
        <v>45966</v>
      </c>
      <c r="F977" s="47" t="n">
        <v>45964</v>
      </c>
      <c r="G977" s="46" t="n">
        <v>5658</v>
      </c>
      <c r="H977" s="46" t="n">
        <v>5658</v>
      </c>
      <c r="I977" s="46" t="n">
        <v>21</v>
      </c>
      <c r="J977" s="44" t="n">
        <v>37.92</v>
      </c>
      <c r="K977" s="43" t="inlineStr">
        <is>
          <t>Received</t>
        </is>
      </c>
      <c r="L977" s="17">
        <f>INDEX(Items!$C$2:$C$117,MATCH(B977,Items!$A$2:$A$117,0))</f>
        <v/>
      </c>
      <c r="M977" s="49">
        <f>INDEX(Items!$E$2:$E$117,MATCH(B977,Items!$A$2:$A$117,0))</f>
        <v/>
      </c>
      <c r="N977" s="17">
        <f>TEXT(D977,"yyyy-mm")</f>
        <v/>
      </c>
      <c r="O977" s="50">
        <f>G977*J977</f>
        <v/>
      </c>
      <c r="P977" s="50">
        <f>(J977-M977)*G977</f>
        <v/>
      </c>
      <c r="Q977" s="51">
        <f>IF(K977="Received",1,0)</f>
        <v/>
      </c>
      <c r="R977" s="51">
        <f>IF(Q977=1,F977-D977,0)</f>
        <v/>
      </c>
      <c r="S977" s="51">
        <f>IF(Q977=1,IF(F977&lt;=E977,1,0),0)</f>
        <v/>
      </c>
      <c r="T977" s="51">
        <f>IF(Q977=1,IF(H977&gt;=G977,1,0),0)</f>
        <v/>
      </c>
      <c r="U977" s="51">
        <f>S977*T977</f>
        <v/>
      </c>
      <c r="V977" s="51">
        <f>IF(Q977=1,MAX(0,F977-E977),0)</f>
        <v/>
      </c>
    </row>
    <row r="978">
      <c r="A978" s="43" t="inlineStr">
        <is>
          <t>PO101831</t>
        </is>
      </c>
      <c r="B978" s="43" t="inlineStr">
        <is>
          <t>CMD-0100</t>
        </is>
      </c>
      <c r="C978" s="43" t="inlineStr">
        <is>
          <t>S09</t>
        </is>
      </c>
      <c r="D978" s="47" t="n">
        <v>45910</v>
      </c>
      <c r="E978" s="47" t="n">
        <v>45931</v>
      </c>
      <c r="F978" s="47" t="n">
        <v>45928</v>
      </c>
      <c r="G978" s="46" t="n">
        <v>7210</v>
      </c>
      <c r="H978" s="46" t="n">
        <v>7210</v>
      </c>
      <c r="I978" s="46" t="n">
        <v>23</v>
      </c>
      <c r="J978" s="44" t="n">
        <v>4.94</v>
      </c>
      <c r="K978" s="43" t="inlineStr">
        <is>
          <t>Received</t>
        </is>
      </c>
      <c r="L978" s="17">
        <f>INDEX(Items!$C$2:$C$117,MATCH(B978,Items!$A$2:$A$117,0))</f>
        <v/>
      </c>
      <c r="M978" s="49">
        <f>INDEX(Items!$E$2:$E$117,MATCH(B978,Items!$A$2:$A$117,0))</f>
        <v/>
      </c>
      <c r="N978" s="17">
        <f>TEXT(D978,"yyyy-mm")</f>
        <v/>
      </c>
      <c r="O978" s="50">
        <f>G978*J978</f>
        <v/>
      </c>
      <c r="P978" s="50">
        <f>(J978-M978)*G978</f>
        <v/>
      </c>
      <c r="Q978" s="51">
        <f>IF(K978="Received",1,0)</f>
        <v/>
      </c>
      <c r="R978" s="51">
        <f>IF(Q978=1,F978-D978,0)</f>
        <v/>
      </c>
      <c r="S978" s="51">
        <f>IF(Q978=1,IF(F978&lt;=E978,1,0),0)</f>
        <v/>
      </c>
      <c r="T978" s="51">
        <f>IF(Q978=1,IF(H978&gt;=G978,1,0),0)</f>
        <v/>
      </c>
      <c r="U978" s="51">
        <f>S978*T978</f>
        <v/>
      </c>
      <c r="V978" s="51">
        <f>IF(Q978=1,MAX(0,F978-E978),0)</f>
        <v/>
      </c>
    </row>
    <row r="979">
      <c r="A979" s="43" t="inlineStr">
        <is>
          <t>PO100203</t>
        </is>
      </c>
      <c r="B979" s="43" t="inlineStr">
        <is>
          <t>CMD-0009</t>
        </is>
      </c>
      <c r="C979" s="43" t="inlineStr">
        <is>
          <t>S11</t>
        </is>
      </c>
      <c r="D979" s="47" t="n">
        <v>45910</v>
      </c>
      <c r="E979" s="47" t="n">
        <v>46029</v>
      </c>
      <c r="F979" s="47" t="n">
        <v>46026</v>
      </c>
      <c r="G979" s="46" t="n">
        <v>7179</v>
      </c>
      <c r="H979" s="46" t="n">
        <v>7179</v>
      </c>
      <c r="I979" s="46" t="n">
        <v>18</v>
      </c>
      <c r="J979" s="44" t="n">
        <v>7.4222</v>
      </c>
      <c r="K979" s="43" t="inlineStr">
        <is>
          <t>Received</t>
        </is>
      </c>
      <c r="L979" s="17">
        <f>INDEX(Items!$C$2:$C$117,MATCH(B979,Items!$A$2:$A$117,0))</f>
        <v/>
      </c>
      <c r="M979" s="49">
        <f>INDEX(Items!$E$2:$E$117,MATCH(B979,Items!$A$2:$A$117,0))</f>
        <v/>
      </c>
      <c r="N979" s="17">
        <f>TEXT(D979,"yyyy-mm")</f>
        <v/>
      </c>
      <c r="O979" s="50">
        <f>G979*J979</f>
        <v/>
      </c>
      <c r="P979" s="50">
        <f>(J979-M979)*G979</f>
        <v/>
      </c>
      <c r="Q979" s="51">
        <f>IF(K979="Received",1,0)</f>
        <v/>
      </c>
      <c r="R979" s="51">
        <f>IF(Q979=1,F979-D979,0)</f>
        <v/>
      </c>
      <c r="S979" s="51">
        <f>IF(Q979=1,IF(F979&lt;=E979,1,0),0)</f>
        <v/>
      </c>
      <c r="T979" s="51">
        <f>IF(Q979=1,IF(H979&gt;=G979,1,0),0)</f>
        <v/>
      </c>
      <c r="U979" s="51">
        <f>S979*T979</f>
        <v/>
      </c>
      <c r="V979" s="51">
        <f>IF(Q979=1,MAX(0,F979-E979),0)</f>
        <v/>
      </c>
    </row>
    <row r="980">
      <c r="A980" s="43" t="inlineStr">
        <is>
          <t>PO100627</t>
        </is>
      </c>
      <c r="B980" s="43" t="inlineStr">
        <is>
          <t>CMD-0028</t>
        </is>
      </c>
      <c r="C980" s="43" t="inlineStr">
        <is>
          <t>S11</t>
        </is>
      </c>
      <c r="D980" s="47" t="n">
        <v>45910</v>
      </c>
      <c r="E980" s="47" t="n">
        <v>45987</v>
      </c>
      <c r="F980" s="47" t="n">
        <v>46005</v>
      </c>
      <c r="G980" s="46" t="n">
        <v>3198</v>
      </c>
      <c r="H980" s="46" t="n">
        <v>3198</v>
      </c>
      <c r="I980" s="46" t="n">
        <v>11</v>
      </c>
      <c r="J980" s="44" t="n">
        <v>15.84</v>
      </c>
      <c r="K980" s="43" t="inlineStr">
        <is>
          <t>Received</t>
        </is>
      </c>
      <c r="L980" s="17">
        <f>INDEX(Items!$C$2:$C$117,MATCH(B980,Items!$A$2:$A$117,0))</f>
        <v/>
      </c>
      <c r="M980" s="49">
        <f>INDEX(Items!$E$2:$E$117,MATCH(B980,Items!$A$2:$A$117,0))</f>
        <v/>
      </c>
      <c r="N980" s="17">
        <f>TEXT(D980,"yyyy-mm")</f>
        <v/>
      </c>
      <c r="O980" s="50">
        <f>G980*J980</f>
        <v/>
      </c>
      <c r="P980" s="50">
        <f>(J980-M980)*G980</f>
        <v/>
      </c>
      <c r="Q980" s="51">
        <f>IF(K980="Received",1,0)</f>
        <v/>
      </c>
      <c r="R980" s="51">
        <f>IF(Q980=1,F980-D980,0)</f>
        <v/>
      </c>
      <c r="S980" s="51">
        <f>IF(Q980=1,IF(F980&lt;=E980,1,0),0)</f>
        <v/>
      </c>
      <c r="T980" s="51">
        <f>IF(Q980=1,IF(H980&gt;=G980,1,0),0)</f>
        <v/>
      </c>
      <c r="U980" s="51">
        <f>S980*T980</f>
        <v/>
      </c>
      <c r="V980" s="51">
        <f>IF(Q980=1,MAX(0,F980-E980),0)</f>
        <v/>
      </c>
    </row>
    <row r="981">
      <c r="A981" s="43" t="inlineStr">
        <is>
          <t>PO100227</t>
        </is>
      </c>
      <c r="B981" s="43" t="inlineStr">
        <is>
          <t>CMD-0010</t>
        </is>
      </c>
      <c r="C981" s="43" t="inlineStr">
        <is>
          <t>S03</t>
        </is>
      </c>
      <c r="D981" s="47" t="n">
        <v>45910</v>
      </c>
      <c r="E981" s="47" t="n">
        <v>46043</v>
      </c>
      <c r="F981" s="47" t="n">
        <v>46041</v>
      </c>
      <c r="G981" s="46" t="n">
        <v>4499</v>
      </c>
      <c r="H981" s="46" t="n">
        <v>4499</v>
      </c>
      <c r="I981" s="46" t="n">
        <v>28</v>
      </c>
      <c r="J981" s="44" t="n">
        <v>5.4634</v>
      </c>
      <c r="K981" s="43" t="inlineStr">
        <is>
          <t>Received</t>
        </is>
      </c>
      <c r="L981" s="17">
        <f>INDEX(Items!$C$2:$C$117,MATCH(B981,Items!$A$2:$A$117,0))</f>
        <v/>
      </c>
      <c r="M981" s="49">
        <f>INDEX(Items!$E$2:$E$117,MATCH(B981,Items!$A$2:$A$117,0))</f>
        <v/>
      </c>
      <c r="N981" s="17">
        <f>TEXT(D981,"yyyy-mm")</f>
        <v/>
      </c>
      <c r="O981" s="50">
        <f>G981*J981</f>
        <v/>
      </c>
      <c r="P981" s="50">
        <f>(J981-M981)*G981</f>
        <v/>
      </c>
      <c r="Q981" s="51">
        <f>IF(K981="Received",1,0)</f>
        <v/>
      </c>
      <c r="R981" s="51">
        <f>IF(Q981=1,F981-D981,0)</f>
        <v/>
      </c>
      <c r="S981" s="51">
        <f>IF(Q981=1,IF(F981&lt;=E981,1,0),0)</f>
        <v/>
      </c>
      <c r="T981" s="51">
        <f>IF(Q981=1,IF(H981&gt;=G981,1,0),0)</f>
        <v/>
      </c>
      <c r="U981" s="51">
        <f>S981*T981</f>
        <v/>
      </c>
      <c r="V981" s="51">
        <f>IF(Q981=1,MAX(0,F981-E981),0)</f>
        <v/>
      </c>
    </row>
    <row r="982">
      <c r="A982" s="43" t="inlineStr">
        <is>
          <t>PO101017</t>
        </is>
      </c>
      <c r="B982" s="43" t="inlineStr">
        <is>
          <t>CMD-0046</t>
        </is>
      </c>
      <c r="C982" s="43" t="inlineStr">
        <is>
          <t>S05</t>
        </is>
      </c>
      <c r="D982" s="47" t="n">
        <v>45910</v>
      </c>
      <c r="E982" s="47" t="n">
        <v>46015</v>
      </c>
      <c r="F982" s="47" t="n">
        <v>46028</v>
      </c>
      <c r="G982" s="46" t="n">
        <v>9162</v>
      </c>
      <c r="H982" s="46" t="n">
        <v>9162</v>
      </c>
      <c r="I982" s="46" t="n">
        <v>137</v>
      </c>
      <c r="J982" s="44" t="n">
        <v>10.57</v>
      </c>
      <c r="K982" s="43" t="inlineStr">
        <is>
          <t>Received</t>
        </is>
      </c>
      <c r="L982" s="17">
        <f>INDEX(Items!$C$2:$C$117,MATCH(B982,Items!$A$2:$A$117,0))</f>
        <v/>
      </c>
      <c r="M982" s="49">
        <f>INDEX(Items!$E$2:$E$117,MATCH(B982,Items!$A$2:$A$117,0))</f>
        <v/>
      </c>
      <c r="N982" s="17">
        <f>TEXT(D982,"yyyy-mm")</f>
        <v/>
      </c>
      <c r="O982" s="50">
        <f>G982*J982</f>
        <v/>
      </c>
      <c r="P982" s="50">
        <f>(J982-M982)*G982</f>
        <v/>
      </c>
      <c r="Q982" s="51">
        <f>IF(K982="Received",1,0)</f>
        <v/>
      </c>
      <c r="R982" s="51">
        <f>IF(Q982=1,F982-D982,0)</f>
        <v/>
      </c>
      <c r="S982" s="51">
        <f>IF(Q982=1,IF(F982&lt;=E982,1,0),0)</f>
        <v/>
      </c>
      <c r="T982" s="51">
        <f>IF(Q982=1,IF(H982&gt;=G982,1,0),0)</f>
        <v/>
      </c>
      <c r="U982" s="51">
        <f>S982*T982</f>
        <v/>
      </c>
      <c r="V982" s="51">
        <f>IF(Q982=1,MAX(0,F982-E982),0)</f>
        <v/>
      </c>
    </row>
    <row r="983">
      <c r="A983" s="43" t="inlineStr">
        <is>
          <t>PO100675</t>
        </is>
      </c>
      <c r="B983" s="43" t="inlineStr">
        <is>
          <t>CMD-0030</t>
        </is>
      </c>
      <c r="C983" s="43" t="inlineStr">
        <is>
          <t>S11</t>
        </is>
      </c>
      <c r="D983" s="47" t="n">
        <v>45910</v>
      </c>
      <c r="E983" s="47" t="n">
        <v>45987</v>
      </c>
      <c r="F983" s="47" t="n">
        <v>45987</v>
      </c>
      <c r="G983" s="46" t="n">
        <v>6439</v>
      </c>
      <c r="H983" s="46" t="n">
        <v>6439</v>
      </c>
      <c r="I983" s="46" t="n">
        <v>15</v>
      </c>
      <c r="J983" s="44" t="n">
        <v>23.19</v>
      </c>
      <c r="K983" s="43" t="inlineStr">
        <is>
          <t>Received</t>
        </is>
      </c>
      <c r="L983" s="17">
        <f>INDEX(Items!$C$2:$C$117,MATCH(B983,Items!$A$2:$A$117,0))</f>
        <v/>
      </c>
      <c r="M983" s="49">
        <f>INDEX(Items!$E$2:$E$117,MATCH(B983,Items!$A$2:$A$117,0))</f>
        <v/>
      </c>
      <c r="N983" s="17">
        <f>TEXT(D983,"yyyy-mm")</f>
        <v/>
      </c>
      <c r="O983" s="50">
        <f>G983*J983</f>
        <v/>
      </c>
      <c r="P983" s="50">
        <f>(J983-M983)*G983</f>
        <v/>
      </c>
      <c r="Q983" s="51">
        <f>IF(K983="Received",1,0)</f>
        <v/>
      </c>
      <c r="R983" s="51">
        <f>IF(Q983=1,F983-D983,0)</f>
        <v/>
      </c>
      <c r="S983" s="51">
        <f>IF(Q983=1,IF(F983&lt;=E983,1,0),0)</f>
        <v/>
      </c>
      <c r="T983" s="51">
        <f>IF(Q983=1,IF(H983&gt;=G983,1,0),0)</f>
        <v/>
      </c>
      <c r="U983" s="51">
        <f>S983*T983</f>
        <v/>
      </c>
      <c r="V983" s="51">
        <f>IF(Q983=1,MAX(0,F983-E983),0)</f>
        <v/>
      </c>
    </row>
    <row r="984">
      <c r="A984" s="43" t="inlineStr">
        <is>
          <t>PO100179</t>
        </is>
      </c>
      <c r="B984" s="43" t="inlineStr">
        <is>
          <t>CMD-0008</t>
        </is>
      </c>
      <c r="C984" s="43" t="inlineStr">
        <is>
          <t>S03</t>
        </is>
      </c>
      <c r="D984" s="47" t="n">
        <v>45910</v>
      </c>
      <c r="E984" s="47" t="n">
        <v>46043</v>
      </c>
      <c r="F984" s="47" t="n">
        <v>46043</v>
      </c>
      <c r="G984" s="46" t="n">
        <v>1264</v>
      </c>
      <c r="H984" s="46" t="n">
        <v>1264</v>
      </c>
      <c r="I984" s="46" t="n">
        <v>4</v>
      </c>
      <c r="J984" s="44" t="n">
        <v>27.9188</v>
      </c>
      <c r="K984" s="43" t="inlineStr">
        <is>
          <t>Received</t>
        </is>
      </c>
      <c r="L984" s="17">
        <f>INDEX(Items!$C$2:$C$117,MATCH(B984,Items!$A$2:$A$117,0))</f>
        <v/>
      </c>
      <c r="M984" s="49">
        <f>INDEX(Items!$E$2:$E$117,MATCH(B984,Items!$A$2:$A$117,0))</f>
        <v/>
      </c>
      <c r="N984" s="17">
        <f>TEXT(D984,"yyyy-mm")</f>
        <v/>
      </c>
      <c r="O984" s="50">
        <f>G984*J984</f>
        <v/>
      </c>
      <c r="P984" s="50">
        <f>(J984-M984)*G984</f>
        <v/>
      </c>
      <c r="Q984" s="51">
        <f>IF(K984="Received",1,0)</f>
        <v/>
      </c>
      <c r="R984" s="51">
        <f>IF(Q984=1,F984-D984,0)</f>
        <v/>
      </c>
      <c r="S984" s="51">
        <f>IF(Q984=1,IF(F984&lt;=E984,1,0),0)</f>
        <v/>
      </c>
      <c r="T984" s="51">
        <f>IF(Q984=1,IF(H984&gt;=G984,1,0),0)</f>
        <v/>
      </c>
      <c r="U984" s="51">
        <f>S984*T984</f>
        <v/>
      </c>
      <c r="V984" s="51">
        <f>IF(Q984=1,MAX(0,F984-E984),0)</f>
        <v/>
      </c>
    </row>
    <row r="985">
      <c r="A985" s="43" t="inlineStr">
        <is>
          <t>PO100877</t>
        </is>
      </c>
      <c r="B985" s="43" t="inlineStr">
        <is>
          <t>CMD-0039</t>
        </is>
      </c>
      <c r="C985" s="43" t="inlineStr">
        <is>
          <t>S07</t>
        </is>
      </c>
      <c r="D985" s="47" t="n">
        <v>45911</v>
      </c>
      <c r="E985" s="47" t="n">
        <v>45953</v>
      </c>
      <c r="F985" s="47" t="n">
        <v>45964</v>
      </c>
      <c r="G985" s="46" t="n">
        <v>314</v>
      </c>
      <c r="H985" s="46" t="n">
        <v>314</v>
      </c>
      <c r="I985" s="46" t="n">
        <v>2</v>
      </c>
      <c r="J985" s="44" t="n">
        <v>51.99</v>
      </c>
      <c r="K985" s="43" t="inlineStr">
        <is>
          <t>Received</t>
        </is>
      </c>
      <c r="L985" s="17">
        <f>INDEX(Items!$C$2:$C$117,MATCH(B985,Items!$A$2:$A$117,0))</f>
        <v/>
      </c>
      <c r="M985" s="49">
        <f>INDEX(Items!$E$2:$E$117,MATCH(B985,Items!$A$2:$A$117,0))</f>
        <v/>
      </c>
      <c r="N985" s="17">
        <f>TEXT(D985,"yyyy-mm")</f>
        <v/>
      </c>
      <c r="O985" s="50">
        <f>G985*J985</f>
        <v/>
      </c>
      <c r="P985" s="50">
        <f>(J985-M985)*G985</f>
        <v/>
      </c>
      <c r="Q985" s="51">
        <f>IF(K985="Received",1,0)</f>
        <v/>
      </c>
      <c r="R985" s="51">
        <f>IF(Q985=1,F985-D985,0)</f>
        <v/>
      </c>
      <c r="S985" s="51">
        <f>IF(Q985=1,IF(F985&lt;=E985,1,0),0)</f>
        <v/>
      </c>
      <c r="T985" s="51">
        <f>IF(Q985=1,IF(H985&gt;=G985,1,0),0)</f>
        <v/>
      </c>
      <c r="U985" s="51">
        <f>S985*T985</f>
        <v/>
      </c>
      <c r="V985" s="51">
        <f>IF(Q985=1,MAX(0,F985-E985),0)</f>
        <v/>
      </c>
    </row>
    <row r="986">
      <c r="A986" s="43" t="inlineStr">
        <is>
          <t>PO101677</t>
        </is>
      </c>
      <c r="B986" s="43" t="inlineStr">
        <is>
          <t>CMD-0092</t>
        </is>
      </c>
      <c r="C986" s="43" t="inlineStr">
        <is>
          <t>S08</t>
        </is>
      </c>
      <c r="D986" s="47" t="n">
        <v>45911</v>
      </c>
      <c r="E986" s="47" t="n">
        <v>45988</v>
      </c>
      <c r="F986" s="47" t="n">
        <v>45988</v>
      </c>
      <c r="G986" s="46" t="n">
        <v>308</v>
      </c>
      <c r="H986" s="46" t="n">
        <v>308</v>
      </c>
      <c r="I986" s="46" t="n">
        <v>5</v>
      </c>
      <c r="J986" s="44" t="n">
        <v>29.47</v>
      </c>
      <c r="K986" s="43" t="inlineStr">
        <is>
          <t>Received</t>
        </is>
      </c>
      <c r="L986" s="17">
        <f>INDEX(Items!$C$2:$C$117,MATCH(B986,Items!$A$2:$A$117,0))</f>
        <v/>
      </c>
      <c r="M986" s="49">
        <f>INDEX(Items!$E$2:$E$117,MATCH(B986,Items!$A$2:$A$117,0))</f>
        <v/>
      </c>
      <c r="N986" s="17">
        <f>TEXT(D986,"yyyy-mm")</f>
        <v/>
      </c>
      <c r="O986" s="50">
        <f>G986*J986</f>
        <v/>
      </c>
      <c r="P986" s="50">
        <f>(J986-M986)*G986</f>
        <v/>
      </c>
      <c r="Q986" s="51">
        <f>IF(K986="Received",1,0)</f>
        <v/>
      </c>
      <c r="R986" s="51">
        <f>IF(Q986=1,F986-D986,0)</f>
        <v/>
      </c>
      <c r="S986" s="51">
        <f>IF(Q986=1,IF(F986&lt;=E986,1,0),0)</f>
        <v/>
      </c>
      <c r="T986" s="51">
        <f>IF(Q986=1,IF(H986&gt;=G986,1,0),0)</f>
        <v/>
      </c>
      <c r="U986" s="51">
        <f>S986*T986</f>
        <v/>
      </c>
      <c r="V986" s="51">
        <f>IF(Q986=1,MAX(0,F986-E986),0)</f>
        <v/>
      </c>
    </row>
    <row r="987">
      <c r="A987" s="43" t="inlineStr">
        <is>
          <t>PO101193</t>
        </is>
      </c>
      <c r="B987" s="43" t="inlineStr">
        <is>
          <t>CMD-0055</t>
        </is>
      </c>
      <c r="C987" s="43" t="inlineStr">
        <is>
          <t>S04</t>
        </is>
      </c>
      <c r="D987" s="47" t="n">
        <v>45911</v>
      </c>
      <c r="E987" s="47" t="n">
        <v>45946</v>
      </c>
      <c r="F987" s="47" t="n">
        <v>45974</v>
      </c>
      <c r="G987" s="46" t="n">
        <v>110240</v>
      </c>
      <c r="H987" s="46" t="n">
        <v>110240</v>
      </c>
      <c r="I987" s="46" t="n">
        <v>1100</v>
      </c>
      <c r="J987" s="44" t="n">
        <v>0.09379999999999999</v>
      </c>
      <c r="K987" s="43" t="inlineStr">
        <is>
          <t>Received</t>
        </is>
      </c>
      <c r="L987" s="17">
        <f>INDEX(Items!$C$2:$C$117,MATCH(B987,Items!$A$2:$A$117,0))</f>
        <v/>
      </c>
      <c r="M987" s="49">
        <f>INDEX(Items!$E$2:$E$117,MATCH(B987,Items!$A$2:$A$117,0))</f>
        <v/>
      </c>
      <c r="N987" s="17">
        <f>TEXT(D987,"yyyy-mm")</f>
        <v/>
      </c>
      <c r="O987" s="50">
        <f>G987*J987</f>
        <v/>
      </c>
      <c r="P987" s="50">
        <f>(J987-M987)*G987</f>
        <v/>
      </c>
      <c r="Q987" s="51">
        <f>IF(K987="Received",1,0)</f>
        <v/>
      </c>
      <c r="R987" s="51">
        <f>IF(Q987=1,F987-D987,0)</f>
        <v/>
      </c>
      <c r="S987" s="51">
        <f>IF(Q987=1,IF(F987&lt;=E987,1,0),0)</f>
        <v/>
      </c>
      <c r="T987" s="51">
        <f>IF(Q987=1,IF(H987&gt;=G987,1,0),0)</f>
        <v/>
      </c>
      <c r="U987" s="51">
        <f>S987*T987</f>
        <v/>
      </c>
      <c r="V987" s="51">
        <f>IF(Q987=1,MAX(0,F987-E987),0)</f>
        <v/>
      </c>
    </row>
    <row r="988">
      <c r="A988" s="43" t="inlineStr">
        <is>
          <t>PO100351</t>
        </is>
      </c>
      <c r="B988" s="43" t="inlineStr">
        <is>
          <t>CMD-0016</t>
        </is>
      </c>
      <c r="C988" s="43" t="inlineStr">
        <is>
          <t>S07</t>
        </is>
      </c>
      <c r="D988" s="47" t="n">
        <v>45911</v>
      </c>
      <c r="E988" s="47" t="n">
        <v>46002</v>
      </c>
      <c r="F988" s="47" t="n">
        <v>45999</v>
      </c>
      <c r="G988" s="46" t="n">
        <v>8408</v>
      </c>
      <c r="H988" s="46" t="n">
        <v>8408</v>
      </c>
      <c r="I988" s="46" t="n">
        <v>54</v>
      </c>
      <c r="J988" s="44" t="n">
        <v>31.8836</v>
      </c>
      <c r="K988" s="43" t="inlineStr">
        <is>
          <t>Received</t>
        </is>
      </c>
      <c r="L988" s="17">
        <f>INDEX(Items!$C$2:$C$117,MATCH(B988,Items!$A$2:$A$117,0))</f>
        <v/>
      </c>
      <c r="M988" s="49">
        <f>INDEX(Items!$E$2:$E$117,MATCH(B988,Items!$A$2:$A$117,0))</f>
        <v/>
      </c>
      <c r="N988" s="17">
        <f>TEXT(D988,"yyyy-mm")</f>
        <v/>
      </c>
      <c r="O988" s="50">
        <f>G988*J988</f>
        <v/>
      </c>
      <c r="P988" s="50">
        <f>(J988-M988)*G988</f>
        <v/>
      </c>
      <c r="Q988" s="51">
        <f>IF(K988="Received",1,0)</f>
        <v/>
      </c>
      <c r="R988" s="51">
        <f>IF(Q988=1,F988-D988,0)</f>
        <v/>
      </c>
      <c r="S988" s="51">
        <f>IF(Q988=1,IF(F988&lt;=E988,1,0),0)</f>
        <v/>
      </c>
      <c r="T988" s="51">
        <f>IF(Q988=1,IF(H988&gt;=G988,1,0),0)</f>
        <v/>
      </c>
      <c r="U988" s="51">
        <f>S988*T988</f>
        <v/>
      </c>
      <c r="V988" s="51">
        <f>IF(Q988=1,MAX(0,F988-E988),0)</f>
        <v/>
      </c>
    </row>
    <row r="989">
      <c r="A989" s="43" t="inlineStr">
        <is>
          <t>PO101040</t>
        </is>
      </c>
      <c r="B989" s="43" t="inlineStr">
        <is>
          <t>CMD-0047</t>
        </is>
      </c>
      <c r="C989" s="43" t="inlineStr">
        <is>
          <t>S04</t>
        </is>
      </c>
      <c r="D989" s="47" t="n">
        <v>45911</v>
      </c>
      <c r="E989" s="47" t="n">
        <v>45946</v>
      </c>
      <c r="F989" s="47" t="n">
        <v>45954</v>
      </c>
      <c r="G989" s="46" t="n">
        <v>18826</v>
      </c>
      <c r="H989" s="46" t="n">
        <v>14436</v>
      </c>
      <c r="I989" s="46" t="n">
        <v>150</v>
      </c>
      <c r="J989" s="44" t="n">
        <v>0.296</v>
      </c>
      <c r="K989" s="43" t="inlineStr">
        <is>
          <t>Received</t>
        </is>
      </c>
      <c r="L989" s="17">
        <f>INDEX(Items!$C$2:$C$117,MATCH(B989,Items!$A$2:$A$117,0))</f>
        <v/>
      </c>
      <c r="M989" s="49">
        <f>INDEX(Items!$E$2:$E$117,MATCH(B989,Items!$A$2:$A$117,0))</f>
        <v/>
      </c>
      <c r="N989" s="17">
        <f>TEXT(D989,"yyyy-mm")</f>
        <v/>
      </c>
      <c r="O989" s="50">
        <f>G989*J989</f>
        <v/>
      </c>
      <c r="P989" s="50">
        <f>(J989-M989)*G989</f>
        <v/>
      </c>
      <c r="Q989" s="51">
        <f>IF(K989="Received",1,0)</f>
        <v/>
      </c>
      <c r="R989" s="51">
        <f>IF(Q989=1,F989-D989,0)</f>
        <v/>
      </c>
      <c r="S989" s="51">
        <f>IF(Q989=1,IF(F989&lt;=E989,1,0),0)</f>
        <v/>
      </c>
      <c r="T989" s="51">
        <f>IF(Q989=1,IF(H989&gt;=G989,1,0),0)</f>
        <v/>
      </c>
      <c r="U989" s="51">
        <f>S989*T989</f>
        <v/>
      </c>
      <c r="V989" s="51">
        <f>IF(Q989=1,MAX(0,F989-E989),0)</f>
        <v/>
      </c>
    </row>
    <row r="990">
      <c r="A990" s="43" t="inlineStr">
        <is>
          <t>PO101879</t>
        </is>
      </c>
      <c r="B990" s="43" t="inlineStr">
        <is>
          <t>CMD-0102</t>
        </is>
      </c>
      <c r="C990" s="43" t="inlineStr">
        <is>
          <t>S09</t>
        </is>
      </c>
      <c r="D990" s="47" t="n">
        <v>45911</v>
      </c>
      <c r="E990" s="47" t="n">
        <v>45932</v>
      </c>
      <c r="F990" s="47" t="n">
        <v>45931</v>
      </c>
      <c r="G990" s="46" t="n">
        <v>2148</v>
      </c>
      <c r="H990" s="46" t="n">
        <v>2148</v>
      </c>
      <c r="I990" s="46" t="n">
        <v>3</v>
      </c>
      <c r="J990" s="44" t="n">
        <v>6.71</v>
      </c>
      <c r="K990" s="43" t="inlineStr">
        <is>
          <t>Received</t>
        </is>
      </c>
      <c r="L990" s="17">
        <f>INDEX(Items!$C$2:$C$117,MATCH(B990,Items!$A$2:$A$117,0))</f>
        <v/>
      </c>
      <c r="M990" s="49">
        <f>INDEX(Items!$E$2:$E$117,MATCH(B990,Items!$A$2:$A$117,0))</f>
        <v/>
      </c>
      <c r="N990" s="17">
        <f>TEXT(D990,"yyyy-mm")</f>
        <v/>
      </c>
      <c r="O990" s="50">
        <f>G990*J990</f>
        <v/>
      </c>
      <c r="P990" s="50">
        <f>(J990-M990)*G990</f>
        <v/>
      </c>
      <c r="Q990" s="51">
        <f>IF(K990="Received",1,0)</f>
        <v/>
      </c>
      <c r="R990" s="51">
        <f>IF(Q990=1,F990-D990,0)</f>
        <v/>
      </c>
      <c r="S990" s="51">
        <f>IF(Q990=1,IF(F990&lt;=E990,1,0),0)</f>
        <v/>
      </c>
      <c r="T990" s="51">
        <f>IF(Q990=1,IF(H990&gt;=G990,1,0),0)</f>
        <v/>
      </c>
      <c r="U990" s="51">
        <f>S990*T990</f>
        <v/>
      </c>
      <c r="V990" s="51">
        <f>IF(Q990=1,MAX(0,F990-E990),0)</f>
        <v/>
      </c>
    </row>
    <row r="991">
      <c r="A991" s="43" t="inlineStr">
        <is>
          <t>PO100441</t>
        </is>
      </c>
      <c r="B991" s="43" t="inlineStr">
        <is>
          <t>CMD-0020</t>
        </is>
      </c>
      <c r="C991" s="43" t="inlineStr">
        <is>
          <t>S04</t>
        </is>
      </c>
      <c r="D991" s="47" t="n">
        <v>45912</v>
      </c>
      <c r="E991" s="47" t="n">
        <v>45982</v>
      </c>
      <c r="F991" s="47" t="n">
        <v>46000</v>
      </c>
      <c r="G991" s="46" t="n">
        <v>3197</v>
      </c>
      <c r="H991" s="46" t="n">
        <v>3197</v>
      </c>
      <c r="I991" s="46" t="n">
        <v>27</v>
      </c>
      <c r="J991" s="44" t="n">
        <v>5.03</v>
      </c>
      <c r="K991" s="43" t="inlineStr">
        <is>
          <t>Received</t>
        </is>
      </c>
      <c r="L991" s="17">
        <f>INDEX(Items!$C$2:$C$117,MATCH(B991,Items!$A$2:$A$117,0))</f>
        <v/>
      </c>
      <c r="M991" s="49">
        <f>INDEX(Items!$E$2:$E$117,MATCH(B991,Items!$A$2:$A$117,0))</f>
        <v/>
      </c>
      <c r="N991" s="17">
        <f>TEXT(D991,"yyyy-mm")</f>
        <v/>
      </c>
      <c r="O991" s="50">
        <f>G991*J991</f>
        <v/>
      </c>
      <c r="P991" s="50">
        <f>(J991-M991)*G991</f>
        <v/>
      </c>
      <c r="Q991" s="51">
        <f>IF(K991="Received",1,0)</f>
        <v/>
      </c>
      <c r="R991" s="51">
        <f>IF(Q991=1,F991-D991,0)</f>
        <v/>
      </c>
      <c r="S991" s="51">
        <f>IF(Q991=1,IF(F991&lt;=E991,1,0),0)</f>
        <v/>
      </c>
      <c r="T991" s="51">
        <f>IF(Q991=1,IF(H991&gt;=G991,1,0),0)</f>
        <v/>
      </c>
      <c r="U991" s="51">
        <f>S991*T991</f>
        <v/>
      </c>
      <c r="V991" s="51">
        <f>IF(Q991=1,MAX(0,F991-E991),0)</f>
        <v/>
      </c>
    </row>
    <row r="992">
      <c r="A992" s="43" t="inlineStr">
        <is>
          <t>PO100303</t>
        </is>
      </c>
      <c r="B992" s="43" t="inlineStr">
        <is>
          <t>CMD-0014</t>
        </is>
      </c>
      <c r="C992" s="43" t="inlineStr">
        <is>
          <t>S03</t>
        </is>
      </c>
      <c r="D992" s="47" t="n">
        <v>45912</v>
      </c>
      <c r="E992" s="47" t="n">
        <v>46045</v>
      </c>
      <c r="F992" s="47" t="n">
        <v>46070</v>
      </c>
      <c r="G992" s="46" t="n">
        <v>4379</v>
      </c>
      <c r="H992" s="46" t="n">
        <v>4379</v>
      </c>
      <c r="I992" s="46" t="n">
        <v>16</v>
      </c>
      <c r="J992" s="44" t="n">
        <v>14.8916</v>
      </c>
      <c r="K992" s="43" t="inlineStr">
        <is>
          <t>Received</t>
        </is>
      </c>
      <c r="L992" s="17">
        <f>INDEX(Items!$C$2:$C$117,MATCH(B992,Items!$A$2:$A$117,0))</f>
        <v/>
      </c>
      <c r="M992" s="49">
        <f>INDEX(Items!$E$2:$E$117,MATCH(B992,Items!$A$2:$A$117,0))</f>
        <v/>
      </c>
      <c r="N992" s="17">
        <f>TEXT(D992,"yyyy-mm")</f>
        <v/>
      </c>
      <c r="O992" s="50">
        <f>G992*J992</f>
        <v/>
      </c>
      <c r="P992" s="50">
        <f>(J992-M992)*G992</f>
        <v/>
      </c>
      <c r="Q992" s="51">
        <f>IF(K992="Received",1,0)</f>
        <v/>
      </c>
      <c r="R992" s="51">
        <f>IF(Q992=1,F992-D992,0)</f>
        <v/>
      </c>
      <c r="S992" s="51">
        <f>IF(Q992=1,IF(F992&lt;=E992,1,0),0)</f>
        <v/>
      </c>
      <c r="T992" s="51">
        <f>IF(Q992=1,IF(H992&gt;=G992,1,0),0)</f>
        <v/>
      </c>
      <c r="U992" s="51">
        <f>S992*T992</f>
        <v/>
      </c>
      <c r="V992" s="51">
        <f>IF(Q992=1,MAX(0,F992-E992),0)</f>
        <v/>
      </c>
    </row>
    <row r="993">
      <c r="A993" s="43" t="inlineStr">
        <is>
          <t>PO101971</t>
        </is>
      </c>
      <c r="B993" s="43" t="inlineStr">
        <is>
          <t>CMD-0109</t>
        </is>
      </c>
      <c r="C993" s="43" t="inlineStr">
        <is>
          <t>S12</t>
        </is>
      </c>
      <c r="D993" s="47" t="n">
        <v>45912</v>
      </c>
      <c r="E993" s="47" t="n">
        <v>45919</v>
      </c>
      <c r="F993" s="47" t="n">
        <v>45916</v>
      </c>
      <c r="G993" s="46" t="n">
        <v>5152</v>
      </c>
      <c r="H993" s="46" t="n">
        <v>5152</v>
      </c>
      <c r="I993" s="46" t="n">
        <v>11</v>
      </c>
      <c r="J993" s="44" t="n">
        <v>1.7</v>
      </c>
      <c r="K993" s="43" t="inlineStr">
        <is>
          <t>Received</t>
        </is>
      </c>
      <c r="L993" s="17">
        <f>INDEX(Items!$C$2:$C$117,MATCH(B993,Items!$A$2:$A$117,0))</f>
        <v/>
      </c>
      <c r="M993" s="49">
        <f>INDEX(Items!$E$2:$E$117,MATCH(B993,Items!$A$2:$A$117,0))</f>
        <v/>
      </c>
      <c r="N993" s="17">
        <f>TEXT(D993,"yyyy-mm")</f>
        <v/>
      </c>
      <c r="O993" s="50">
        <f>G993*J993</f>
        <v/>
      </c>
      <c r="P993" s="50">
        <f>(J993-M993)*G993</f>
        <v/>
      </c>
      <c r="Q993" s="51">
        <f>IF(K993="Received",1,0)</f>
        <v/>
      </c>
      <c r="R993" s="51">
        <f>IF(Q993=1,F993-D993,0)</f>
        <v/>
      </c>
      <c r="S993" s="51">
        <f>IF(Q993=1,IF(F993&lt;=E993,1,0),0)</f>
        <v/>
      </c>
      <c r="T993" s="51">
        <f>IF(Q993=1,IF(H993&gt;=G993,1,0),0)</f>
        <v/>
      </c>
      <c r="U993" s="51">
        <f>S993*T993</f>
        <v/>
      </c>
      <c r="V993" s="51">
        <f>IF(Q993=1,MAX(0,F993-E993),0)</f>
        <v/>
      </c>
    </row>
    <row r="994">
      <c r="A994" s="43" t="inlineStr">
        <is>
          <t>PO101855</t>
        </is>
      </c>
      <c r="B994" s="43" t="inlineStr">
        <is>
          <t>CMD-0101</t>
        </is>
      </c>
      <c r="C994" s="43" t="inlineStr">
        <is>
          <t>S09</t>
        </is>
      </c>
      <c r="D994" s="47" t="n">
        <v>45912</v>
      </c>
      <c r="E994" s="47" t="n">
        <v>45933</v>
      </c>
      <c r="F994" s="47" t="n">
        <v>45931</v>
      </c>
      <c r="G994" s="46" t="n">
        <v>3590</v>
      </c>
      <c r="H994" s="46" t="n">
        <v>3590</v>
      </c>
      <c r="I994" s="46" t="n">
        <v>8</v>
      </c>
      <c r="J994" s="44" t="n">
        <v>3.7</v>
      </c>
      <c r="K994" s="43" t="inlineStr">
        <is>
          <t>Received</t>
        </is>
      </c>
      <c r="L994" s="17">
        <f>INDEX(Items!$C$2:$C$117,MATCH(B994,Items!$A$2:$A$117,0))</f>
        <v/>
      </c>
      <c r="M994" s="49">
        <f>INDEX(Items!$E$2:$E$117,MATCH(B994,Items!$A$2:$A$117,0))</f>
        <v/>
      </c>
      <c r="N994" s="17">
        <f>TEXT(D994,"yyyy-mm")</f>
        <v/>
      </c>
      <c r="O994" s="50">
        <f>G994*J994</f>
        <v/>
      </c>
      <c r="P994" s="50">
        <f>(J994-M994)*G994</f>
        <v/>
      </c>
      <c r="Q994" s="51">
        <f>IF(K994="Received",1,0)</f>
        <v/>
      </c>
      <c r="R994" s="51">
        <f>IF(Q994=1,F994-D994,0)</f>
        <v/>
      </c>
      <c r="S994" s="51">
        <f>IF(Q994=1,IF(F994&lt;=E994,1,0),0)</f>
        <v/>
      </c>
      <c r="T994" s="51">
        <f>IF(Q994=1,IF(H994&gt;=G994,1,0),0)</f>
        <v/>
      </c>
      <c r="U994" s="51">
        <f>S994*T994</f>
        <v/>
      </c>
      <c r="V994" s="51">
        <f>IF(Q994=1,MAX(0,F994-E994),0)</f>
        <v/>
      </c>
    </row>
    <row r="995">
      <c r="A995" s="43" t="inlineStr">
        <is>
          <t>PO100375</t>
        </is>
      </c>
      <c r="B995" s="43" t="inlineStr">
        <is>
          <t>CMD-0017</t>
        </is>
      </c>
      <c r="C995" s="43" t="inlineStr">
        <is>
          <t>S11</t>
        </is>
      </c>
      <c r="D995" s="47" t="n">
        <v>45913</v>
      </c>
      <c r="E995" s="47" t="n">
        <v>45990</v>
      </c>
      <c r="F995" s="47" t="n">
        <v>45988</v>
      </c>
      <c r="G995" s="46" t="n">
        <v>7545</v>
      </c>
      <c r="H995" s="46" t="n">
        <v>7545</v>
      </c>
      <c r="I995" s="46" t="n">
        <v>19</v>
      </c>
      <c r="J995" s="44" t="n">
        <v>12.69</v>
      </c>
      <c r="K995" s="43" t="inlineStr">
        <is>
          <t>Received</t>
        </is>
      </c>
      <c r="L995" s="17">
        <f>INDEX(Items!$C$2:$C$117,MATCH(B995,Items!$A$2:$A$117,0))</f>
        <v/>
      </c>
      <c r="M995" s="49">
        <f>INDEX(Items!$E$2:$E$117,MATCH(B995,Items!$A$2:$A$117,0))</f>
        <v/>
      </c>
      <c r="N995" s="17">
        <f>TEXT(D995,"yyyy-mm")</f>
        <v/>
      </c>
      <c r="O995" s="50">
        <f>G995*J995</f>
        <v/>
      </c>
      <c r="P995" s="50">
        <f>(J995-M995)*G995</f>
        <v/>
      </c>
      <c r="Q995" s="51">
        <f>IF(K995="Received",1,0)</f>
        <v/>
      </c>
      <c r="R995" s="51">
        <f>IF(Q995=1,F995-D995,0)</f>
        <v/>
      </c>
      <c r="S995" s="51">
        <f>IF(Q995=1,IF(F995&lt;=E995,1,0),0)</f>
        <v/>
      </c>
      <c r="T995" s="51">
        <f>IF(Q995=1,IF(H995&gt;=G995,1,0),0)</f>
        <v/>
      </c>
      <c r="U995" s="51">
        <f>S995*T995</f>
        <v/>
      </c>
      <c r="V995" s="51">
        <f>IF(Q995=1,MAX(0,F995-E995),0)</f>
        <v/>
      </c>
    </row>
    <row r="996">
      <c r="A996" s="43" t="inlineStr">
        <is>
          <t>PO100083</t>
        </is>
      </c>
      <c r="B996" s="43" t="inlineStr">
        <is>
          <t>CMD-0004</t>
        </is>
      </c>
      <c r="C996" s="43" t="inlineStr">
        <is>
          <t>S07</t>
        </is>
      </c>
      <c r="D996" s="47" t="n">
        <v>45913</v>
      </c>
      <c r="E996" s="47" t="n">
        <v>46004</v>
      </c>
      <c r="F996" s="47" t="n">
        <v>46002</v>
      </c>
      <c r="G996" s="46" t="n">
        <v>3378</v>
      </c>
      <c r="H996" s="46" t="n">
        <v>3378</v>
      </c>
      <c r="I996" s="46" t="n">
        <v>32</v>
      </c>
      <c r="J996" s="44" t="n">
        <v>4.779</v>
      </c>
      <c r="K996" s="43" t="inlineStr">
        <is>
          <t>Received</t>
        </is>
      </c>
      <c r="L996" s="17">
        <f>INDEX(Items!$C$2:$C$117,MATCH(B996,Items!$A$2:$A$117,0))</f>
        <v/>
      </c>
      <c r="M996" s="49">
        <f>INDEX(Items!$E$2:$E$117,MATCH(B996,Items!$A$2:$A$117,0))</f>
        <v/>
      </c>
      <c r="N996" s="17">
        <f>TEXT(D996,"yyyy-mm")</f>
        <v/>
      </c>
      <c r="O996" s="50">
        <f>G996*J996</f>
        <v/>
      </c>
      <c r="P996" s="50">
        <f>(J996-M996)*G996</f>
        <v/>
      </c>
      <c r="Q996" s="51">
        <f>IF(K996="Received",1,0)</f>
        <v/>
      </c>
      <c r="R996" s="51">
        <f>IF(Q996=1,F996-D996,0)</f>
        <v/>
      </c>
      <c r="S996" s="51">
        <f>IF(Q996=1,IF(F996&lt;=E996,1,0),0)</f>
        <v/>
      </c>
      <c r="T996" s="51">
        <f>IF(Q996=1,IF(H996&gt;=G996,1,0),0)</f>
        <v/>
      </c>
      <c r="U996" s="51">
        <f>S996*T996</f>
        <v/>
      </c>
      <c r="V996" s="51">
        <f>IF(Q996=1,MAX(0,F996-E996),0)</f>
        <v/>
      </c>
    </row>
    <row r="997">
      <c r="A997" s="43" t="inlineStr">
        <is>
          <t>PO101169</t>
        </is>
      </c>
      <c r="B997" s="43" t="inlineStr">
        <is>
          <t>CMD-0054</t>
        </is>
      </c>
      <c r="C997" s="43" t="inlineStr">
        <is>
          <t>S10</t>
        </is>
      </c>
      <c r="D997" s="47" t="n">
        <v>45913</v>
      </c>
      <c r="E997" s="47" t="n">
        <v>45941</v>
      </c>
      <c r="F997" s="47" t="n">
        <v>45938</v>
      </c>
      <c r="G997" s="46" t="n">
        <v>52913</v>
      </c>
      <c r="H997" s="46" t="n">
        <v>52913</v>
      </c>
      <c r="I997" s="46" t="n">
        <v>50</v>
      </c>
      <c r="J997" s="44" t="n">
        <v>0.1687</v>
      </c>
      <c r="K997" s="43" t="inlineStr">
        <is>
          <t>Received</t>
        </is>
      </c>
      <c r="L997" s="17">
        <f>INDEX(Items!$C$2:$C$117,MATCH(B997,Items!$A$2:$A$117,0))</f>
        <v/>
      </c>
      <c r="M997" s="49">
        <f>INDEX(Items!$E$2:$E$117,MATCH(B997,Items!$A$2:$A$117,0))</f>
        <v/>
      </c>
      <c r="N997" s="17">
        <f>TEXT(D997,"yyyy-mm")</f>
        <v/>
      </c>
      <c r="O997" s="50">
        <f>G997*J997</f>
        <v/>
      </c>
      <c r="P997" s="50">
        <f>(J997-M997)*G997</f>
        <v/>
      </c>
      <c r="Q997" s="51">
        <f>IF(K997="Received",1,0)</f>
        <v/>
      </c>
      <c r="R997" s="51">
        <f>IF(Q997=1,F997-D997,0)</f>
        <v/>
      </c>
      <c r="S997" s="51">
        <f>IF(Q997=1,IF(F997&lt;=E997,1,0),0)</f>
        <v/>
      </c>
      <c r="T997" s="51">
        <f>IF(Q997=1,IF(H997&gt;=G997,1,0),0)</f>
        <v/>
      </c>
      <c r="U997" s="51">
        <f>S997*T997</f>
        <v/>
      </c>
      <c r="V997" s="51">
        <f>IF(Q997=1,MAX(0,F997-E997),0)</f>
        <v/>
      </c>
    </row>
    <row r="998">
      <c r="A998" s="43" t="inlineStr">
        <is>
          <t>PO100921</t>
        </is>
      </c>
      <c r="B998" s="43" t="inlineStr">
        <is>
          <t>CMD-0042</t>
        </is>
      </c>
      <c r="C998" s="43" t="inlineStr">
        <is>
          <t>S05</t>
        </is>
      </c>
      <c r="D998" s="47" t="n">
        <v>45914</v>
      </c>
      <c r="E998" s="47" t="n">
        <v>46019</v>
      </c>
      <c r="F998" s="47" t="n">
        <v>46017</v>
      </c>
      <c r="G998" s="46" t="n">
        <v>672</v>
      </c>
      <c r="H998" s="46" t="n">
        <v>672</v>
      </c>
      <c r="I998" s="46" t="n">
        <v>13</v>
      </c>
      <c r="J998" s="44" t="n">
        <v>8.91</v>
      </c>
      <c r="K998" s="43" t="inlineStr">
        <is>
          <t>Received</t>
        </is>
      </c>
      <c r="L998" s="17">
        <f>INDEX(Items!$C$2:$C$117,MATCH(B998,Items!$A$2:$A$117,0))</f>
        <v/>
      </c>
      <c r="M998" s="49">
        <f>INDEX(Items!$E$2:$E$117,MATCH(B998,Items!$A$2:$A$117,0))</f>
        <v/>
      </c>
      <c r="N998" s="17">
        <f>TEXT(D998,"yyyy-mm")</f>
        <v/>
      </c>
      <c r="O998" s="50">
        <f>G998*J998</f>
        <v/>
      </c>
      <c r="P998" s="50">
        <f>(J998-M998)*G998</f>
        <v/>
      </c>
      <c r="Q998" s="51">
        <f>IF(K998="Received",1,0)</f>
        <v/>
      </c>
      <c r="R998" s="51">
        <f>IF(Q998=1,F998-D998,0)</f>
        <v/>
      </c>
      <c r="S998" s="51">
        <f>IF(Q998=1,IF(F998&lt;=E998,1,0),0)</f>
        <v/>
      </c>
      <c r="T998" s="51">
        <f>IF(Q998=1,IF(H998&gt;=G998,1,0),0)</f>
        <v/>
      </c>
      <c r="U998" s="51">
        <f>S998*T998</f>
        <v/>
      </c>
      <c r="V998" s="51">
        <f>IF(Q998=1,MAX(0,F998-E998),0)</f>
        <v/>
      </c>
    </row>
    <row r="999">
      <c r="A999" s="43" t="inlineStr">
        <is>
          <t>PO100829</t>
        </is>
      </c>
      <c r="B999" s="43" t="inlineStr">
        <is>
          <t>CMD-0037</t>
        </is>
      </c>
      <c r="C999" s="43" t="inlineStr">
        <is>
          <t>S07</t>
        </is>
      </c>
      <c r="D999" s="47" t="n">
        <v>45914</v>
      </c>
      <c r="E999" s="47" t="n">
        <v>45956</v>
      </c>
      <c r="F999" s="47" t="n">
        <v>45954</v>
      </c>
      <c r="G999" s="46" t="n">
        <v>474</v>
      </c>
      <c r="H999" s="46" t="n">
        <v>474</v>
      </c>
      <c r="I999" s="46" t="n">
        <v>4</v>
      </c>
      <c r="J999" s="44" t="n">
        <v>53.62</v>
      </c>
      <c r="K999" s="43" t="inlineStr">
        <is>
          <t>Received</t>
        </is>
      </c>
      <c r="L999" s="17">
        <f>INDEX(Items!$C$2:$C$117,MATCH(B999,Items!$A$2:$A$117,0))</f>
        <v/>
      </c>
      <c r="M999" s="49">
        <f>INDEX(Items!$E$2:$E$117,MATCH(B999,Items!$A$2:$A$117,0))</f>
        <v/>
      </c>
      <c r="N999" s="17">
        <f>TEXT(D999,"yyyy-mm")</f>
        <v/>
      </c>
      <c r="O999" s="50">
        <f>G999*J999</f>
        <v/>
      </c>
      <c r="P999" s="50">
        <f>(J999-M999)*G999</f>
        <v/>
      </c>
      <c r="Q999" s="51">
        <f>IF(K999="Received",1,0)</f>
        <v/>
      </c>
      <c r="R999" s="51">
        <f>IF(Q999=1,F999-D999,0)</f>
        <v/>
      </c>
      <c r="S999" s="51">
        <f>IF(Q999=1,IF(F999&lt;=E999,1,0),0)</f>
        <v/>
      </c>
      <c r="T999" s="51">
        <f>IF(Q999=1,IF(H999&gt;=G999,1,0),0)</f>
        <v/>
      </c>
      <c r="U999" s="51">
        <f>S999*T999</f>
        <v/>
      </c>
      <c r="V999" s="51">
        <f>IF(Q999=1,MAX(0,F999-E999),0)</f>
        <v/>
      </c>
    </row>
    <row r="1000">
      <c r="A1000" s="43" t="inlineStr">
        <is>
          <t>PO101543</t>
        </is>
      </c>
      <c r="B1000" s="43" t="inlineStr">
        <is>
          <t>CMD-0082</t>
        </is>
      </c>
      <c r="C1000" s="43" t="inlineStr">
        <is>
          <t>S01</t>
        </is>
      </c>
      <c r="D1000" s="47" t="n">
        <v>45914</v>
      </c>
      <c r="E1000" s="47" t="n">
        <v>45928</v>
      </c>
      <c r="F1000" s="47" t="n">
        <v>45925</v>
      </c>
      <c r="G1000" s="46" t="n">
        <v>7421</v>
      </c>
      <c r="H1000" s="46" t="n">
        <v>7421</v>
      </c>
      <c r="I1000" s="46" t="n">
        <v>15</v>
      </c>
      <c r="J1000" s="44" t="n">
        <v>2.32</v>
      </c>
      <c r="K1000" s="43" t="inlineStr">
        <is>
          <t>Received</t>
        </is>
      </c>
      <c r="L1000" s="17">
        <f>INDEX(Items!$C$2:$C$117,MATCH(B1000,Items!$A$2:$A$117,0))</f>
        <v/>
      </c>
      <c r="M1000" s="49">
        <f>INDEX(Items!$E$2:$E$117,MATCH(B1000,Items!$A$2:$A$117,0))</f>
        <v/>
      </c>
      <c r="N1000" s="17">
        <f>TEXT(D1000,"yyyy-mm")</f>
        <v/>
      </c>
      <c r="O1000" s="50">
        <f>G1000*J1000</f>
        <v/>
      </c>
      <c r="P1000" s="50">
        <f>(J1000-M1000)*G1000</f>
        <v/>
      </c>
      <c r="Q1000" s="51">
        <f>IF(K1000="Received",1,0)</f>
        <v/>
      </c>
      <c r="R1000" s="51">
        <f>IF(Q1000=1,F1000-D1000,0)</f>
        <v/>
      </c>
      <c r="S1000" s="51">
        <f>IF(Q1000=1,IF(F1000&lt;=E1000,1,0),0)</f>
        <v/>
      </c>
      <c r="T1000" s="51">
        <f>IF(Q1000=1,IF(H1000&gt;=G1000,1,0),0)</f>
        <v/>
      </c>
      <c r="U1000" s="51">
        <f>S1000*T1000</f>
        <v/>
      </c>
      <c r="V1000" s="51">
        <f>IF(Q1000=1,MAX(0,F1000-E1000),0)</f>
        <v/>
      </c>
    </row>
    <row r="1001">
      <c r="A1001" s="43" t="inlineStr">
        <is>
          <t>PO100969</t>
        </is>
      </c>
      <c r="B1001" s="43" t="inlineStr">
        <is>
          <t>CMD-0044</t>
        </is>
      </c>
      <c r="C1001" s="43" t="inlineStr">
        <is>
          <t>S05</t>
        </is>
      </c>
      <c r="D1001" s="47" t="n">
        <v>45914</v>
      </c>
      <c r="E1001" s="47" t="n">
        <v>46019</v>
      </c>
      <c r="F1001" s="47" t="n">
        <v>46018</v>
      </c>
      <c r="G1001" s="46" t="n">
        <v>6824</v>
      </c>
      <c r="H1001" s="46" t="n">
        <v>6824</v>
      </c>
      <c r="I1001" s="46" t="n">
        <v>143</v>
      </c>
      <c r="J1001" s="44" t="n">
        <v>11.57</v>
      </c>
      <c r="K1001" s="43" t="inlineStr">
        <is>
          <t>Received</t>
        </is>
      </c>
      <c r="L1001" s="17">
        <f>INDEX(Items!$C$2:$C$117,MATCH(B1001,Items!$A$2:$A$117,0))</f>
        <v/>
      </c>
      <c r="M1001" s="49">
        <f>INDEX(Items!$E$2:$E$117,MATCH(B1001,Items!$A$2:$A$117,0))</f>
        <v/>
      </c>
      <c r="N1001" s="17">
        <f>TEXT(D1001,"yyyy-mm")</f>
        <v/>
      </c>
      <c r="O1001" s="50">
        <f>G1001*J1001</f>
        <v/>
      </c>
      <c r="P1001" s="50">
        <f>(J1001-M1001)*G1001</f>
        <v/>
      </c>
      <c r="Q1001" s="51">
        <f>IF(K1001="Received",1,0)</f>
        <v/>
      </c>
      <c r="R1001" s="51">
        <f>IF(Q1001=1,F1001-D1001,0)</f>
        <v/>
      </c>
      <c r="S1001" s="51">
        <f>IF(Q1001=1,IF(F1001&lt;=E1001,1,0),0)</f>
        <v/>
      </c>
      <c r="T1001" s="51">
        <f>IF(Q1001=1,IF(H1001&gt;=G1001,1,0),0)</f>
        <v/>
      </c>
      <c r="U1001" s="51">
        <f>S1001*T1001</f>
        <v/>
      </c>
      <c r="V1001" s="51">
        <f>IF(Q1001=1,MAX(0,F1001-E1001),0)</f>
        <v/>
      </c>
    </row>
    <row r="1002">
      <c r="A1002" s="43" t="inlineStr">
        <is>
          <t>PO101575</t>
        </is>
      </c>
      <c r="B1002" s="43" t="inlineStr">
        <is>
          <t>CMD-0085</t>
        </is>
      </c>
      <c r="C1002" s="43" t="inlineStr">
        <is>
          <t>S06</t>
        </is>
      </c>
      <c r="D1002" s="47" t="n">
        <v>45914</v>
      </c>
      <c r="E1002" s="47" t="n">
        <v>45935</v>
      </c>
      <c r="F1002" s="47" t="n">
        <v>45933</v>
      </c>
      <c r="G1002" s="46" t="n">
        <v>954</v>
      </c>
      <c r="H1002" s="46" t="n">
        <v>954</v>
      </c>
      <c r="I1002" s="46" t="n">
        <v>7</v>
      </c>
      <c r="J1002" s="44" t="n">
        <v>10.56</v>
      </c>
      <c r="K1002" s="43" t="inlineStr">
        <is>
          <t>Received</t>
        </is>
      </c>
      <c r="L1002" s="17">
        <f>INDEX(Items!$C$2:$C$117,MATCH(B1002,Items!$A$2:$A$117,0))</f>
        <v/>
      </c>
      <c r="M1002" s="49">
        <f>INDEX(Items!$E$2:$E$117,MATCH(B1002,Items!$A$2:$A$117,0))</f>
        <v/>
      </c>
      <c r="N1002" s="17">
        <f>TEXT(D1002,"yyyy-mm")</f>
        <v/>
      </c>
      <c r="O1002" s="50">
        <f>G1002*J1002</f>
        <v/>
      </c>
      <c r="P1002" s="50">
        <f>(J1002-M1002)*G1002</f>
        <v/>
      </c>
      <c r="Q1002" s="51">
        <f>IF(K1002="Received",1,0)</f>
        <v/>
      </c>
      <c r="R1002" s="51">
        <f>IF(Q1002=1,F1002-D1002,0)</f>
        <v/>
      </c>
      <c r="S1002" s="51">
        <f>IF(Q1002=1,IF(F1002&lt;=E1002,1,0),0)</f>
        <v/>
      </c>
      <c r="T1002" s="51">
        <f>IF(Q1002=1,IF(H1002&gt;=G1002,1,0),0)</f>
        <v/>
      </c>
      <c r="U1002" s="51">
        <f>S1002*T1002</f>
        <v/>
      </c>
      <c r="V1002" s="51">
        <f>IF(Q1002=1,MAX(0,F1002-E1002),0)</f>
        <v/>
      </c>
    </row>
    <row r="1003">
      <c r="A1003" s="43" t="inlineStr">
        <is>
          <t>PO101725</t>
        </is>
      </c>
      <c r="B1003" s="43" t="inlineStr">
        <is>
          <t>CMD-0094</t>
        </is>
      </c>
      <c r="C1003" s="43" t="inlineStr">
        <is>
          <t>S08</t>
        </is>
      </c>
      <c r="D1003" s="47" t="n">
        <v>45914</v>
      </c>
      <c r="E1003" s="47" t="n">
        <v>45991</v>
      </c>
      <c r="F1003" s="47" t="n">
        <v>45990</v>
      </c>
      <c r="G1003" s="46" t="n">
        <v>467</v>
      </c>
      <c r="H1003" s="46" t="n">
        <v>467</v>
      </c>
      <c r="I1003" s="46" t="n">
        <v>7</v>
      </c>
      <c r="J1003" s="44" t="n">
        <v>74.09</v>
      </c>
      <c r="K1003" s="43" t="inlineStr">
        <is>
          <t>Received</t>
        </is>
      </c>
      <c r="L1003" s="17">
        <f>INDEX(Items!$C$2:$C$117,MATCH(B1003,Items!$A$2:$A$117,0))</f>
        <v/>
      </c>
      <c r="M1003" s="49">
        <f>INDEX(Items!$E$2:$E$117,MATCH(B1003,Items!$A$2:$A$117,0))</f>
        <v/>
      </c>
      <c r="N1003" s="17">
        <f>TEXT(D1003,"yyyy-mm")</f>
        <v/>
      </c>
      <c r="O1003" s="50">
        <f>G1003*J1003</f>
        <v/>
      </c>
      <c r="P1003" s="50">
        <f>(J1003-M1003)*G1003</f>
        <v/>
      </c>
      <c r="Q1003" s="51">
        <f>IF(K1003="Received",1,0)</f>
        <v/>
      </c>
      <c r="R1003" s="51">
        <f>IF(Q1003=1,F1003-D1003,0)</f>
        <v/>
      </c>
      <c r="S1003" s="51">
        <f>IF(Q1003=1,IF(F1003&lt;=E1003,1,0),0)</f>
        <v/>
      </c>
      <c r="T1003" s="51">
        <f>IF(Q1003=1,IF(H1003&gt;=G1003,1,0),0)</f>
        <v/>
      </c>
      <c r="U1003" s="51">
        <f>S1003*T1003</f>
        <v/>
      </c>
      <c r="V1003" s="51">
        <f>IF(Q1003=1,MAX(0,F1003-E1003),0)</f>
        <v/>
      </c>
    </row>
    <row r="1004">
      <c r="A1004" s="43" t="inlineStr">
        <is>
          <t>PO101701</t>
        </is>
      </c>
      <c r="B1004" s="43" t="inlineStr">
        <is>
          <t>CMD-0093</t>
        </is>
      </c>
      <c r="C1004" s="43" t="inlineStr">
        <is>
          <t>S08</t>
        </is>
      </c>
      <c r="D1004" s="47" t="n">
        <v>45914</v>
      </c>
      <c r="E1004" s="47" t="n">
        <v>45991</v>
      </c>
      <c r="F1004" s="47" t="n">
        <v>45989</v>
      </c>
      <c r="G1004" s="46" t="n">
        <v>613</v>
      </c>
      <c r="H1004" s="46" t="n">
        <v>613</v>
      </c>
      <c r="I1004" s="46" t="n">
        <v>9</v>
      </c>
      <c r="J1004" s="44" t="n">
        <v>59.41</v>
      </c>
      <c r="K1004" s="43" t="inlineStr">
        <is>
          <t>Received</t>
        </is>
      </c>
      <c r="L1004" s="17">
        <f>INDEX(Items!$C$2:$C$117,MATCH(B1004,Items!$A$2:$A$117,0))</f>
        <v/>
      </c>
      <c r="M1004" s="49">
        <f>INDEX(Items!$E$2:$E$117,MATCH(B1004,Items!$A$2:$A$117,0))</f>
        <v/>
      </c>
      <c r="N1004" s="17">
        <f>TEXT(D1004,"yyyy-mm")</f>
        <v/>
      </c>
      <c r="O1004" s="50">
        <f>G1004*J1004</f>
        <v/>
      </c>
      <c r="P1004" s="50">
        <f>(J1004-M1004)*G1004</f>
        <v/>
      </c>
      <c r="Q1004" s="51">
        <f>IF(K1004="Received",1,0)</f>
        <v/>
      </c>
      <c r="R1004" s="51">
        <f>IF(Q1004=1,F1004-D1004,0)</f>
        <v/>
      </c>
      <c r="S1004" s="51">
        <f>IF(Q1004=1,IF(F1004&lt;=E1004,1,0),0)</f>
        <v/>
      </c>
      <c r="T1004" s="51">
        <f>IF(Q1004=1,IF(H1004&gt;=G1004,1,0),0)</f>
        <v/>
      </c>
      <c r="U1004" s="51">
        <f>S1004*T1004</f>
        <v/>
      </c>
      <c r="V1004" s="51">
        <f>IF(Q1004=1,MAX(0,F1004-E1004),0)</f>
        <v/>
      </c>
    </row>
    <row r="1005">
      <c r="A1005" s="43" t="inlineStr">
        <is>
          <t>PO100035</t>
        </is>
      </c>
      <c r="B1005" s="43" t="inlineStr">
        <is>
          <t>CMD-0002</t>
        </is>
      </c>
      <c r="C1005" s="43" t="inlineStr">
        <is>
          <t>S11</t>
        </is>
      </c>
      <c r="D1005" s="47" t="n">
        <v>45914</v>
      </c>
      <c r="E1005" s="47" t="n">
        <v>46033</v>
      </c>
      <c r="F1005" s="47" t="n">
        <v>46033</v>
      </c>
      <c r="G1005" s="46" t="n">
        <v>7781</v>
      </c>
      <c r="H1005" s="46" t="n">
        <v>7781</v>
      </c>
      <c r="I1005" s="46" t="n">
        <v>20</v>
      </c>
      <c r="J1005" s="44" t="n">
        <v>8.083</v>
      </c>
      <c r="K1005" s="43" t="inlineStr">
        <is>
          <t>Received</t>
        </is>
      </c>
      <c r="L1005" s="17">
        <f>INDEX(Items!$C$2:$C$117,MATCH(B1005,Items!$A$2:$A$117,0))</f>
        <v/>
      </c>
      <c r="M1005" s="49">
        <f>INDEX(Items!$E$2:$E$117,MATCH(B1005,Items!$A$2:$A$117,0))</f>
        <v/>
      </c>
      <c r="N1005" s="17">
        <f>TEXT(D1005,"yyyy-mm")</f>
        <v/>
      </c>
      <c r="O1005" s="50">
        <f>G1005*J1005</f>
        <v/>
      </c>
      <c r="P1005" s="50">
        <f>(J1005-M1005)*G1005</f>
        <v/>
      </c>
      <c r="Q1005" s="51">
        <f>IF(K1005="Received",1,0)</f>
        <v/>
      </c>
      <c r="R1005" s="51">
        <f>IF(Q1005=1,F1005-D1005,0)</f>
        <v/>
      </c>
      <c r="S1005" s="51">
        <f>IF(Q1005=1,IF(F1005&lt;=E1005,1,0),0)</f>
        <v/>
      </c>
      <c r="T1005" s="51">
        <f>IF(Q1005=1,IF(H1005&gt;=G1005,1,0),0)</f>
        <v/>
      </c>
      <c r="U1005" s="51">
        <f>S1005*T1005</f>
        <v/>
      </c>
      <c r="V1005" s="51">
        <f>IF(Q1005=1,MAX(0,F1005-E1005),0)</f>
        <v/>
      </c>
    </row>
    <row r="1006">
      <c r="A1006" s="43" t="inlineStr">
        <is>
          <t>PO100131</t>
        </is>
      </c>
      <c r="B1006" s="43" t="inlineStr">
        <is>
          <t>CMD-0006</t>
        </is>
      </c>
      <c r="C1006" s="43" t="inlineStr">
        <is>
          <t>S03</t>
        </is>
      </c>
      <c r="D1006" s="47" t="n">
        <v>45915</v>
      </c>
      <c r="E1006" s="47" t="n">
        <v>46048</v>
      </c>
      <c r="F1006" s="47" t="n">
        <v>46073</v>
      </c>
      <c r="G1006" s="46" t="n">
        <v>676</v>
      </c>
      <c r="H1006" s="46" t="n">
        <v>676</v>
      </c>
      <c r="I1006" s="46" t="n">
        <v>3</v>
      </c>
      <c r="J1006" s="44" t="n">
        <v>36.049</v>
      </c>
      <c r="K1006" s="43" t="inlineStr">
        <is>
          <t>Received</t>
        </is>
      </c>
      <c r="L1006" s="17">
        <f>INDEX(Items!$C$2:$C$117,MATCH(B1006,Items!$A$2:$A$117,0))</f>
        <v/>
      </c>
      <c r="M1006" s="49">
        <f>INDEX(Items!$E$2:$E$117,MATCH(B1006,Items!$A$2:$A$117,0))</f>
        <v/>
      </c>
      <c r="N1006" s="17">
        <f>TEXT(D1006,"yyyy-mm")</f>
        <v/>
      </c>
      <c r="O1006" s="50">
        <f>G1006*J1006</f>
        <v/>
      </c>
      <c r="P1006" s="50">
        <f>(J1006-M1006)*G1006</f>
        <v/>
      </c>
      <c r="Q1006" s="51">
        <f>IF(K1006="Received",1,0)</f>
        <v/>
      </c>
      <c r="R1006" s="51">
        <f>IF(Q1006=1,F1006-D1006,0)</f>
        <v/>
      </c>
      <c r="S1006" s="51">
        <f>IF(Q1006=1,IF(F1006&lt;=E1006,1,0),0)</f>
        <v/>
      </c>
      <c r="T1006" s="51">
        <f>IF(Q1006=1,IF(H1006&gt;=G1006,1,0),0)</f>
        <v/>
      </c>
      <c r="U1006" s="51">
        <f>S1006*T1006</f>
        <v/>
      </c>
      <c r="V1006" s="51">
        <f>IF(Q1006=1,MAX(0,F1006-E1006),0)</f>
        <v/>
      </c>
    </row>
    <row r="1007">
      <c r="A1007" s="43" t="inlineStr">
        <is>
          <t>PO101653</t>
        </is>
      </c>
      <c r="B1007" s="43" t="inlineStr">
        <is>
          <t>CMD-0091</t>
        </is>
      </c>
      <c r="C1007" s="43" t="inlineStr">
        <is>
          <t>S08</t>
        </is>
      </c>
      <c r="D1007" s="47" t="n">
        <v>45915</v>
      </c>
      <c r="E1007" s="47" t="n">
        <v>45992</v>
      </c>
      <c r="F1007" s="47" t="n">
        <v>45990</v>
      </c>
      <c r="G1007" s="46" t="n">
        <v>869</v>
      </c>
      <c r="H1007" s="46" t="n">
        <v>869</v>
      </c>
      <c r="I1007" s="46" t="n">
        <v>17</v>
      </c>
      <c r="J1007" s="44" t="n">
        <v>23.8</v>
      </c>
      <c r="K1007" s="43" t="inlineStr">
        <is>
          <t>Received</t>
        </is>
      </c>
      <c r="L1007" s="17">
        <f>INDEX(Items!$C$2:$C$117,MATCH(B1007,Items!$A$2:$A$117,0))</f>
        <v/>
      </c>
      <c r="M1007" s="49">
        <f>INDEX(Items!$E$2:$E$117,MATCH(B1007,Items!$A$2:$A$117,0))</f>
        <v/>
      </c>
      <c r="N1007" s="17">
        <f>TEXT(D1007,"yyyy-mm")</f>
        <v/>
      </c>
      <c r="O1007" s="50">
        <f>G1007*J1007</f>
        <v/>
      </c>
      <c r="P1007" s="50">
        <f>(J1007-M1007)*G1007</f>
        <v/>
      </c>
      <c r="Q1007" s="51">
        <f>IF(K1007="Received",1,0)</f>
        <v/>
      </c>
      <c r="R1007" s="51">
        <f>IF(Q1007=1,F1007-D1007,0)</f>
        <v/>
      </c>
      <c r="S1007" s="51">
        <f>IF(Q1007=1,IF(F1007&lt;=E1007,1,0),0)</f>
        <v/>
      </c>
      <c r="T1007" s="51">
        <f>IF(Q1007=1,IF(H1007&gt;=G1007,1,0),0)</f>
        <v/>
      </c>
      <c r="U1007" s="51">
        <f>S1007*T1007</f>
        <v/>
      </c>
      <c r="V1007" s="51">
        <f>IF(Q1007=1,MAX(0,F1007-E1007),0)</f>
        <v/>
      </c>
    </row>
    <row r="1008">
      <c r="A1008" s="43" t="inlineStr">
        <is>
          <t>PO101239</t>
        </is>
      </c>
      <c r="B1008" s="43" t="inlineStr">
        <is>
          <t>CMD-0058</t>
        </is>
      </c>
      <c r="C1008" s="43" t="inlineStr">
        <is>
          <t>S04</t>
        </is>
      </c>
      <c r="D1008" s="47" t="n">
        <v>45915</v>
      </c>
      <c r="E1008" s="47" t="n">
        <v>45950</v>
      </c>
      <c r="F1008" s="47" t="n">
        <v>45950</v>
      </c>
      <c r="G1008" s="46" t="n">
        <v>67609</v>
      </c>
      <c r="H1008" s="46" t="n">
        <v>67609</v>
      </c>
      <c r="I1008" s="46" t="n">
        <v>691</v>
      </c>
      <c r="J1008" s="44" t="n">
        <v>0.1178</v>
      </c>
      <c r="K1008" s="43" t="inlineStr">
        <is>
          <t>Received</t>
        </is>
      </c>
      <c r="L1008" s="17">
        <f>INDEX(Items!$C$2:$C$117,MATCH(B1008,Items!$A$2:$A$117,0))</f>
        <v/>
      </c>
      <c r="M1008" s="49">
        <f>INDEX(Items!$E$2:$E$117,MATCH(B1008,Items!$A$2:$A$117,0))</f>
        <v/>
      </c>
      <c r="N1008" s="17">
        <f>TEXT(D1008,"yyyy-mm")</f>
        <v/>
      </c>
      <c r="O1008" s="50">
        <f>G1008*J1008</f>
        <v/>
      </c>
      <c r="P1008" s="50">
        <f>(J1008-M1008)*G1008</f>
        <v/>
      </c>
      <c r="Q1008" s="51">
        <f>IF(K1008="Received",1,0)</f>
        <v/>
      </c>
      <c r="R1008" s="51">
        <f>IF(Q1008=1,F1008-D1008,0)</f>
        <v/>
      </c>
      <c r="S1008" s="51">
        <f>IF(Q1008=1,IF(F1008&lt;=E1008,1,0),0)</f>
        <v/>
      </c>
      <c r="T1008" s="51">
        <f>IF(Q1008=1,IF(H1008&gt;=G1008,1,0),0)</f>
        <v/>
      </c>
      <c r="U1008" s="51">
        <f>S1008*T1008</f>
        <v/>
      </c>
      <c r="V1008" s="51">
        <f>IF(Q1008=1,MAX(0,F1008-E1008),0)</f>
        <v/>
      </c>
    </row>
    <row r="1009">
      <c r="A1009" s="43" t="inlineStr">
        <is>
          <t>PO100251</t>
        </is>
      </c>
      <c r="B1009" s="43" t="inlineStr">
        <is>
          <t>CMD-0011</t>
        </is>
      </c>
      <c r="C1009" s="43" t="inlineStr">
        <is>
          <t>S07</t>
        </is>
      </c>
      <c r="D1009" s="47" t="n">
        <v>45915</v>
      </c>
      <c r="E1009" s="47" t="n">
        <v>46006</v>
      </c>
      <c r="F1009" s="47" t="n">
        <v>46003</v>
      </c>
      <c r="G1009" s="46" t="n">
        <v>2956</v>
      </c>
      <c r="H1009" s="46" t="n">
        <v>2956</v>
      </c>
      <c r="I1009" s="46" t="n">
        <v>31</v>
      </c>
      <c r="J1009" s="44" t="n">
        <v>9.5344</v>
      </c>
      <c r="K1009" s="43" t="inlineStr">
        <is>
          <t>Received</t>
        </is>
      </c>
      <c r="L1009" s="17">
        <f>INDEX(Items!$C$2:$C$117,MATCH(B1009,Items!$A$2:$A$117,0))</f>
        <v/>
      </c>
      <c r="M1009" s="49">
        <f>INDEX(Items!$E$2:$E$117,MATCH(B1009,Items!$A$2:$A$117,0))</f>
        <v/>
      </c>
      <c r="N1009" s="17">
        <f>TEXT(D1009,"yyyy-mm")</f>
        <v/>
      </c>
      <c r="O1009" s="50">
        <f>G1009*J1009</f>
        <v/>
      </c>
      <c r="P1009" s="50">
        <f>(J1009-M1009)*G1009</f>
        <v/>
      </c>
      <c r="Q1009" s="51">
        <f>IF(K1009="Received",1,0)</f>
        <v/>
      </c>
      <c r="R1009" s="51">
        <f>IF(Q1009=1,F1009-D1009,0)</f>
        <v/>
      </c>
      <c r="S1009" s="51">
        <f>IF(Q1009=1,IF(F1009&lt;=E1009,1,0),0)</f>
        <v/>
      </c>
      <c r="T1009" s="51">
        <f>IF(Q1009=1,IF(H1009&gt;=G1009,1,0),0)</f>
        <v/>
      </c>
      <c r="U1009" s="51">
        <f>S1009*T1009</f>
        <v/>
      </c>
      <c r="V1009" s="51">
        <f>IF(Q1009=1,MAX(0,F1009-E1009),0)</f>
        <v/>
      </c>
    </row>
    <row r="1010">
      <c r="A1010" s="43" t="inlineStr">
        <is>
          <t>PO100507</t>
        </is>
      </c>
      <c r="B1010" s="43" t="inlineStr">
        <is>
          <t>CMD-0023</t>
        </is>
      </c>
      <c r="C1010" s="43" t="inlineStr">
        <is>
          <t>S04</t>
        </is>
      </c>
      <c r="D1010" s="47" t="n">
        <v>45915</v>
      </c>
      <c r="E1010" s="47" t="n">
        <v>45985</v>
      </c>
      <c r="F1010" s="47" t="n">
        <v>45982</v>
      </c>
      <c r="G1010" s="46" t="n">
        <v>3897</v>
      </c>
      <c r="H1010" s="46" t="n">
        <v>3897</v>
      </c>
      <c r="I1010" s="46" t="n">
        <v>30</v>
      </c>
      <c r="J1010" s="44" t="n">
        <v>8.800000000000001</v>
      </c>
      <c r="K1010" s="43" t="inlineStr">
        <is>
          <t>Received</t>
        </is>
      </c>
      <c r="L1010" s="17">
        <f>INDEX(Items!$C$2:$C$117,MATCH(B1010,Items!$A$2:$A$117,0))</f>
        <v/>
      </c>
      <c r="M1010" s="49">
        <f>INDEX(Items!$E$2:$E$117,MATCH(B1010,Items!$A$2:$A$117,0))</f>
        <v/>
      </c>
      <c r="N1010" s="17">
        <f>TEXT(D1010,"yyyy-mm")</f>
        <v/>
      </c>
      <c r="O1010" s="50">
        <f>G1010*J1010</f>
        <v/>
      </c>
      <c r="P1010" s="50">
        <f>(J1010-M1010)*G1010</f>
        <v/>
      </c>
      <c r="Q1010" s="51">
        <f>IF(K1010="Received",1,0)</f>
        <v/>
      </c>
      <c r="R1010" s="51">
        <f>IF(Q1010=1,F1010-D1010,0)</f>
        <v/>
      </c>
      <c r="S1010" s="51">
        <f>IF(Q1010=1,IF(F1010&lt;=E1010,1,0),0)</f>
        <v/>
      </c>
      <c r="T1010" s="51">
        <f>IF(Q1010=1,IF(H1010&gt;=G1010,1,0),0)</f>
        <v/>
      </c>
      <c r="U1010" s="51">
        <f>S1010*T1010</f>
        <v/>
      </c>
      <c r="V1010" s="51">
        <f>IF(Q1010=1,MAX(0,F1010-E1010),0)</f>
        <v/>
      </c>
    </row>
    <row r="1011">
      <c r="A1011" s="43" t="inlineStr">
        <is>
          <t>PO101773</t>
        </is>
      </c>
      <c r="B1011" s="43" t="inlineStr">
        <is>
          <t>CMD-0096</t>
        </is>
      </c>
      <c r="C1011" s="43" t="inlineStr">
        <is>
          <t>S09</t>
        </is>
      </c>
      <c r="D1011" s="47" t="n">
        <v>45915</v>
      </c>
      <c r="E1011" s="47" t="n">
        <v>45936</v>
      </c>
      <c r="F1011" s="47" t="n">
        <v>45934</v>
      </c>
      <c r="G1011" s="46" t="n">
        <v>859</v>
      </c>
      <c r="H1011" s="46" t="n">
        <v>859</v>
      </c>
      <c r="I1011" s="46" t="n">
        <v>3</v>
      </c>
      <c r="J1011" s="44" t="n">
        <v>6.42</v>
      </c>
      <c r="K1011" s="43" t="inlineStr">
        <is>
          <t>Received</t>
        </is>
      </c>
      <c r="L1011" s="17">
        <f>INDEX(Items!$C$2:$C$117,MATCH(B1011,Items!$A$2:$A$117,0))</f>
        <v/>
      </c>
      <c r="M1011" s="49">
        <f>INDEX(Items!$E$2:$E$117,MATCH(B1011,Items!$A$2:$A$117,0))</f>
        <v/>
      </c>
      <c r="N1011" s="17">
        <f>TEXT(D1011,"yyyy-mm")</f>
        <v/>
      </c>
      <c r="O1011" s="50">
        <f>G1011*J1011</f>
        <v/>
      </c>
      <c r="P1011" s="50">
        <f>(J1011-M1011)*G1011</f>
        <v/>
      </c>
      <c r="Q1011" s="51">
        <f>IF(K1011="Received",1,0)</f>
        <v/>
      </c>
      <c r="R1011" s="51">
        <f>IF(Q1011=1,F1011-D1011,0)</f>
        <v/>
      </c>
      <c r="S1011" s="51">
        <f>IF(Q1011=1,IF(F1011&lt;=E1011,1,0),0)</f>
        <v/>
      </c>
      <c r="T1011" s="51">
        <f>IF(Q1011=1,IF(H1011&gt;=G1011,1,0),0)</f>
        <v/>
      </c>
      <c r="U1011" s="51">
        <f>S1011*T1011</f>
        <v/>
      </c>
      <c r="V1011" s="51">
        <f>IF(Q1011=1,MAX(0,F1011-E1011),0)</f>
        <v/>
      </c>
    </row>
    <row r="1012">
      <c r="A1012" s="43" t="inlineStr">
        <is>
          <t>PO100059</t>
        </is>
      </c>
      <c r="B1012" s="43" t="inlineStr">
        <is>
          <t>CMD-0003</t>
        </is>
      </c>
      <c r="C1012" s="43" t="inlineStr">
        <is>
          <t>S11</t>
        </is>
      </c>
      <c r="D1012" s="47" t="n">
        <v>45915</v>
      </c>
      <c r="E1012" s="47" t="n">
        <v>46034</v>
      </c>
      <c r="F1012" s="47" t="n">
        <v>46056</v>
      </c>
      <c r="G1012" s="46" t="n">
        <v>8240</v>
      </c>
      <c r="H1012" s="46" t="n">
        <v>8240</v>
      </c>
      <c r="I1012" s="46" t="n">
        <v>18</v>
      </c>
      <c r="J1012" s="44" t="n">
        <v>25.3582</v>
      </c>
      <c r="K1012" s="43" t="inlineStr">
        <is>
          <t>Received</t>
        </is>
      </c>
      <c r="L1012" s="17">
        <f>INDEX(Items!$C$2:$C$117,MATCH(B1012,Items!$A$2:$A$117,0))</f>
        <v/>
      </c>
      <c r="M1012" s="49">
        <f>INDEX(Items!$E$2:$E$117,MATCH(B1012,Items!$A$2:$A$117,0))</f>
        <v/>
      </c>
      <c r="N1012" s="17">
        <f>TEXT(D1012,"yyyy-mm")</f>
        <v/>
      </c>
      <c r="O1012" s="50">
        <f>G1012*J1012</f>
        <v/>
      </c>
      <c r="P1012" s="50">
        <f>(J1012-M1012)*G1012</f>
        <v/>
      </c>
      <c r="Q1012" s="51">
        <f>IF(K1012="Received",1,0)</f>
        <v/>
      </c>
      <c r="R1012" s="51">
        <f>IF(Q1012=1,F1012-D1012,0)</f>
        <v/>
      </c>
      <c r="S1012" s="51">
        <f>IF(Q1012=1,IF(F1012&lt;=E1012,1,0),0)</f>
        <v/>
      </c>
      <c r="T1012" s="51">
        <f>IF(Q1012=1,IF(H1012&gt;=G1012,1,0),0)</f>
        <v/>
      </c>
      <c r="U1012" s="51">
        <f>S1012*T1012</f>
        <v/>
      </c>
      <c r="V1012" s="51">
        <f>IF(Q1012=1,MAX(0,F1012-E1012),0)</f>
        <v/>
      </c>
    </row>
    <row r="1013">
      <c r="A1013" s="43" t="inlineStr">
        <is>
          <t>PO101515</t>
        </is>
      </c>
      <c r="B1013" s="43" t="inlineStr">
        <is>
          <t>CMD-0080</t>
        </is>
      </c>
      <c r="C1013" s="43" t="inlineStr">
        <is>
          <t>S06</t>
        </is>
      </c>
      <c r="D1013" s="47" t="n">
        <v>45915</v>
      </c>
      <c r="E1013" s="47" t="n">
        <v>45936</v>
      </c>
      <c r="F1013" s="47" t="n">
        <v>45936</v>
      </c>
      <c r="G1013" s="46" t="n">
        <v>4865</v>
      </c>
      <c r="H1013" s="46" t="n">
        <v>4865</v>
      </c>
      <c r="I1013" s="46" t="n">
        <v>31</v>
      </c>
      <c r="J1013" s="44" t="n">
        <v>5.53</v>
      </c>
      <c r="K1013" s="43" t="inlineStr">
        <is>
          <t>Received</t>
        </is>
      </c>
      <c r="L1013" s="17">
        <f>INDEX(Items!$C$2:$C$117,MATCH(B1013,Items!$A$2:$A$117,0))</f>
        <v/>
      </c>
      <c r="M1013" s="49">
        <f>INDEX(Items!$E$2:$E$117,MATCH(B1013,Items!$A$2:$A$117,0))</f>
        <v/>
      </c>
      <c r="N1013" s="17">
        <f>TEXT(D1013,"yyyy-mm")</f>
        <v/>
      </c>
      <c r="O1013" s="50">
        <f>G1013*J1013</f>
        <v/>
      </c>
      <c r="P1013" s="50">
        <f>(J1013-M1013)*G1013</f>
        <v/>
      </c>
      <c r="Q1013" s="51">
        <f>IF(K1013="Received",1,0)</f>
        <v/>
      </c>
      <c r="R1013" s="51">
        <f>IF(Q1013=1,F1013-D1013,0)</f>
        <v/>
      </c>
      <c r="S1013" s="51">
        <f>IF(Q1013=1,IF(F1013&lt;=E1013,1,0),0)</f>
        <v/>
      </c>
      <c r="T1013" s="51">
        <f>IF(Q1013=1,IF(H1013&gt;=G1013,1,0),0)</f>
        <v/>
      </c>
      <c r="U1013" s="51">
        <f>S1013*T1013</f>
        <v/>
      </c>
      <c r="V1013" s="51">
        <f>IF(Q1013=1,MAX(0,F1013-E1013),0)</f>
        <v/>
      </c>
    </row>
    <row r="1014">
      <c r="A1014" s="43" t="inlineStr">
        <is>
          <t>PO100628</t>
        </is>
      </c>
      <c r="B1014" s="43" t="inlineStr">
        <is>
          <t>CMD-0028</t>
        </is>
      </c>
      <c r="C1014" s="43" t="inlineStr">
        <is>
          <t>S11</t>
        </is>
      </c>
      <c r="D1014" s="47" t="n">
        <v>45939</v>
      </c>
      <c r="E1014" s="47" t="n">
        <v>46016</v>
      </c>
      <c r="F1014" s="47" t="n">
        <v>46014</v>
      </c>
      <c r="G1014" s="46" t="n">
        <v>3675</v>
      </c>
      <c r="H1014" s="46" t="n">
        <v>3675</v>
      </c>
      <c r="I1014" s="46" t="n">
        <v>10</v>
      </c>
      <c r="J1014" s="44" t="n">
        <v>15.84</v>
      </c>
      <c r="K1014" s="43" t="inlineStr">
        <is>
          <t>Received</t>
        </is>
      </c>
      <c r="L1014" s="17">
        <f>INDEX(Items!$C$2:$C$117,MATCH(B1014,Items!$A$2:$A$117,0))</f>
        <v/>
      </c>
      <c r="M1014" s="49">
        <f>INDEX(Items!$E$2:$E$117,MATCH(B1014,Items!$A$2:$A$117,0))</f>
        <v/>
      </c>
      <c r="N1014" s="17">
        <f>TEXT(D1014,"yyyy-mm")</f>
        <v/>
      </c>
      <c r="O1014" s="50">
        <f>G1014*J1014</f>
        <v/>
      </c>
      <c r="P1014" s="50">
        <f>(J1014-M1014)*G1014</f>
        <v/>
      </c>
      <c r="Q1014" s="51">
        <f>IF(K1014="Received",1,0)</f>
        <v/>
      </c>
      <c r="R1014" s="51">
        <f>IF(Q1014=1,F1014-D1014,0)</f>
        <v/>
      </c>
      <c r="S1014" s="51">
        <f>IF(Q1014=1,IF(F1014&lt;=E1014,1,0),0)</f>
        <v/>
      </c>
      <c r="T1014" s="51">
        <f>IF(Q1014=1,IF(H1014&gt;=G1014,1,0),0)</f>
        <v/>
      </c>
      <c r="U1014" s="51">
        <f>S1014*T1014</f>
        <v/>
      </c>
      <c r="V1014" s="51">
        <f>IF(Q1014=1,MAX(0,F1014-E1014),0)</f>
        <v/>
      </c>
    </row>
    <row r="1015">
      <c r="A1015" s="43" t="inlineStr">
        <is>
          <t>PO100280</t>
        </is>
      </c>
      <c r="B1015" s="43" t="inlineStr">
        <is>
          <t>CMD-0013</t>
        </is>
      </c>
      <c r="C1015" s="43" t="inlineStr">
        <is>
          <t>S11</t>
        </is>
      </c>
      <c r="D1015" s="47" t="n">
        <v>45939</v>
      </c>
      <c r="E1015" s="47" t="n">
        <v>46058</v>
      </c>
      <c r="F1015" s="47" t="n">
        <v>46058</v>
      </c>
      <c r="G1015" s="46" t="n">
        <v>847</v>
      </c>
      <c r="H1015" s="46" t="n">
        <v>847</v>
      </c>
      <c r="I1015" s="46" t="n">
        <v>1</v>
      </c>
      <c r="J1015" s="44" t="n">
        <v>7.965</v>
      </c>
      <c r="K1015" s="43" t="inlineStr">
        <is>
          <t>Received</t>
        </is>
      </c>
      <c r="L1015" s="17">
        <f>INDEX(Items!$C$2:$C$117,MATCH(B1015,Items!$A$2:$A$117,0))</f>
        <v/>
      </c>
      <c r="M1015" s="49">
        <f>INDEX(Items!$E$2:$E$117,MATCH(B1015,Items!$A$2:$A$117,0))</f>
        <v/>
      </c>
      <c r="N1015" s="17">
        <f>TEXT(D1015,"yyyy-mm")</f>
        <v/>
      </c>
      <c r="O1015" s="50">
        <f>G1015*J1015</f>
        <v/>
      </c>
      <c r="P1015" s="50">
        <f>(J1015-M1015)*G1015</f>
        <v/>
      </c>
      <c r="Q1015" s="51">
        <f>IF(K1015="Received",1,0)</f>
        <v/>
      </c>
      <c r="R1015" s="51">
        <f>IF(Q1015=1,F1015-D1015,0)</f>
        <v/>
      </c>
      <c r="S1015" s="51">
        <f>IF(Q1015=1,IF(F1015&lt;=E1015,1,0),0)</f>
        <v/>
      </c>
      <c r="T1015" s="51">
        <f>IF(Q1015=1,IF(H1015&gt;=G1015,1,0),0)</f>
        <v/>
      </c>
      <c r="U1015" s="51">
        <f>S1015*T1015</f>
        <v/>
      </c>
      <c r="V1015" s="51">
        <f>IF(Q1015=1,MAX(0,F1015-E1015),0)</f>
        <v/>
      </c>
    </row>
    <row r="1016">
      <c r="A1016" s="43" t="inlineStr">
        <is>
          <t>PO101880</t>
        </is>
      </c>
      <c r="B1016" s="43" t="inlineStr">
        <is>
          <t>CMD-0102</t>
        </is>
      </c>
      <c r="C1016" s="43" t="inlineStr">
        <is>
          <t>S09</t>
        </is>
      </c>
      <c r="D1016" s="47" t="n">
        <v>45939</v>
      </c>
      <c r="E1016" s="47" t="n">
        <v>45960</v>
      </c>
      <c r="F1016" s="47" t="n">
        <v>45959</v>
      </c>
      <c r="G1016" s="46" t="n">
        <v>2421</v>
      </c>
      <c r="H1016" s="46" t="n">
        <v>2421</v>
      </c>
      <c r="I1016" s="46" t="n">
        <v>3</v>
      </c>
      <c r="J1016" s="44" t="n">
        <v>6.71</v>
      </c>
      <c r="K1016" s="43" t="inlineStr">
        <is>
          <t>Received</t>
        </is>
      </c>
      <c r="L1016" s="17">
        <f>INDEX(Items!$C$2:$C$117,MATCH(B1016,Items!$A$2:$A$117,0))</f>
        <v/>
      </c>
      <c r="M1016" s="49">
        <f>INDEX(Items!$E$2:$E$117,MATCH(B1016,Items!$A$2:$A$117,0))</f>
        <v/>
      </c>
      <c r="N1016" s="17">
        <f>TEXT(D1016,"yyyy-mm")</f>
        <v/>
      </c>
      <c r="O1016" s="50">
        <f>G1016*J1016</f>
        <v/>
      </c>
      <c r="P1016" s="50">
        <f>(J1016-M1016)*G1016</f>
        <v/>
      </c>
      <c r="Q1016" s="51">
        <f>IF(K1016="Received",1,0)</f>
        <v/>
      </c>
      <c r="R1016" s="51">
        <f>IF(Q1016=1,F1016-D1016,0)</f>
        <v/>
      </c>
      <c r="S1016" s="51">
        <f>IF(Q1016=1,IF(F1016&lt;=E1016,1,0),0)</f>
        <v/>
      </c>
      <c r="T1016" s="51">
        <f>IF(Q1016=1,IF(H1016&gt;=G1016,1,0),0)</f>
        <v/>
      </c>
      <c r="U1016" s="51">
        <f>S1016*T1016</f>
        <v/>
      </c>
      <c r="V1016" s="51">
        <f>IF(Q1016=1,MAX(0,F1016-E1016),0)</f>
        <v/>
      </c>
    </row>
    <row r="1017">
      <c r="A1017" s="43" t="inlineStr">
        <is>
          <t>PO100806</t>
        </is>
      </c>
      <c r="B1017" s="43" t="inlineStr">
        <is>
          <t>CMD-0036</t>
        </is>
      </c>
      <c r="C1017" s="43" t="inlineStr">
        <is>
          <t>S04</t>
        </is>
      </c>
      <c r="D1017" s="47" t="n">
        <v>45939</v>
      </c>
      <c r="E1017" s="47" t="n">
        <v>45981</v>
      </c>
      <c r="F1017" s="47" t="n">
        <v>45980</v>
      </c>
      <c r="G1017" s="46" t="n">
        <v>544</v>
      </c>
      <c r="H1017" s="46" t="n">
        <v>544</v>
      </c>
      <c r="I1017" s="46" t="n">
        <v>8</v>
      </c>
      <c r="J1017" s="44" t="n">
        <v>12.36</v>
      </c>
      <c r="K1017" s="43" t="inlineStr">
        <is>
          <t>Received</t>
        </is>
      </c>
      <c r="L1017" s="17">
        <f>INDEX(Items!$C$2:$C$117,MATCH(B1017,Items!$A$2:$A$117,0))</f>
        <v/>
      </c>
      <c r="M1017" s="49">
        <f>INDEX(Items!$E$2:$E$117,MATCH(B1017,Items!$A$2:$A$117,0))</f>
        <v/>
      </c>
      <c r="N1017" s="17">
        <f>TEXT(D1017,"yyyy-mm")</f>
        <v/>
      </c>
      <c r="O1017" s="50">
        <f>G1017*J1017</f>
        <v/>
      </c>
      <c r="P1017" s="50">
        <f>(J1017-M1017)*G1017</f>
        <v/>
      </c>
      <c r="Q1017" s="51">
        <f>IF(K1017="Received",1,0)</f>
        <v/>
      </c>
      <c r="R1017" s="51">
        <f>IF(Q1017=1,F1017-D1017,0)</f>
        <v/>
      </c>
      <c r="S1017" s="51">
        <f>IF(Q1017=1,IF(F1017&lt;=E1017,1,0),0)</f>
        <v/>
      </c>
      <c r="T1017" s="51">
        <f>IF(Q1017=1,IF(H1017&gt;=G1017,1,0),0)</f>
        <v/>
      </c>
      <c r="U1017" s="51">
        <f>S1017*T1017</f>
        <v/>
      </c>
      <c r="V1017" s="51">
        <f>IF(Q1017=1,MAX(0,F1017-E1017),0)</f>
        <v/>
      </c>
    </row>
    <row r="1018">
      <c r="A1018" s="43" t="inlineStr">
        <is>
          <t>PO101094</t>
        </is>
      </c>
      <c r="B1018" s="43" t="inlineStr">
        <is>
          <t>CMD-0050</t>
        </is>
      </c>
      <c r="C1018" s="43" t="inlineStr">
        <is>
          <t>S10</t>
        </is>
      </c>
      <c r="D1018" s="47" t="n">
        <v>45939</v>
      </c>
      <c r="E1018" s="47" t="n">
        <v>45967</v>
      </c>
      <c r="F1018" s="47" t="n">
        <v>45972</v>
      </c>
      <c r="G1018" s="46" t="n">
        <v>90651</v>
      </c>
      <c r="H1018" s="46" t="n">
        <v>90651</v>
      </c>
      <c r="I1018" s="46" t="n">
        <v>86</v>
      </c>
      <c r="J1018" s="44" t="n">
        <v>0.075</v>
      </c>
      <c r="K1018" s="43" t="inlineStr">
        <is>
          <t>Received</t>
        </is>
      </c>
      <c r="L1018" s="17">
        <f>INDEX(Items!$C$2:$C$117,MATCH(B1018,Items!$A$2:$A$117,0))</f>
        <v/>
      </c>
      <c r="M1018" s="49">
        <f>INDEX(Items!$E$2:$E$117,MATCH(B1018,Items!$A$2:$A$117,0))</f>
        <v/>
      </c>
      <c r="N1018" s="17">
        <f>TEXT(D1018,"yyyy-mm")</f>
        <v/>
      </c>
      <c r="O1018" s="50">
        <f>G1018*J1018</f>
        <v/>
      </c>
      <c r="P1018" s="50">
        <f>(J1018-M1018)*G1018</f>
        <v/>
      </c>
      <c r="Q1018" s="51">
        <f>IF(K1018="Received",1,0)</f>
        <v/>
      </c>
      <c r="R1018" s="51">
        <f>IF(Q1018=1,F1018-D1018,0)</f>
        <v/>
      </c>
      <c r="S1018" s="51">
        <f>IF(Q1018=1,IF(F1018&lt;=E1018,1,0),0)</f>
        <v/>
      </c>
      <c r="T1018" s="51">
        <f>IF(Q1018=1,IF(H1018&gt;=G1018,1,0),0)</f>
        <v/>
      </c>
      <c r="U1018" s="51">
        <f>S1018*T1018</f>
        <v/>
      </c>
      <c r="V1018" s="51">
        <f>IF(Q1018=1,MAX(0,F1018-E1018),0)</f>
        <v/>
      </c>
    </row>
    <row r="1019">
      <c r="A1019" s="43" t="inlineStr">
        <is>
          <t>PO100352</t>
        </is>
      </c>
      <c r="B1019" s="43" t="inlineStr">
        <is>
          <t>CMD-0016</t>
        </is>
      </c>
      <c r="C1019" s="43" t="inlineStr">
        <is>
          <t>S07</t>
        </is>
      </c>
      <c r="D1019" s="47" t="n">
        <v>45939</v>
      </c>
      <c r="E1019" s="47" t="n">
        <v>46030</v>
      </c>
      <c r="F1019" s="47" t="n">
        <v>46029</v>
      </c>
      <c r="G1019" s="46" t="n">
        <v>8994</v>
      </c>
      <c r="H1019" s="46" t="n">
        <v>8994</v>
      </c>
      <c r="I1019" s="46" t="n">
        <v>71</v>
      </c>
      <c r="J1019" s="44" t="n">
        <v>31.8836</v>
      </c>
      <c r="K1019" s="43" t="inlineStr">
        <is>
          <t>Received</t>
        </is>
      </c>
      <c r="L1019" s="17">
        <f>INDEX(Items!$C$2:$C$117,MATCH(B1019,Items!$A$2:$A$117,0))</f>
        <v/>
      </c>
      <c r="M1019" s="49">
        <f>INDEX(Items!$E$2:$E$117,MATCH(B1019,Items!$A$2:$A$117,0))</f>
        <v/>
      </c>
      <c r="N1019" s="17">
        <f>TEXT(D1019,"yyyy-mm")</f>
        <v/>
      </c>
      <c r="O1019" s="50">
        <f>G1019*J1019</f>
        <v/>
      </c>
      <c r="P1019" s="50">
        <f>(J1019-M1019)*G1019</f>
        <v/>
      </c>
      <c r="Q1019" s="51">
        <f>IF(K1019="Received",1,0)</f>
        <v/>
      </c>
      <c r="R1019" s="51">
        <f>IF(Q1019=1,F1019-D1019,0)</f>
        <v/>
      </c>
      <c r="S1019" s="51">
        <f>IF(Q1019=1,IF(F1019&lt;=E1019,1,0),0)</f>
        <v/>
      </c>
      <c r="T1019" s="51">
        <f>IF(Q1019=1,IF(H1019&gt;=G1019,1,0),0)</f>
        <v/>
      </c>
      <c r="U1019" s="51">
        <f>S1019*T1019</f>
        <v/>
      </c>
      <c r="V1019" s="51">
        <f>IF(Q1019=1,MAX(0,F1019-E1019),0)</f>
        <v/>
      </c>
    </row>
    <row r="1020">
      <c r="A1020" s="43" t="inlineStr">
        <is>
          <t>PO100994</t>
        </is>
      </c>
      <c r="B1020" s="43" t="inlineStr">
        <is>
          <t>CMD-0045</t>
        </is>
      </c>
      <c r="C1020" s="43" t="inlineStr">
        <is>
          <t>S05</t>
        </is>
      </c>
      <c r="D1020" s="47" t="n">
        <v>45939</v>
      </c>
      <c r="E1020" s="47" t="n">
        <v>46044</v>
      </c>
      <c r="F1020" s="47" t="n">
        <v>46043</v>
      </c>
      <c r="G1020" s="46" t="n">
        <v>4607</v>
      </c>
      <c r="H1020" s="46" t="n">
        <v>4607</v>
      </c>
      <c r="I1020" s="46" t="n">
        <v>76</v>
      </c>
      <c r="J1020" s="44" t="n">
        <v>8.99</v>
      </c>
      <c r="K1020" s="43" t="inlineStr">
        <is>
          <t>Received</t>
        </is>
      </c>
      <c r="L1020" s="17">
        <f>INDEX(Items!$C$2:$C$117,MATCH(B1020,Items!$A$2:$A$117,0))</f>
        <v/>
      </c>
      <c r="M1020" s="49">
        <f>INDEX(Items!$E$2:$E$117,MATCH(B1020,Items!$A$2:$A$117,0))</f>
        <v/>
      </c>
      <c r="N1020" s="17">
        <f>TEXT(D1020,"yyyy-mm")</f>
        <v/>
      </c>
      <c r="O1020" s="50">
        <f>G1020*J1020</f>
        <v/>
      </c>
      <c r="P1020" s="50">
        <f>(J1020-M1020)*G1020</f>
        <v/>
      </c>
      <c r="Q1020" s="51">
        <f>IF(K1020="Received",1,0)</f>
        <v/>
      </c>
      <c r="R1020" s="51">
        <f>IF(Q1020=1,F1020-D1020,0)</f>
        <v/>
      </c>
      <c r="S1020" s="51">
        <f>IF(Q1020=1,IF(F1020&lt;=E1020,1,0),0)</f>
        <v/>
      </c>
      <c r="T1020" s="51">
        <f>IF(Q1020=1,IF(H1020&gt;=G1020,1,0),0)</f>
        <v/>
      </c>
      <c r="U1020" s="51">
        <f>S1020*T1020</f>
        <v/>
      </c>
      <c r="V1020" s="51">
        <f>IF(Q1020=1,MAX(0,F1020-E1020),0)</f>
        <v/>
      </c>
    </row>
    <row r="1021">
      <c r="A1021" s="43" t="inlineStr">
        <is>
          <t>PO100400</t>
        </is>
      </c>
      <c r="B1021" s="43" t="inlineStr">
        <is>
          <t>CMD-0018</t>
        </is>
      </c>
      <c r="C1021" s="43" t="inlineStr">
        <is>
          <t>S02</t>
        </is>
      </c>
      <c r="D1021" s="47" t="n">
        <v>45940</v>
      </c>
      <c r="E1021" s="47" t="n">
        <v>45996</v>
      </c>
      <c r="F1021" s="47" t="n">
        <v>45994</v>
      </c>
      <c r="G1021" s="46" t="n">
        <v>6925</v>
      </c>
      <c r="H1021" s="46" t="n">
        <v>6925</v>
      </c>
      <c r="I1021" s="46" t="n">
        <v>21</v>
      </c>
      <c r="J1021" s="44" t="n">
        <v>37.92</v>
      </c>
      <c r="K1021" s="43" t="inlineStr">
        <is>
          <t>Received</t>
        </is>
      </c>
      <c r="L1021" s="17">
        <f>INDEX(Items!$C$2:$C$117,MATCH(B1021,Items!$A$2:$A$117,0))</f>
        <v/>
      </c>
      <c r="M1021" s="49">
        <f>INDEX(Items!$E$2:$E$117,MATCH(B1021,Items!$A$2:$A$117,0))</f>
        <v/>
      </c>
      <c r="N1021" s="17">
        <f>TEXT(D1021,"yyyy-mm")</f>
        <v/>
      </c>
      <c r="O1021" s="50">
        <f>G1021*J1021</f>
        <v/>
      </c>
      <c r="P1021" s="50">
        <f>(J1021-M1021)*G1021</f>
        <v/>
      </c>
      <c r="Q1021" s="51">
        <f>IF(K1021="Received",1,0)</f>
        <v/>
      </c>
      <c r="R1021" s="51">
        <f>IF(Q1021=1,F1021-D1021,0)</f>
        <v/>
      </c>
      <c r="S1021" s="51">
        <f>IF(Q1021=1,IF(F1021&lt;=E1021,1,0),0)</f>
        <v/>
      </c>
      <c r="T1021" s="51">
        <f>IF(Q1021=1,IF(H1021&gt;=G1021,1,0),0)</f>
        <v/>
      </c>
      <c r="U1021" s="51">
        <f>S1021*T1021</f>
        <v/>
      </c>
      <c r="V1021" s="51">
        <f>IF(Q1021=1,MAX(0,F1021-E1021),0)</f>
        <v/>
      </c>
    </row>
    <row r="1022">
      <c r="A1022" s="43" t="inlineStr">
        <is>
          <t>PO101856</t>
        </is>
      </c>
      <c r="B1022" s="43" t="inlineStr">
        <is>
          <t>CMD-0101</t>
        </is>
      </c>
      <c r="C1022" s="43" t="inlineStr">
        <is>
          <t>S09</t>
        </is>
      </c>
      <c r="D1022" s="47" t="n">
        <v>45940</v>
      </c>
      <c r="E1022" s="47" t="n">
        <v>45961</v>
      </c>
      <c r="F1022" s="47" t="n">
        <v>45958</v>
      </c>
      <c r="G1022" s="46" t="n">
        <v>3497</v>
      </c>
      <c r="H1022" s="46" t="n">
        <v>3497</v>
      </c>
      <c r="I1022" s="46" t="n">
        <v>7</v>
      </c>
      <c r="J1022" s="44" t="n">
        <v>3.7</v>
      </c>
      <c r="K1022" s="43" t="inlineStr">
        <is>
          <t>Received</t>
        </is>
      </c>
      <c r="L1022" s="17">
        <f>INDEX(Items!$C$2:$C$117,MATCH(B1022,Items!$A$2:$A$117,0))</f>
        <v/>
      </c>
      <c r="M1022" s="49">
        <f>INDEX(Items!$E$2:$E$117,MATCH(B1022,Items!$A$2:$A$117,0))</f>
        <v/>
      </c>
      <c r="N1022" s="17">
        <f>TEXT(D1022,"yyyy-mm")</f>
        <v/>
      </c>
      <c r="O1022" s="50">
        <f>G1022*J1022</f>
        <v/>
      </c>
      <c r="P1022" s="50">
        <f>(J1022-M1022)*G1022</f>
        <v/>
      </c>
      <c r="Q1022" s="51">
        <f>IF(K1022="Received",1,0)</f>
        <v/>
      </c>
      <c r="R1022" s="51">
        <f>IF(Q1022=1,F1022-D1022,0)</f>
        <v/>
      </c>
      <c r="S1022" s="51">
        <f>IF(Q1022=1,IF(F1022&lt;=E1022,1,0),0)</f>
        <v/>
      </c>
      <c r="T1022" s="51">
        <f>IF(Q1022=1,IF(H1022&gt;=G1022,1,0),0)</f>
        <v/>
      </c>
      <c r="U1022" s="51">
        <f>S1022*T1022</f>
        <v/>
      </c>
      <c r="V1022" s="51">
        <f>IF(Q1022=1,MAX(0,F1022-E1022),0)</f>
        <v/>
      </c>
    </row>
    <row r="1023">
      <c r="A1023" s="43" t="inlineStr">
        <is>
          <t>PO100012</t>
        </is>
      </c>
      <c r="B1023" s="43" t="inlineStr">
        <is>
          <t>CMD-0001</t>
        </is>
      </c>
      <c r="C1023" s="43" t="inlineStr">
        <is>
          <t>S07</t>
        </is>
      </c>
      <c r="D1023" s="47" t="n">
        <v>45940</v>
      </c>
      <c r="E1023" s="47" t="n">
        <v>46031</v>
      </c>
      <c r="F1023" s="47" t="n">
        <v>46031</v>
      </c>
      <c r="G1023" s="46" t="n">
        <v>8054</v>
      </c>
      <c r="H1023" s="46" t="n">
        <v>8054</v>
      </c>
      <c r="I1023" s="46" t="n">
        <v>70</v>
      </c>
      <c r="J1023" s="44" t="n">
        <v>16.8268</v>
      </c>
      <c r="K1023" s="43" t="inlineStr">
        <is>
          <t>Received</t>
        </is>
      </c>
      <c r="L1023" s="17">
        <f>INDEX(Items!$C$2:$C$117,MATCH(B1023,Items!$A$2:$A$117,0))</f>
        <v/>
      </c>
      <c r="M1023" s="49">
        <f>INDEX(Items!$E$2:$E$117,MATCH(B1023,Items!$A$2:$A$117,0))</f>
        <v/>
      </c>
      <c r="N1023" s="17">
        <f>TEXT(D1023,"yyyy-mm")</f>
        <v/>
      </c>
      <c r="O1023" s="50">
        <f>G1023*J1023</f>
        <v/>
      </c>
      <c r="P1023" s="50">
        <f>(J1023-M1023)*G1023</f>
        <v/>
      </c>
      <c r="Q1023" s="51">
        <f>IF(K1023="Received",1,0)</f>
        <v/>
      </c>
      <c r="R1023" s="51">
        <f>IF(Q1023=1,F1023-D1023,0)</f>
        <v/>
      </c>
      <c r="S1023" s="51">
        <f>IF(Q1023=1,IF(F1023&lt;=E1023,1,0),0)</f>
        <v/>
      </c>
      <c r="T1023" s="51">
        <f>IF(Q1023=1,IF(H1023&gt;=G1023,1,0),0)</f>
        <v/>
      </c>
      <c r="U1023" s="51">
        <f>S1023*T1023</f>
        <v/>
      </c>
      <c r="V1023" s="51">
        <f>IF(Q1023=1,MAX(0,F1023-E1023),0)</f>
        <v/>
      </c>
    </row>
    <row r="1024">
      <c r="A1024" s="43" t="inlineStr">
        <is>
          <t>PO100180</t>
        </is>
      </c>
      <c r="B1024" s="43" t="inlineStr">
        <is>
          <t>CMD-0008</t>
        </is>
      </c>
      <c r="C1024" s="43" t="inlineStr">
        <is>
          <t>S03</t>
        </is>
      </c>
      <c r="D1024" s="47" t="n">
        <v>45940</v>
      </c>
      <c r="E1024" s="47" t="n">
        <v>46073</v>
      </c>
      <c r="F1024" s="47" t="n">
        <v>46070</v>
      </c>
      <c r="G1024" s="46" t="n">
        <v>1333</v>
      </c>
      <c r="H1024" s="46" t="n">
        <v>1333</v>
      </c>
      <c r="I1024" s="46" t="n">
        <v>3</v>
      </c>
      <c r="J1024" s="44" t="n">
        <v>27.9188</v>
      </c>
      <c r="K1024" s="43" t="inlineStr">
        <is>
          <t>Received</t>
        </is>
      </c>
      <c r="L1024" s="17">
        <f>INDEX(Items!$C$2:$C$117,MATCH(B1024,Items!$A$2:$A$117,0))</f>
        <v/>
      </c>
      <c r="M1024" s="49">
        <f>INDEX(Items!$E$2:$E$117,MATCH(B1024,Items!$A$2:$A$117,0))</f>
        <v/>
      </c>
      <c r="N1024" s="17">
        <f>TEXT(D1024,"yyyy-mm")</f>
        <v/>
      </c>
      <c r="O1024" s="50">
        <f>G1024*J1024</f>
        <v/>
      </c>
      <c r="P1024" s="50">
        <f>(J1024-M1024)*G1024</f>
        <v/>
      </c>
      <c r="Q1024" s="51">
        <f>IF(K1024="Received",1,0)</f>
        <v/>
      </c>
      <c r="R1024" s="51">
        <f>IF(Q1024=1,F1024-D1024,0)</f>
        <v/>
      </c>
      <c r="S1024" s="51">
        <f>IF(Q1024=1,IF(F1024&lt;=E1024,1,0),0)</f>
        <v/>
      </c>
      <c r="T1024" s="51">
        <f>IF(Q1024=1,IF(H1024&gt;=G1024,1,0),0)</f>
        <v/>
      </c>
      <c r="U1024" s="51">
        <f>S1024*T1024</f>
        <v/>
      </c>
      <c r="V1024" s="51">
        <f>IF(Q1024=1,MAX(0,F1024-E1024),0)</f>
        <v/>
      </c>
    </row>
    <row r="1025">
      <c r="A1025" s="43" t="inlineStr">
        <is>
          <t>PO100442</t>
        </is>
      </c>
      <c r="B1025" s="43" t="inlineStr">
        <is>
          <t>CMD-0020</t>
        </is>
      </c>
      <c r="C1025" s="43" t="inlineStr">
        <is>
          <t>S04</t>
        </is>
      </c>
      <c r="D1025" s="47" t="n">
        <v>45940</v>
      </c>
      <c r="E1025" s="47" t="n">
        <v>46010</v>
      </c>
      <c r="F1025" s="47" t="n">
        <v>46009</v>
      </c>
      <c r="G1025" s="46" t="n">
        <v>3573</v>
      </c>
      <c r="H1025" s="46" t="n">
        <v>3573</v>
      </c>
      <c r="I1025" s="46" t="n">
        <v>45</v>
      </c>
      <c r="J1025" s="44" t="n">
        <v>5.03</v>
      </c>
      <c r="K1025" s="43" t="inlineStr">
        <is>
          <t>Received</t>
        </is>
      </c>
      <c r="L1025" s="17">
        <f>INDEX(Items!$C$2:$C$117,MATCH(B1025,Items!$A$2:$A$117,0))</f>
        <v/>
      </c>
      <c r="M1025" s="49">
        <f>INDEX(Items!$E$2:$E$117,MATCH(B1025,Items!$A$2:$A$117,0))</f>
        <v/>
      </c>
      <c r="N1025" s="17">
        <f>TEXT(D1025,"yyyy-mm")</f>
        <v/>
      </c>
      <c r="O1025" s="50">
        <f>G1025*J1025</f>
        <v/>
      </c>
      <c r="P1025" s="50">
        <f>(J1025-M1025)*G1025</f>
        <v/>
      </c>
      <c r="Q1025" s="51">
        <f>IF(K1025="Received",1,0)</f>
        <v/>
      </c>
      <c r="R1025" s="51">
        <f>IF(Q1025=1,F1025-D1025,0)</f>
        <v/>
      </c>
      <c r="S1025" s="51">
        <f>IF(Q1025=1,IF(F1025&lt;=E1025,1,0),0)</f>
        <v/>
      </c>
      <c r="T1025" s="51">
        <f>IF(Q1025=1,IF(H1025&gt;=G1025,1,0),0)</f>
        <v/>
      </c>
      <c r="U1025" s="51">
        <f>S1025*T1025</f>
        <v/>
      </c>
      <c r="V1025" s="51">
        <f>IF(Q1025=1,MAX(0,F1025-E1025),0)</f>
        <v/>
      </c>
    </row>
    <row r="1026">
      <c r="A1026" s="43" t="inlineStr">
        <is>
          <t>PO100734</t>
        </is>
      </c>
      <c r="B1026" s="43" t="inlineStr">
        <is>
          <t>CMD-0033</t>
        </is>
      </c>
      <c r="C1026" s="43" t="inlineStr">
        <is>
          <t>S07</t>
        </is>
      </c>
      <c r="D1026" s="47" t="n">
        <v>45940</v>
      </c>
      <c r="E1026" s="47" t="n">
        <v>45982</v>
      </c>
      <c r="F1026" s="47" t="n">
        <v>45981</v>
      </c>
      <c r="G1026" s="46" t="n">
        <v>3901</v>
      </c>
      <c r="H1026" s="46" t="n">
        <v>3901</v>
      </c>
      <c r="I1026" s="46" t="n">
        <v>34</v>
      </c>
      <c r="J1026" s="44" t="n">
        <v>58.36</v>
      </c>
      <c r="K1026" s="43" t="inlineStr">
        <is>
          <t>Received</t>
        </is>
      </c>
      <c r="L1026" s="17">
        <f>INDEX(Items!$C$2:$C$117,MATCH(B1026,Items!$A$2:$A$117,0))</f>
        <v/>
      </c>
      <c r="M1026" s="49">
        <f>INDEX(Items!$E$2:$E$117,MATCH(B1026,Items!$A$2:$A$117,0))</f>
        <v/>
      </c>
      <c r="N1026" s="17">
        <f>TEXT(D1026,"yyyy-mm")</f>
        <v/>
      </c>
      <c r="O1026" s="50">
        <f>G1026*J1026</f>
        <v/>
      </c>
      <c r="P1026" s="50">
        <f>(J1026-M1026)*G1026</f>
        <v/>
      </c>
      <c r="Q1026" s="51">
        <f>IF(K1026="Received",1,0)</f>
        <v/>
      </c>
      <c r="R1026" s="51">
        <f>IF(Q1026=1,F1026-D1026,0)</f>
        <v/>
      </c>
      <c r="S1026" s="51">
        <f>IF(Q1026=1,IF(F1026&lt;=E1026,1,0),0)</f>
        <v/>
      </c>
      <c r="T1026" s="51">
        <f>IF(Q1026=1,IF(H1026&gt;=G1026,1,0),0)</f>
        <v/>
      </c>
      <c r="U1026" s="51">
        <f>S1026*T1026</f>
        <v/>
      </c>
      <c r="V1026" s="51">
        <f>IF(Q1026=1,MAX(0,F1026-E1026),0)</f>
        <v/>
      </c>
    </row>
    <row r="1027">
      <c r="A1027" s="43" t="inlineStr">
        <is>
          <t>PO101702</t>
        </is>
      </c>
      <c r="B1027" s="43" t="inlineStr">
        <is>
          <t>CMD-0093</t>
        </is>
      </c>
      <c r="C1027" s="43" t="inlineStr">
        <is>
          <t>S08</t>
        </is>
      </c>
      <c r="D1027" s="47" t="n">
        <v>45940</v>
      </c>
      <c r="E1027" s="47" t="n">
        <v>46017</v>
      </c>
      <c r="F1027" s="47" t="n">
        <v>46015</v>
      </c>
      <c r="G1027" s="46" t="n">
        <v>623</v>
      </c>
      <c r="H1027" s="46" t="n">
        <v>623</v>
      </c>
      <c r="I1027" s="46" t="n">
        <v>5</v>
      </c>
      <c r="J1027" s="44" t="n">
        <v>59.41</v>
      </c>
      <c r="K1027" s="43" t="inlineStr">
        <is>
          <t>Received</t>
        </is>
      </c>
      <c r="L1027" s="17">
        <f>INDEX(Items!$C$2:$C$117,MATCH(B1027,Items!$A$2:$A$117,0))</f>
        <v/>
      </c>
      <c r="M1027" s="49">
        <f>INDEX(Items!$E$2:$E$117,MATCH(B1027,Items!$A$2:$A$117,0))</f>
        <v/>
      </c>
      <c r="N1027" s="17">
        <f>TEXT(D1027,"yyyy-mm")</f>
        <v/>
      </c>
      <c r="O1027" s="50">
        <f>G1027*J1027</f>
        <v/>
      </c>
      <c r="P1027" s="50">
        <f>(J1027-M1027)*G1027</f>
        <v/>
      </c>
      <c r="Q1027" s="51">
        <f>IF(K1027="Received",1,0)</f>
        <v/>
      </c>
      <c r="R1027" s="51">
        <f>IF(Q1027=1,F1027-D1027,0)</f>
        <v/>
      </c>
      <c r="S1027" s="51">
        <f>IF(Q1027=1,IF(F1027&lt;=E1027,1,0),0)</f>
        <v/>
      </c>
      <c r="T1027" s="51">
        <f>IF(Q1027=1,IF(H1027&gt;=G1027,1,0),0)</f>
        <v/>
      </c>
      <c r="U1027" s="51">
        <f>S1027*T1027</f>
        <v/>
      </c>
      <c r="V1027" s="51">
        <f>IF(Q1027=1,MAX(0,F1027-E1027),0)</f>
        <v/>
      </c>
    </row>
    <row r="1028">
      <c r="A1028" s="43" t="inlineStr">
        <is>
          <t>PO101408</t>
        </is>
      </c>
      <c r="B1028" s="43" t="inlineStr">
        <is>
          <t>CMD-0074</t>
        </is>
      </c>
      <c r="C1028" s="43" t="inlineStr">
        <is>
          <t>S10</t>
        </is>
      </c>
      <c r="D1028" s="47" t="n">
        <v>45941</v>
      </c>
      <c r="E1028" s="47" t="n">
        <v>45969</v>
      </c>
      <c r="F1028" s="47" t="n">
        <v>45967</v>
      </c>
      <c r="G1028" s="46" t="n">
        <v>61904</v>
      </c>
      <c r="H1028" s="46" t="n">
        <v>61904</v>
      </c>
      <c r="I1028" s="46" t="n">
        <v>79</v>
      </c>
      <c r="J1028" s="44" t="n">
        <v>0.3496</v>
      </c>
      <c r="K1028" s="43" t="inlineStr">
        <is>
          <t>Received</t>
        </is>
      </c>
      <c r="L1028" s="17">
        <f>INDEX(Items!$C$2:$C$117,MATCH(B1028,Items!$A$2:$A$117,0))</f>
        <v/>
      </c>
      <c r="M1028" s="49">
        <f>INDEX(Items!$E$2:$E$117,MATCH(B1028,Items!$A$2:$A$117,0))</f>
        <v/>
      </c>
      <c r="N1028" s="17">
        <f>TEXT(D1028,"yyyy-mm")</f>
        <v/>
      </c>
      <c r="O1028" s="50">
        <f>G1028*J1028</f>
        <v/>
      </c>
      <c r="P1028" s="50">
        <f>(J1028-M1028)*G1028</f>
        <v/>
      </c>
      <c r="Q1028" s="51">
        <f>IF(K1028="Received",1,0)</f>
        <v/>
      </c>
      <c r="R1028" s="51">
        <f>IF(Q1028=1,F1028-D1028,0)</f>
        <v/>
      </c>
      <c r="S1028" s="51">
        <f>IF(Q1028=1,IF(F1028&lt;=E1028,1,0),0)</f>
        <v/>
      </c>
      <c r="T1028" s="51">
        <f>IF(Q1028=1,IF(H1028&gt;=G1028,1,0),0)</f>
        <v/>
      </c>
      <c r="U1028" s="51">
        <f>S1028*T1028</f>
        <v/>
      </c>
      <c r="V1028" s="51">
        <f>IF(Q1028=1,MAX(0,F1028-E1028),0)</f>
        <v/>
      </c>
    </row>
    <row r="1029">
      <c r="A1029" s="43" t="inlineStr">
        <is>
          <t>PO101468</t>
        </is>
      </c>
      <c r="B1029" s="43" t="inlineStr">
        <is>
          <t>CMD-0078</t>
        </is>
      </c>
      <c r="C1029" s="43" t="inlineStr">
        <is>
          <t>S06</t>
        </is>
      </c>
      <c r="D1029" s="47" t="n">
        <v>45941</v>
      </c>
      <c r="E1029" s="47" t="n">
        <v>45962</v>
      </c>
      <c r="F1029" s="47" t="n">
        <v>45962</v>
      </c>
      <c r="G1029" s="46" t="n">
        <v>5415</v>
      </c>
      <c r="H1029" s="46" t="n">
        <v>5415</v>
      </c>
      <c r="I1029" s="46" t="n">
        <v>36</v>
      </c>
      <c r="J1029" s="44" t="n">
        <v>2.6</v>
      </c>
      <c r="K1029" s="43" t="inlineStr">
        <is>
          <t>Received</t>
        </is>
      </c>
      <c r="L1029" s="17">
        <f>INDEX(Items!$C$2:$C$117,MATCH(B1029,Items!$A$2:$A$117,0))</f>
        <v/>
      </c>
      <c r="M1029" s="49">
        <f>INDEX(Items!$E$2:$E$117,MATCH(B1029,Items!$A$2:$A$117,0))</f>
        <v/>
      </c>
      <c r="N1029" s="17">
        <f>TEXT(D1029,"yyyy-mm")</f>
        <v/>
      </c>
      <c r="O1029" s="50">
        <f>G1029*J1029</f>
        <v/>
      </c>
      <c r="P1029" s="50">
        <f>(J1029-M1029)*G1029</f>
        <v/>
      </c>
      <c r="Q1029" s="51">
        <f>IF(K1029="Received",1,0)</f>
        <v/>
      </c>
      <c r="R1029" s="51">
        <f>IF(Q1029=1,F1029-D1029,0)</f>
        <v/>
      </c>
      <c r="S1029" s="51">
        <f>IF(Q1029=1,IF(F1029&lt;=E1029,1,0),0)</f>
        <v/>
      </c>
      <c r="T1029" s="51">
        <f>IF(Q1029=1,IF(H1029&gt;=G1029,1,0),0)</f>
        <v/>
      </c>
      <c r="U1029" s="51">
        <f>S1029*T1029</f>
        <v/>
      </c>
      <c r="V1029" s="51">
        <f>IF(Q1029=1,MAX(0,F1029-E1029),0)</f>
        <v/>
      </c>
    </row>
    <row r="1030">
      <c r="A1030" s="43" t="inlineStr">
        <is>
          <t>PO100376</t>
        </is>
      </c>
      <c r="B1030" s="43" t="inlineStr">
        <is>
          <t>CMD-0017</t>
        </is>
      </c>
      <c r="C1030" s="43" t="inlineStr">
        <is>
          <t>S11</t>
        </is>
      </c>
      <c r="D1030" s="47" t="n">
        <v>45941</v>
      </c>
      <c r="E1030" s="47" t="n">
        <v>46018</v>
      </c>
      <c r="F1030" s="47" t="n">
        <v>46015</v>
      </c>
      <c r="G1030" s="46" t="n">
        <v>8206</v>
      </c>
      <c r="H1030" s="46" t="n">
        <v>8206</v>
      </c>
      <c r="I1030" s="46" t="n">
        <v>15</v>
      </c>
      <c r="J1030" s="44" t="n">
        <v>12.69</v>
      </c>
      <c r="K1030" s="43" t="inlineStr">
        <is>
          <t>Received</t>
        </is>
      </c>
      <c r="L1030" s="17">
        <f>INDEX(Items!$C$2:$C$117,MATCH(B1030,Items!$A$2:$A$117,0))</f>
        <v/>
      </c>
      <c r="M1030" s="49">
        <f>INDEX(Items!$E$2:$E$117,MATCH(B1030,Items!$A$2:$A$117,0))</f>
        <v/>
      </c>
      <c r="N1030" s="17">
        <f>TEXT(D1030,"yyyy-mm")</f>
        <v/>
      </c>
      <c r="O1030" s="50">
        <f>G1030*J1030</f>
        <v/>
      </c>
      <c r="P1030" s="50">
        <f>(J1030-M1030)*G1030</f>
        <v/>
      </c>
      <c r="Q1030" s="51">
        <f>IF(K1030="Received",1,0)</f>
        <v/>
      </c>
      <c r="R1030" s="51">
        <f>IF(Q1030=1,F1030-D1030,0)</f>
        <v/>
      </c>
      <c r="S1030" s="51">
        <f>IF(Q1030=1,IF(F1030&lt;=E1030,1,0),0)</f>
        <v/>
      </c>
      <c r="T1030" s="51">
        <f>IF(Q1030=1,IF(H1030&gt;=G1030,1,0),0)</f>
        <v/>
      </c>
      <c r="U1030" s="51">
        <f>S1030*T1030</f>
        <v/>
      </c>
      <c r="V1030" s="51">
        <f>IF(Q1030=1,MAX(0,F1030-E1030),0)</f>
        <v/>
      </c>
    </row>
    <row r="1031">
      <c r="A1031" s="43" t="inlineStr">
        <is>
          <t>PO101194</t>
        </is>
      </c>
      <c r="B1031" s="43" t="inlineStr">
        <is>
          <t>CMD-0055</t>
        </is>
      </c>
      <c r="C1031" s="43" t="inlineStr">
        <is>
          <t>S04</t>
        </is>
      </c>
      <c r="D1031" s="47" t="n">
        <v>45941</v>
      </c>
      <c r="E1031" s="47" t="n">
        <v>45976</v>
      </c>
      <c r="F1031" s="47" t="n">
        <v>45973</v>
      </c>
      <c r="G1031" s="46" t="n">
        <v>105917</v>
      </c>
      <c r="H1031" s="46" t="n">
        <v>105917</v>
      </c>
      <c r="I1031" s="46" t="n">
        <v>989</v>
      </c>
      <c r="J1031" s="44" t="n">
        <v>0.09379999999999999</v>
      </c>
      <c r="K1031" s="43" t="inlineStr">
        <is>
          <t>Received</t>
        </is>
      </c>
      <c r="L1031" s="17">
        <f>INDEX(Items!$C$2:$C$117,MATCH(B1031,Items!$A$2:$A$117,0))</f>
        <v/>
      </c>
      <c r="M1031" s="49">
        <f>INDEX(Items!$E$2:$E$117,MATCH(B1031,Items!$A$2:$A$117,0))</f>
        <v/>
      </c>
      <c r="N1031" s="17">
        <f>TEXT(D1031,"yyyy-mm")</f>
        <v/>
      </c>
      <c r="O1031" s="50">
        <f>G1031*J1031</f>
        <v/>
      </c>
      <c r="P1031" s="50">
        <f>(J1031-M1031)*G1031</f>
        <v/>
      </c>
      <c r="Q1031" s="51">
        <f>IF(K1031="Received",1,0)</f>
        <v/>
      </c>
      <c r="R1031" s="51">
        <f>IF(Q1031=1,F1031-D1031,0)</f>
        <v/>
      </c>
      <c r="S1031" s="51">
        <f>IF(Q1031=1,IF(F1031&lt;=E1031,1,0),0)</f>
        <v/>
      </c>
      <c r="T1031" s="51">
        <f>IF(Q1031=1,IF(H1031&gt;=G1031,1,0),0)</f>
        <v/>
      </c>
      <c r="U1031" s="51">
        <f>S1031*T1031</f>
        <v/>
      </c>
      <c r="V1031" s="51">
        <f>IF(Q1031=1,MAX(0,F1031-E1031),0)</f>
        <v/>
      </c>
    </row>
    <row r="1032">
      <c r="A1032" s="43" t="inlineStr">
        <is>
          <t>PO100604</t>
        </is>
      </c>
      <c r="B1032" s="43" t="inlineStr">
        <is>
          <t>CMD-0027</t>
        </is>
      </c>
      <c r="C1032" s="43" t="inlineStr">
        <is>
          <t>S04</t>
        </is>
      </c>
      <c r="D1032" s="47" t="n">
        <v>45941</v>
      </c>
      <c r="E1032" s="47" t="n">
        <v>46011</v>
      </c>
      <c r="F1032" s="47" t="n">
        <v>46010</v>
      </c>
      <c r="G1032" s="46" t="n">
        <v>7666</v>
      </c>
      <c r="H1032" s="46" t="n">
        <v>7666</v>
      </c>
      <c r="I1032" s="46" t="n">
        <v>77</v>
      </c>
      <c r="J1032" s="44" t="n">
        <v>8.85</v>
      </c>
      <c r="K1032" s="43" t="inlineStr">
        <is>
          <t>Received</t>
        </is>
      </c>
      <c r="L1032" s="17">
        <f>INDEX(Items!$C$2:$C$117,MATCH(B1032,Items!$A$2:$A$117,0))</f>
        <v/>
      </c>
      <c r="M1032" s="49">
        <f>INDEX(Items!$E$2:$E$117,MATCH(B1032,Items!$A$2:$A$117,0))</f>
        <v/>
      </c>
      <c r="N1032" s="17">
        <f>TEXT(D1032,"yyyy-mm")</f>
        <v/>
      </c>
      <c r="O1032" s="50">
        <f>G1032*J1032</f>
        <v/>
      </c>
      <c r="P1032" s="50">
        <f>(J1032-M1032)*G1032</f>
        <v/>
      </c>
      <c r="Q1032" s="51">
        <f>IF(K1032="Received",1,0)</f>
        <v/>
      </c>
      <c r="R1032" s="51">
        <f>IF(Q1032=1,F1032-D1032,0)</f>
        <v/>
      </c>
      <c r="S1032" s="51">
        <f>IF(Q1032=1,IF(F1032&lt;=E1032,1,0),0)</f>
        <v/>
      </c>
      <c r="T1032" s="51">
        <f>IF(Q1032=1,IF(H1032&gt;=G1032,1,0),0)</f>
        <v/>
      </c>
      <c r="U1032" s="51">
        <f>S1032*T1032</f>
        <v/>
      </c>
      <c r="V1032" s="51">
        <f>IF(Q1032=1,MAX(0,F1032-E1032),0)</f>
        <v/>
      </c>
    </row>
    <row r="1033">
      <c r="A1033" s="43" t="inlineStr">
        <is>
          <t>PO100854</t>
        </is>
      </c>
      <c r="B1033" s="43" t="inlineStr">
        <is>
          <t>CMD-0038</t>
        </is>
      </c>
      <c r="C1033" s="43" t="inlineStr">
        <is>
          <t>S01</t>
        </is>
      </c>
      <c r="D1033" s="47" t="n">
        <v>45941</v>
      </c>
      <c r="E1033" s="47" t="n">
        <v>45969</v>
      </c>
      <c r="F1033" s="47" t="n">
        <v>45967</v>
      </c>
      <c r="G1033" s="46" t="n">
        <v>1006</v>
      </c>
      <c r="H1033" s="46" t="n">
        <v>1006</v>
      </c>
      <c r="I1033" s="46" t="n">
        <v>6</v>
      </c>
      <c r="J1033" s="44" t="n">
        <v>21.49</v>
      </c>
      <c r="K1033" s="43" t="inlineStr">
        <is>
          <t>Received</t>
        </is>
      </c>
      <c r="L1033" s="17">
        <f>INDEX(Items!$C$2:$C$117,MATCH(B1033,Items!$A$2:$A$117,0))</f>
        <v/>
      </c>
      <c r="M1033" s="49">
        <f>INDEX(Items!$E$2:$E$117,MATCH(B1033,Items!$A$2:$A$117,0))</f>
        <v/>
      </c>
      <c r="N1033" s="17">
        <f>TEXT(D1033,"yyyy-mm")</f>
        <v/>
      </c>
      <c r="O1033" s="50">
        <f>G1033*J1033</f>
        <v/>
      </c>
      <c r="P1033" s="50">
        <f>(J1033-M1033)*G1033</f>
        <v/>
      </c>
      <c r="Q1033" s="51">
        <f>IF(K1033="Received",1,0)</f>
        <v/>
      </c>
      <c r="R1033" s="51">
        <f>IF(Q1033=1,F1033-D1033,0)</f>
        <v/>
      </c>
      <c r="S1033" s="51">
        <f>IF(Q1033=1,IF(F1033&lt;=E1033,1,0),0)</f>
        <v/>
      </c>
      <c r="T1033" s="51">
        <f>IF(Q1033=1,IF(H1033&gt;=G1033,1,0),0)</f>
        <v/>
      </c>
      <c r="U1033" s="51">
        <f>S1033*T1033</f>
        <v/>
      </c>
      <c r="V1033" s="51">
        <f>IF(Q1033=1,MAX(0,F1033-E1033),0)</f>
        <v/>
      </c>
    </row>
    <row r="1034">
      <c r="A1034" s="43" t="inlineStr">
        <is>
          <t>PO100156</t>
        </is>
      </c>
      <c r="B1034" s="43" t="inlineStr">
        <is>
          <t>CMD-0007</t>
        </is>
      </c>
      <c r="C1034" s="43" t="inlineStr">
        <is>
          <t>S03</t>
        </is>
      </c>
      <c r="D1034" s="47" t="n">
        <v>45941</v>
      </c>
      <c r="E1034" s="47" t="n">
        <v>46074</v>
      </c>
      <c r="F1034" s="47" t="n">
        <v>46100</v>
      </c>
      <c r="G1034" s="46" t="n">
        <v>4459</v>
      </c>
      <c r="H1034" s="46" t="n">
        <v>4459</v>
      </c>
      <c r="I1034" s="46" t="n">
        <v>25</v>
      </c>
      <c r="J1034" s="44" t="n">
        <v>22.8802</v>
      </c>
      <c r="K1034" s="43" t="inlineStr">
        <is>
          <t>Received</t>
        </is>
      </c>
      <c r="L1034" s="17">
        <f>INDEX(Items!$C$2:$C$117,MATCH(B1034,Items!$A$2:$A$117,0))</f>
        <v/>
      </c>
      <c r="M1034" s="49">
        <f>INDEX(Items!$E$2:$E$117,MATCH(B1034,Items!$A$2:$A$117,0))</f>
        <v/>
      </c>
      <c r="N1034" s="17">
        <f>TEXT(D1034,"yyyy-mm")</f>
        <v/>
      </c>
      <c r="O1034" s="50">
        <f>G1034*J1034</f>
        <v/>
      </c>
      <c r="P1034" s="50">
        <f>(J1034-M1034)*G1034</f>
        <v/>
      </c>
      <c r="Q1034" s="51">
        <f>IF(K1034="Received",1,0)</f>
        <v/>
      </c>
      <c r="R1034" s="51">
        <f>IF(Q1034=1,F1034-D1034,0)</f>
        <v/>
      </c>
      <c r="S1034" s="51">
        <f>IF(Q1034=1,IF(F1034&lt;=E1034,1,0),0)</f>
        <v/>
      </c>
      <c r="T1034" s="51">
        <f>IF(Q1034=1,IF(H1034&gt;=G1034,1,0),0)</f>
        <v/>
      </c>
      <c r="U1034" s="51">
        <f>S1034*T1034</f>
        <v/>
      </c>
      <c r="V1034" s="51">
        <f>IF(Q1034=1,MAX(0,F1034-E1034),0)</f>
        <v/>
      </c>
    </row>
    <row r="1035">
      <c r="A1035" s="43" t="inlineStr">
        <is>
          <t>PO100252</t>
        </is>
      </c>
      <c r="B1035" s="43" t="inlineStr">
        <is>
          <t>CMD-0011</t>
        </is>
      </c>
      <c r="C1035" s="43" t="inlineStr">
        <is>
          <t>S07</t>
        </is>
      </c>
      <c r="D1035" s="47" t="n">
        <v>45941</v>
      </c>
      <c r="E1035" s="47" t="n">
        <v>46032</v>
      </c>
      <c r="F1035" s="47" t="n">
        <v>46032</v>
      </c>
      <c r="G1035" s="46" t="n">
        <v>3819</v>
      </c>
      <c r="H1035" s="46" t="n">
        <v>3819</v>
      </c>
      <c r="I1035" s="46" t="n">
        <v>33</v>
      </c>
      <c r="J1035" s="44" t="n">
        <v>9.5344</v>
      </c>
      <c r="K1035" s="43" t="inlineStr">
        <is>
          <t>Received</t>
        </is>
      </c>
      <c r="L1035" s="17">
        <f>INDEX(Items!$C$2:$C$117,MATCH(B1035,Items!$A$2:$A$117,0))</f>
        <v/>
      </c>
      <c r="M1035" s="49">
        <f>INDEX(Items!$E$2:$E$117,MATCH(B1035,Items!$A$2:$A$117,0))</f>
        <v/>
      </c>
      <c r="N1035" s="17">
        <f>TEXT(D1035,"yyyy-mm")</f>
        <v/>
      </c>
      <c r="O1035" s="50">
        <f>G1035*J1035</f>
        <v/>
      </c>
      <c r="P1035" s="50">
        <f>(J1035-M1035)*G1035</f>
        <v/>
      </c>
      <c r="Q1035" s="51">
        <f>IF(K1035="Received",1,0)</f>
        <v/>
      </c>
      <c r="R1035" s="51">
        <f>IF(Q1035=1,F1035-D1035,0)</f>
        <v/>
      </c>
      <c r="S1035" s="51">
        <f>IF(Q1035=1,IF(F1035&lt;=E1035,1,0),0)</f>
        <v/>
      </c>
      <c r="T1035" s="51">
        <f>IF(Q1035=1,IF(H1035&gt;=G1035,1,0),0)</f>
        <v/>
      </c>
      <c r="U1035" s="51">
        <f>S1035*T1035</f>
        <v/>
      </c>
      <c r="V1035" s="51">
        <f>IF(Q1035=1,MAX(0,F1035-E1035),0)</f>
        <v/>
      </c>
    </row>
    <row r="1036">
      <c r="A1036" s="43" t="inlineStr">
        <is>
          <t>PO101132</t>
        </is>
      </c>
      <c r="B1036" s="43" t="inlineStr">
        <is>
          <t>CMD-0052</t>
        </is>
      </c>
      <c r="C1036" s="43" t="inlineStr">
        <is>
          <t>S01</t>
        </is>
      </c>
      <c r="D1036" s="47" t="n">
        <v>45941</v>
      </c>
      <c r="E1036" s="47" t="n">
        <v>45962</v>
      </c>
      <c r="F1036" s="47" t="n">
        <v>45962</v>
      </c>
      <c r="G1036" s="46" t="n">
        <v>132625</v>
      </c>
      <c r="H1036" s="46" t="n">
        <v>132625</v>
      </c>
      <c r="I1036" s="46" t="n">
        <v>276</v>
      </c>
      <c r="J1036" s="44" t="n">
        <v>0.2016</v>
      </c>
      <c r="K1036" s="43" t="inlineStr">
        <is>
          <t>Received</t>
        </is>
      </c>
      <c r="L1036" s="17">
        <f>INDEX(Items!$C$2:$C$117,MATCH(B1036,Items!$A$2:$A$117,0))</f>
        <v/>
      </c>
      <c r="M1036" s="49">
        <f>INDEX(Items!$E$2:$E$117,MATCH(B1036,Items!$A$2:$A$117,0))</f>
        <v/>
      </c>
      <c r="N1036" s="17">
        <f>TEXT(D1036,"yyyy-mm")</f>
        <v/>
      </c>
      <c r="O1036" s="50">
        <f>G1036*J1036</f>
        <v/>
      </c>
      <c r="P1036" s="50">
        <f>(J1036-M1036)*G1036</f>
        <v/>
      </c>
      <c r="Q1036" s="51">
        <f>IF(K1036="Received",1,0)</f>
        <v/>
      </c>
      <c r="R1036" s="51">
        <f>IF(Q1036=1,F1036-D1036,0)</f>
        <v/>
      </c>
      <c r="S1036" s="51">
        <f>IF(Q1036=1,IF(F1036&lt;=E1036,1,0),0)</f>
        <v/>
      </c>
      <c r="T1036" s="51">
        <f>IF(Q1036=1,IF(H1036&gt;=G1036,1,0),0)</f>
        <v/>
      </c>
      <c r="U1036" s="51">
        <f>S1036*T1036</f>
        <v/>
      </c>
      <c r="V1036" s="51">
        <f>IF(Q1036=1,MAX(0,F1036-E1036),0)</f>
        <v/>
      </c>
    </row>
    <row r="1037">
      <c r="A1037" s="43" t="inlineStr">
        <is>
          <t>PO100922</t>
        </is>
      </c>
      <c r="B1037" s="43" t="inlineStr">
        <is>
          <t>CMD-0042</t>
        </is>
      </c>
      <c r="C1037" s="43" t="inlineStr">
        <is>
          <t>S05</t>
        </is>
      </c>
      <c r="D1037" s="47" t="n">
        <v>45941</v>
      </c>
      <c r="E1037" s="47" t="n">
        <v>46046</v>
      </c>
      <c r="F1037" s="47" t="n">
        <v>46049</v>
      </c>
      <c r="G1037" s="46" t="n">
        <v>573</v>
      </c>
      <c r="H1037" s="46" t="n">
        <v>367</v>
      </c>
      <c r="I1037" s="46" t="n">
        <v>2</v>
      </c>
      <c r="J1037" s="44" t="n">
        <v>8.91</v>
      </c>
      <c r="K1037" s="43" t="inlineStr">
        <is>
          <t>Received</t>
        </is>
      </c>
      <c r="L1037" s="17">
        <f>INDEX(Items!$C$2:$C$117,MATCH(B1037,Items!$A$2:$A$117,0))</f>
        <v/>
      </c>
      <c r="M1037" s="49">
        <f>INDEX(Items!$E$2:$E$117,MATCH(B1037,Items!$A$2:$A$117,0))</f>
        <v/>
      </c>
      <c r="N1037" s="17">
        <f>TEXT(D1037,"yyyy-mm")</f>
        <v/>
      </c>
      <c r="O1037" s="50">
        <f>G1037*J1037</f>
        <v/>
      </c>
      <c r="P1037" s="50">
        <f>(J1037-M1037)*G1037</f>
        <v/>
      </c>
      <c r="Q1037" s="51">
        <f>IF(K1037="Received",1,0)</f>
        <v/>
      </c>
      <c r="R1037" s="51">
        <f>IF(Q1037=1,F1037-D1037,0)</f>
        <v/>
      </c>
      <c r="S1037" s="51">
        <f>IF(Q1037=1,IF(F1037&lt;=E1037,1,0),0)</f>
        <v/>
      </c>
      <c r="T1037" s="51">
        <f>IF(Q1037=1,IF(H1037&gt;=G1037,1,0),0)</f>
        <v/>
      </c>
      <c r="U1037" s="51">
        <f>S1037*T1037</f>
        <v/>
      </c>
      <c r="V1037" s="51">
        <f>IF(Q1037=1,MAX(0,F1037-E1037),0)</f>
        <v/>
      </c>
    </row>
    <row r="1038">
      <c r="A1038" s="43" t="inlineStr">
        <is>
          <t>PO101576</t>
        </is>
      </c>
      <c r="B1038" s="43" t="inlineStr">
        <is>
          <t>CMD-0085</t>
        </is>
      </c>
      <c r="C1038" s="43" t="inlineStr">
        <is>
          <t>S06</t>
        </is>
      </c>
      <c r="D1038" s="47" t="n">
        <v>45941</v>
      </c>
      <c r="E1038" s="47" t="n">
        <v>45962</v>
      </c>
      <c r="F1038" s="47" t="n">
        <v>45961</v>
      </c>
      <c r="G1038" s="46" t="n">
        <v>957</v>
      </c>
      <c r="H1038" s="46" t="n">
        <v>957</v>
      </c>
      <c r="I1038" s="46" t="n">
        <v>4</v>
      </c>
      <c r="J1038" s="44" t="n">
        <v>10.56</v>
      </c>
      <c r="K1038" s="43" t="inlineStr">
        <is>
          <t>Received</t>
        </is>
      </c>
      <c r="L1038" s="17">
        <f>INDEX(Items!$C$2:$C$117,MATCH(B1038,Items!$A$2:$A$117,0))</f>
        <v/>
      </c>
      <c r="M1038" s="49">
        <f>INDEX(Items!$E$2:$E$117,MATCH(B1038,Items!$A$2:$A$117,0))</f>
        <v/>
      </c>
      <c r="N1038" s="17">
        <f>TEXT(D1038,"yyyy-mm")</f>
        <v/>
      </c>
      <c r="O1038" s="50">
        <f>G1038*J1038</f>
        <v/>
      </c>
      <c r="P1038" s="50">
        <f>(J1038-M1038)*G1038</f>
        <v/>
      </c>
      <c r="Q1038" s="51">
        <f>IF(K1038="Received",1,0)</f>
        <v/>
      </c>
      <c r="R1038" s="51">
        <f>IF(Q1038=1,F1038-D1038,0)</f>
        <v/>
      </c>
      <c r="S1038" s="51">
        <f>IF(Q1038=1,IF(F1038&lt;=E1038,1,0),0)</f>
        <v/>
      </c>
      <c r="T1038" s="51">
        <f>IF(Q1038=1,IF(H1038&gt;=G1038,1,0),0)</f>
        <v/>
      </c>
      <c r="U1038" s="51">
        <f>S1038*T1038</f>
        <v/>
      </c>
      <c r="V1038" s="51">
        <f>IF(Q1038=1,MAX(0,F1038-E1038),0)</f>
        <v/>
      </c>
    </row>
    <row r="1039">
      <c r="A1039" s="43" t="inlineStr">
        <is>
          <t>PO101492</t>
        </is>
      </c>
      <c r="B1039" s="43" t="inlineStr">
        <is>
          <t>CMD-0079</t>
        </is>
      </c>
      <c r="C1039" s="43" t="inlineStr">
        <is>
          <t>S06</t>
        </is>
      </c>
      <c r="D1039" s="47" t="n">
        <v>45941</v>
      </c>
      <c r="E1039" s="47" t="n">
        <v>45962</v>
      </c>
      <c r="F1039" s="47" t="n">
        <v>45959</v>
      </c>
      <c r="G1039" s="46" t="n">
        <v>2360</v>
      </c>
      <c r="H1039" s="46" t="n">
        <v>2360</v>
      </c>
      <c r="I1039" s="46" t="n">
        <v>10</v>
      </c>
      <c r="J1039" s="44" t="n">
        <v>3.53</v>
      </c>
      <c r="K1039" s="43" t="inlineStr">
        <is>
          <t>Received</t>
        </is>
      </c>
      <c r="L1039" s="17">
        <f>INDEX(Items!$C$2:$C$117,MATCH(B1039,Items!$A$2:$A$117,0))</f>
        <v/>
      </c>
      <c r="M1039" s="49">
        <f>INDEX(Items!$E$2:$E$117,MATCH(B1039,Items!$A$2:$A$117,0))</f>
        <v/>
      </c>
      <c r="N1039" s="17">
        <f>TEXT(D1039,"yyyy-mm")</f>
        <v/>
      </c>
      <c r="O1039" s="50">
        <f>G1039*J1039</f>
        <v/>
      </c>
      <c r="P1039" s="50">
        <f>(J1039-M1039)*G1039</f>
        <v/>
      </c>
      <c r="Q1039" s="51">
        <f>IF(K1039="Received",1,0)</f>
        <v/>
      </c>
      <c r="R1039" s="51">
        <f>IF(Q1039=1,F1039-D1039,0)</f>
        <v/>
      </c>
      <c r="S1039" s="51">
        <f>IF(Q1039=1,IF(F1039&lt;=E1039,1,0),0)</f>
        <v/>
      </c>
      <c r="T1039" s="51">
        <f>IF(Q1039=1,IF(H1039&gt;=G1039,1,0),0)</f>
        <v/>
      </c>
      <c r="U1039" s="51">
        <f>S1039*T1039</f>
        <v/>
      </c>
      <c r="V1039" s="51">
        <f>IF(Q1039=1,MAX(0,F1039-E1039),0)</f>
        <v/>
      </c>
    </row>
    <row r="1040">
      <c r="A1040" s="43" t="inlineStr">
        <is>
          <t>PO100084</t>
        </is>
      </c>
      <c r="B1040" s="43" t="inlineStr">
        <is>
          <t>CMD-0004</t>
        </is>
      </c>
      <c r="C1040" s="43" t="inlineStr">
        <is>
          <t>S07</t>
        </is>
      </c>
      <c r="D1040" s="47" t="n">
        <v>45942</v>
      </c>
      <c r="E1040" s="47" t="n">
        <v>46033</v>
      </c>
      <c r="F1040" s="47" t="n">
        <v>46058</v>
      </c>
      <c r="G1040" s="46" t="n">
        <v>3274</v>
      </c>
      <c r="H1040" s="46" t="n">
        <v>3274</v>
      </c>
      <c r="I1040" s="46" t="n">
        <v>30</v>
      </c>
      <c r="J1040" s="44" t="n">
        <v>4.779</v>
      </c>
      <c r="K1040" s="43" t="inlineStr">
        <is>
          <t>Received</t>
        </is>
      </c>
      <c r="L1040" s="17">
        <f>INDEX(Items!$C$2:$C$117,MATCH(B1040,Items!$A$2:$A$117,0))</f>
        <v/>
      </c>
      <c r="M1040" s="49">
        <f>INDEX(Items!$E$2:$E$117,MATCH(B1040,Items!$A$2:$A$117,0))</f>
        <v/>
      </c>
      <c r="N1040" s="17">
        <f>TEXT(D1040,"yyyy-mm")</f>
        <v/>
      </c>
      <c r="O1040" s="50">
        <f>G1040*J1040</f>
        <v/>
      </c>
      <c r="P1040" s="50">
        <f>(J1040-M1040)*G1040</f>
        <v/>
      </c>
      <c r="Q1040" s="51">
        <f>IF(K1040="Received",1,0)</f>
        <v/>
      </c>
      <c r="R1040" s="51">
        <f>IF(Q1040=1,F1040-D1040,0)</f>
        <v/>
      </c>
      <c r="S1040" s="51">
        <f>IF(Q1040=1,IF(F1040&lt;=E1040,1,0),0)</f>
        <v/>
      </c>
      <c r="T1040" s="51">
        <f>IF(Q1040=1,IF(H1040&gt;=G1040,1,0),0)</f>
        <v/>
      </c>
      <c r="U1040" s="51">
        <f>S1040*T1040</f>
        <v/>
      </c>
      <c r="V1040" s="51">
        <f>IF(Q1040=1,MAX(0,F1040-E1040),0)</f>
        <v/>
      </c>
    </row>
    <row r="1041">
      <c r="A1041" s="43" t="inlineStr">
        <is>
          <t>PO100758</t>
        </is>
      </c>
      <c r="B1041" s="43" t="inlineStr">
        <is>
          <t>CMD-0034</t>
        </is>
      </c>
      <c r="C1041" s="43" t="inlineStr">
        <is>
          <t>S04</t>
        </is>
      </c>
      <c r="D1041" s="47" t="n">
        <v>45942</v>
      </c>
      <c r="E1041" s="47" t="n">
        <v>45984</v>
      </c>
      <c r="F1041" s="47" t="n">
        <v>45981</v>
      </c>
      <c r="G1041" s="46" t="n">
        <v>736</v>
      </c>
      <c r="H1041" s="46" t="n">
        <v>736</v>
      </c>
      <c r="I1041" s="46" t="n">
        <v>12</v>
      </c>
      <c r="J1041" s="44" t="n">
        <v>10.55</v>
      </c>
      <c r="K1041" s="43" t="inlineStr">
        <is>
          <t>Received</t>
        </is>
      </c>
      <c r="L1041" s="17">
        <f>INDEX(Items!$C$2:$C$117,MATCH(B1041,Items!$A$2:$A$117,0))</f>
        <v/>
      </c>
      <c r="M1041" s="49">
        <f>INDEX(Items!$E$2:$E$117,MATCH(B1041,Items!$A$2:$A$117,0))</f>
        <v/>
      </c>
      <c r="N1041" s="17">
        <f>TEXT(D1041,"yyyy-mm")</f>
        <v/>
      </c>
      <c r="O1041" s="50">
        <f>G1041*J1041</f>
        <v/>
      </c>
      <c r="P1041" s="50">
        <f>(J1041-M1041)*G1041</f>
        <v/>
      </c>
      <c r="Q1041" s="51">
        <f>IF(K1041="Received",1,0)</f>
        <v/>
      </c>
      <c r="R1041" s="51">
        <f>IF(Q1041=1,F1041-D1041,0)</f>
        <v/>
      </c>
      <c r="S1041" s="51">
        <f>IF(Q1041=1,IF(F1041&lt;=E1041,1,0),0)</f>
        <v/>
      </c>
      <c r="T1041" s="51">
        <f>IF(Q1041=1,IF(H1041&gt;=G1041,1,0),0)</f>
        <v/>
      </c>
      <c r="U1041" s="51">
        <f>S1041*T1041</f>
        <v/>
      </c>
      <c r="V1041" s="51">
        <f>IF(Q1041=1,MAX(0,F1041-E1041),0)</f>
        <v/>
      </c>
    </row>
    <row r="1042">
      <c r="A1042" s="43" t="inlineStr">
        <is>
          <t>PO100970</t>
        </is>
      </c>
      <c r="B1042" s="43" t="inlineStr">
        <is>
          <t>CMD-0044</t>
        </is>
      </c>
      <c r="C1042" s="43" t="inlineStr">
        <is>
          <t>S05</t>
        </is>
      </c>
      <c r="D1042" s="47" t="n">
        <v>45942</v>
      </c>
      <c r="E1042" s="47" t="n">
        <v>46047</v>
      </c>
      <c r="F1042" s="47" t="n">
        <v>46057</v>
      </c>
      <c r="G1042" s="46" t="n">
        <v>7163</v>
      </c>
      <c r="H1042" s="46" t="n">
        <v>7163</v>
      </c>
      <c r="I1042" s="46" t="n">
        <v>118</v>
      </c>
      <c r="J1042" s="44" t="n">
        <v>11.57</v>
      </c>
      <c r="K1042" s="43" t="inlineStr">
        <is>
          <t>Received</t>
        </is>
      </c>
      <c r="L1042" s="17">
        <f>INDEX(Items!$C$2:$C$117,MATCH(B1042,Items!$A$2:$A$117,0))</f>
        <v/>
      </c>
      <c r="M1042" s="49">
        <f>INDEX(Items!$E$2:$E$117,MATCH(B1042,Items!$A$2:$A$117,0))</f>
        <v/>
      </c>
      <c r="N1042" s="17">
        <f>TEXT(D1042,"yyyy-mm")</f>
        <v/>
      </c>
      <c r="O1042" s="50">
        <f>G1042*J1042</f>
        <v/>
      </c>
      <c r="P1042" s="50">
        <f>(J1042-M1042)*G1042</f>
        <v/>
      </c>
      <c r="Q1042" s="51">
        <f>IF(K1042="Received",1,0)</f>
        <v/>
      </c>
      <c r="R1042" s="51">
        <f>IF(Q1042=1,F1042-D1042,0)</f>
        <v/>
      </c>
      <c r="S1042" s="51">
        <f>IF(Q1042=1,IF(F1042&lt;=E1042,1,0),0)</f>
        <v/>
      </c>
      <c r="T1042" s="51">
        <f>IF(Q1042=1,IF(H1042&gt;=G1042,1,0),0)</f>
        <v/>
      </c>
      <c r="U1042" s="51">
        <f>S1042*T1042</f>
        <v/>
      </c>
      <c r="V1042" s="51">
        <f>IF(Q1042=1,MAX(0,F1042-E1042),0)</f>
        <v/>
      </c>
    </row>
    <row r="1043">
      <c r="A1043" s="43" t="inlineStr">
        <is>
          <t>PO100532</t>
        </is>
      </c>
      <c r="B1043" s="43" t="inlineStr">
        <is>
          <t>CMD-0024</t>
        </is>
      </c>
      <c r="C1043" s="43" t="inlineStr">
        <is>
          <t>S04</t>
        </is>
      </c>
      <c r="D1043" s="47" t="n">
        <v>45942</v>
      </c>
      <c r="E1043" s="47" t="n">
        <v>46012</v>
      </c>
      <c r="F1043" s="47" t="n">
        <v>46012</v>
      </c>
      <c r="G1043" s="46" t="n">
        <v>4797</v>
      </c>
      <c r="H1043" s="46" t="n">
        <v>4797</v>
      </c>
      <c r="I1043" s="46" t="n">
        <v>42</v>
      </c>
      <c r="J1043" s="44" t="n">
        <v>3.31</v>
      </c>
      <c r="K1043" s="43" t="inlineStr">
        <is>
          <t>Received</t>
        </is>
      </c>
      <c r="L1043" s="17">
        <f>INDEX(Items!$C$2:$C$117,MATCH(B1043,Items!$A$2:$A$117,0))</f>
        <v/>
      </c>
      <c r="M1043" s="49">
        <f>INDEX(Items!$E$2:$E$117,MATCH(B1043,Items!$A$2:$A$117,0))</f>
        <v/>
      </c>
      <c r="N1043" s="17">
        <f>TEXT(D1043,"yyyy-mm")</f>
        <v/>
      </c>
      <c r="O1043" s="50">
        <f>G1043*J1043</f>
        <v/>
      </c>
      <c r="P1043" s="50">
        <f>(J1043-M1043)*G1043</f>
        <v/>
      </c>
      <c r="Q1043" s="51">
        <f>IF(K1043="Received",1,0)</f>
        <v/>
      </c>
      <c r="R1043" s="51">
        <f>IF(Q1043=1,F1043-D1043,0)</f>
        <v/>
      </c>
      <c r="S1043" s="51">
        <f>IF(Q1043=1,IF(F1043&lt;=E1043,1,0),0)</f>
        <v/>
      </c>
      <c r="T1043" s="51">
        <f>IF(Q1043=1,IF(H1043&gt;=G1043,1,0),0)</f>
        <v/>
      </c>
      <c r="U1043" s="51">
        <f>S1043*T1043</f>
        <v/>
      </c>
      <c r="V1043" s="51">
        <f>IF(Q1043=1,MAX(0,F1043-E1043),0)</f>
        <v/>
      </c>
    </row>
    <row r="1044">
      <c r="A1044" s="43" t="inlineStr">
        <is>
          <t>PO100878</t>
        </is>
      </c>
      <c r="B1044" s="43" t="inlineStr">
        <is>
          <t>CMD-0039</t>
        </is>
      </c>
      <c r="C1044" s="43" t="inlineStr">
        <is>
          <t>S07</t>
        </is>
      </c>
      <c r="D1044" s="47" t="n">
        <v>45942</v>
      </c>
      <c r="E1044" s="47" t="n">
        <v>45984</v>
      </c>
      <c r="F1044" s="47" t="n">
        <v>45981</v>
      </c>
      <c r="G1044" s="46" t="n">
        <v>335</v>
      </c>
      <c r="H1044" s="46" t="n">
        <v>335</v>
      </c>
      <c r="I1044" s="46" t="n">
        <v>2</v>
      </c>
      <c r="J1044" s="44" t="n">
        <v>51.99</v>
      </c>
      <c r="K1044" s="43" t="inlineStr">
        <is>
          <t>Received</t>
        </is>
      </c>
      <c r="L1044" s="17">
        <f>INDEX(Items!$C$2:$C$117,MATCH(B1044,Items!$A$2:$A$117,0))</f>
        <v/>
      </c>
      <c r="M1044" s="49">
        <f>INDEX(Items!$E$2:$E$117,MATCH(B1044,Items!$A$2:$A$117,0))</f>
        <v/>
      </c>
      <c r="N1044" s="17">
        <f>TEXT(D1044,"yyyy-mm")</f>
        <v/>
      </c>
      <c r="O1044" s="50">
        <f>G1044*J1044</f>
        <v/>
      </c>
      <c r="P1044" s="50">
        <f>(J1044-M1044)*G1044</f>
        <v/>
      </c>
      <c r="Q1044" s="51">
        <f>IF(K1044="Received",1,0)</f>
        <v/>
      </c>
      <c r="R1044" s="51">
        <f>IF(Q1044=1,F1044-D1044,0)</f>
        <v/>
      </c>
      <c r="S1044" s="51">
        <f>IF(Q1044=1,IF(F1044&lt;=E1044,1,0),0)</f>
        <v/>
      </c>
      <c r="T1044" s="51">
        <f>IF(Q1044=1,IF(H1044&gt;=G1044,1,0),0)</f>
        <v/>
      </c>
      <c r="U1044" s="51">
        <f>S1044*T1044</f>
        <v/>
      </c>
      <c r="V1044" s="51">
        <f>IF(Q1044=1,MAX(0,F1044-E1044),0)</f>
        <v/>
      </c>
    </row>
    <row r="1045">
      <c r="A1045" s="43" t="inlineStr">
        <is>
          <t>PO101750</t>
        </is>
      </c>
      <c r="B1045" s="43" t="inlineStr">
        <is>
          <t>CMD-0095</t>
        </is>
      </c>
      <c r="C1045" s="43" t="inlineStr">
        <is>
          <t>S08</t>
        </is>
      </c>
      <c r="D1045" s="47" t="n">
        <v>45942</v>
      </c>
      <c r="E1045" s="47" t="n">
        <v>46019</v>
      </c>
      <c r="F1045" s="47" t="n">
        <v>46043</v>
      </c>
      <c r="G1045" s="46" t="n">
        <v>285</v>
      </c>
      <c r="H1045" s="46" t="n">
        <v>285</v>
      </c>
      <c r="I1045" s="46" t="n">
        <v>4</v>
      </c>
      <c r="J1045" s="44" t="n">
        <v>91.83</v>
      </c>
      <c r="K1045" s="43" t="inlineStr">
        <is>
          <t>Received</t>
        </is>
      </c>
      <c r="L1045" s="17">
        <f>INDEX(Items!$C$2:$C$117,MATCH(B1045,Items!$A$2:$A$117,0))</f>
        <v/>
      </c>
      <c r="M1045" s="49">
        <f>INDEX(Items!$E$2:$E$117,MATCH(B1045,Items!$A$2:$A$117,0))</f>
        <v/>
      </c>
      <c r="N1045" s="17">
        <f>TEXT(D1045,"yyyy-mm")</f>
        <v/>
      </c>
      <c r="O1045" s="50">
        <f>G1045*J1045</f>
        <v/>
      </c>
      <c r="P1045" s="50">
        <f>(J1045-M1045)*G1045</f>
        <v/>
      </c>
      <c r="Q1045" s="51">
        <f>IF(K1045="Received",1,0)</f>
        <v/>
      </c>
      <c r="R1045" s="51">
        <f>IF(Q1045=1,F1045-D1045,0)</f>
        <v/>
      </c>
      <c r="S1045" s="51">
        <f>IF(Q1045=1,IF(F1045&lt;=E1045,1,0),0)</f>
        <v/>
      </c>
      <c r="T1045" s="51">
        <f>IF(Q1045=1,IF(H1045&gt;=G1045,1,0),0)</f>
        <v/>
      </c>
      <c r="U1045" s="51">
        <f>S1045*T1045</f>
        <v/>
      </c>
      <c r="V1045" s="51">
        <f>IF(Q1045=1,MAX(0,F1045-E1045),0)</f>
        <v/>
      </c>
    </row>
    <row r="1046">
      <c r="A1046" s="43" t="inlineStr">
        <is>
          <t>PO101041</t>
        </is>
      </c>
      <c r="B1046" s="43" t="inlineStr">
        <is>
          <t>CMD-0047</t>
        </is>
      </c>
      <c r="C1046" s="43" t="inlineStr">
        <is>
          <t>S04</t>
        </is>
      </c>
      <c r="D1046" s="47" t="n">
        <v>45943</v>
      </c>
      <c r="E1046" s="47" t="n">
        <v>45978</v>
      </c>
      <c r="F1046" s="47" t="n">
        <v>45976</v>
      </c>
      <c r="G1046" s="46" t="n">
        <v>17411</v>
      </c>
      <c r="H1046" s="46" t="n">
        <v>17411</v>
      </c>
      <c r="I1046" s="46" t="n">
        <v>189</v>
      </c>
      <c r="J1046" s="44" t="n">
        <v>0.296</v>
      </c>
      <c r="K1046" s="43" t="inlineStr">
        <is>
          <t>Received</t>
        </is>
      </c>
      <c r="L1046" s="17">
        <f>INDEX(Items!$C$2:$C$117,MATCH(B1046,Items!$A$2:$A$117,0))</f>
        <v/>
      </c>
      <c r="M1046" s="49">
        <f>INDEX(Items!$E$2:$E$117,MATCH(B1046,Items!$A$2:$A$117,0))</f>
        <v/>
      </c>
      <c r="N1046" s="17">
        <f>TEXT(D1046,"yyyy-mm")</f>
        <v/>
      </c>
      <c r="O1046" s="50">
        <f>G1046*J1046</f>
        <v/>
      </c>
      <c r="P1046" s="50">
        <f>(J1046-M1046)*G1046</f>
        <v/>
      </c>
      <c r="Q1046" s="51">
        <f>IF(K1046="Received",1,0)</f>
        <v/>
      </c>
      <c r="R1046" s="51">
        <f>IF(Q1046=1,F1046-D1046,0)</f>
        <v/>
      </c>
      <c r="S1046" s="51">
        <f>IF(Q1046=1,IF(F1046&lt;=E1046,1,0),0)</f>
        <v/>
      </c>
      <c r="T1046" s="51">
        <f>IF(Q1046=1,IF(H1046&gt;=G1046,1,0),0)</f>
        <v/>
      </c>
      <c r="U1046" s="51">
        <f>S1046*T1046</f>
        <v/>
      </c>
      <c r="V1046" s="51">
        <f>IF(Q1046=1,MAX(0,F1046-E1046),0)</f>
        <v/>
      </c>
    </row>
    <row r="1047">
      <c r="A1047" s="43" t="inlineStr">
        <is>
          <t>PO100652</t>
        </is>
      </c>
      <c r="B1047" s="43" t="inlineStr">
        <is>
          <t>CMD-0029</t>
        </is>
      </c>
      <c r="C1047" s="43" t="inlineStr">
        <is>
          <t>S11</t>
        </is>
      </c>
      <c r="D1047" s="47" t="n">
        <v>45943</v>
      </c>
      <c r="E1047" s="47" t="n">
        <v>46020</v>
      </c>
      <c r="F1047" s="47" t="n">
        <v>46044</v>
      </c>
      <c r="G1047" s="46" t="n">
        <v>4504</v>
      </c>
      <c r="H1047" s="46" t="n">
        <v>4504</v>
      </c>
      <c r="I1047" s="46" t="n">
        <v>12</v>
      </c>
      <c r="J1047" s="44" t="n">
        <v>6.87</v>
      </c>
      <c r="K1047" s="43" t="inlineStr">
        <is>
          <t>Received</t>
        </is>
      </c>
      <c r="L1047" s="17">
        <f>INDEX(Items!$C$2:$C$117,MATCH(B1047,Items!$A$2:$A$117,0))</f>
        <v/>
      </c>
      <c r="M1047" s="49">
        <f>INDEX(Items!$E$2:$E$117,MATCH(B1047,Items!$A$2:$A$117,0))</f>
        <v/>
      </c>
      <c r="N1047" s="17">
        <f>TEXT(D1047,"yyyy-mm")</f>
        <v/>
      </c>
      <c r="O1047" s="50">
        <f>G1047*J1047</f>
        <v/>
      </c>
      <c r="P1047" s="50">
        <f>(J1047-M1047)*G1047</f>
        <v/>
      </c>
      <c r="Q1047" s="51">
        <f>IF(K1047="Received",1,0)</f>
        <v/>
      </c>
      <c r="R1047" s="51">
        <f>IF(Q1047=1,F1047-D1047,0)</f>
        <v/>
      </c>
      <c r="S1047" s="51">
        <f>IF(Q1047=1,IF(F1047&lt;=E1047,1,0),0)</f>
        <v/>
      </c>
      <c r="T1047" s="51">
        <f>IF(Q1047=1,IF(H1047&gt;=G1047,1,0),0)</f>
        <v/>
      </c>
      <c r="U1047" s="51">
        <f>S1047*T1047</f>
        <v/>
      </c>
      <c r="V1047" s="51">
        <f>IF(Q1047=1,MAX(0,F1047-E1047),0)</f>
        <v/>
      </c>
    </row>
    <row r="1048">
      <c r="A1048" s="43" t="inlineStr">
        <is>
          <t>PO100228</t>
        </is>
      </c>
      <c r="B1048" s="43" t="inlineStr">
        <is>
          <t>CMD-0010</t>
        </is>
      </c>
      <c r="C1048" s="43" t="inlineStr">
        <is>
          <t>S03</t>
        </is>
      </c>
      <c r="D1048" s="47" t="n">
        <v>45943</v>
      </c>
      <c r="E1048" s="47" t="n">
        <v>46076</v>
      </c>
      <c r="F1048" s="47" t="n">
        <v>46075</v>
      </c>
      <c r="G1048" s="46" t="n">
        <v>4535</v>
      </c>
      <c r="H1048" s="46" t="n">
        <v>4535</v>
      </c>
      <c r="I1048" s="46" t="n">
        <v>33</v>
      </c>
      <c r="J1048" s="44" t="n">
        <v>5.4634</v>
      </c>
      <c r="K1048" s="43" t="inlineStr">
        <is>
          <t>Received</t>
        </is>
      </c>
      <c r="L1048" s="17">
        <f>INDEX(Items!$C$2:$C$117,MATCH(B1048,Items!$A$2:$A$117,0))</f>
        <v/>
      </c>
      <c r="M1048" s="49">
        <f>INDEX(Items!$E$2:$E$117,MATCH(B1048,Items!$A$2:$A$117,0))</f>
        <v/>
      </c>
      <c r="N1048" s="17">
        <f>TEXT(D1048,"yyyy-mm")</f>
        <v/>
      </c>
      <c r="O1048" s="50">
        <f>G1048*J1048</f>
        <v/>
      </c>
      <c r="P1048" s="50">
        <f>(J1048-M1048)*G1048</f>
        <v/>
      </c>
      <c r="Q1048" s="51">
        <f>IF(K1048="Received",1,0)</f>
        <v/>
      </c>
      <c r="R1048" s="51">
        <f>IF(Q1048=1,F1048-D1048,0)</f>
        <v/>
      </c>
      <c r="S1048" s="51">
        <f>IF(Q1048=1,IF(F1048&lt;=E1048,1,0),0)</f>
        <v/>
      </c>
      <c r="T1048" s="51">
        <f>IF(Q1048=1,IF(H1048&gt;=G1048,1,0),0)</f>
        <v/>
      </c>
      <c r="U1048" s="51">
        <f>S1048*T1048</f>
        <v/>
      </c>
      <c r="V1048" s="51">
        <f>IF(Q1048=1,MAX(0,F1048-E1048),0)</f>
        <v/>
      </c>
    </row>
    <row r="1049">
      <c r="A1049" s="43" t="inlineStr">
        <is>
          <t>PO101444</t>
        </is>
      </c>
      <c r="B1049" s="43" t="inlineStr">
        <is>
          <t>CMD-0077</t>
        </is>
      </c>
      <c r="C1049" s="43" t="inlineStr">
        <is>
          <t>S01</t>
        </is>
      </c>
      <c r="D1049" s="47" t="n">
        <v>45943</v>
      </c>
      <c r="E1049" s="47" t="n">
        <v>45957</v>
      </c>
      <c r="F1049" s="47" t="n">
        <v>45957</v>
      </c>
      <c r="G1049" s="46" t="n">
        <v>4266</v>
      </c>
      <c r="H1049" s="46" t="n">
        <v>4266</v>
      </c>
      <c r="I1049" s="46" t="n">
        <v>7</v>
      </c>
      <c r="J1049" s="44" t="n">
        <v>8.75</v>
      </c>
      <c r="K1049" s="43" t="inlineStr">
        <is>
          <t>Received</t>
        </is>
      </c>
      <c r="L1049" s="17">
        <f>INDEX(Items!$C$2:$C$117,MATCH(B1049,Items!$A$2:$A$117,0))</f>
        <v/>
      </c>
      <c r="M1049" s="49">
        <f>INDEX(Items!$E$2:$E$117,MATCH(B1049,Items!$A$2:$A$117,0))</f>
        <v/>
      </c>
      <c r="N1049" s="17">
        <f>TEXT(D1049,"yyyy-mm")</f>
        <v/>
      </c>
      <c r="O1049" s="50">
        <f>G1049*J1049</f>
        <v/>
      </c>
      <c r="P1049" s="50">
        <f>(J1049-M1049)*G1049</f>
        <v/>
      </c>
      <c r="Q1049" s="51">
        <f>IF(K1049="Received",1,0)</f>
        <v/>
      </c>
      <c r="R1049" s="51">
        <f>IF(Q1049=1,F1049-D1049,0)</f>
        <v/>
      </c>
      <c r="S1049" s="51">
        <f>IF(Q1049=1,IF(F1049&lt;=E1049,1,0),0)</f>
        <v/>
      </c>
      <c r="T1049" s="51">
        <f>IF(Q1049=1,IF(H1049&gt;=G1049,1,0),0)</f>
        <v/>
      </c>
      <c r="U1049" s="51">
        <f>S1049*T1049</f>
        <v/>
      </c>
      <c r="V1049" s="51">
        <f>IF(Q1049=1,MAX(0,F1049-E1049),0)</f>
        <v/>
      </c>
    </row>
    <row r="1050">
      <c r="A1050" s="43" t="inlineStr">
        <is>
          <t>PO101170</t>
        </is>
      </c>
      <c r="B1050" s="43" t="inlineStr">
        <is>
          <t>CMD-0054</t>
        </is>
      </c>
      <c r="C1050" s="43" t="inlineStr">
        <is>
          <t>S10</t>
        </is>
      </c>
      <c r="D1050" s="47" t="n">
        <v>45943</v>
      </c>
      <c r="E1050" s="47" t="n">
        <v>45971</v>
      </c>
      <c r="F1050" s="47" t="n">
        <v>45982</v>
      </c>
      <c r="G1050" s="46" t="n">
        <v>51677</v>
      </c>
      <c r="H1050" s="46" t="n">
        <v>51677</v>
      </c>
      <c r="I1050" s="46" t="n">
        <v>62</v>
      </c>
      <c r="J1050" s="44" t="n">
        <v>0.1687</v>
      </c>
      <c r="K1050" s="43" t="inlineStr">
        <is>
          <t>Received</t>
        </is>
      </c>
      <c r="L1050" s="17">
        <f>INDEX(Items!$C$2:$C$117,MATCH(B1050,Items!$A$2:$A$117,0))</f>
        <v/>
      </c>
      <c r="M1050" s="49">
        <f>INDEX(Items!$E$2:$E$117,MATCH(B1050,Items!$A$2:$A$117,0))</f>
        <v/>
      </c>
      <c r="N1050" s="17">
        <f>TEXT(D1050,"yyyy-mm")</f>
        <v/>
      </c>
      <c r="O1050" s="50">
        <f>G1050*J1050</f>
        <v/>
      </c>
      <c r="P1050" s="50">
        <f>(J1050-M1050)*G1050</f>
        <v/>
      </c>
      <c r="Q1050" s="51">
        <f>IF(K1050="Received",1,0)</f>
        <v/>
      </c>
      <c r="R1050" s="51">
        <f>IF(Q1050=1,F1050-D1050,0)</f>
        <v/>
      </c>
      <c r="S1050" s="51">
        <f>IF(Q1050=1,IF(F1050&lt;=E1050,1,0),0)</f>
        <v/>
      </c>
      <c r="T1050" s="51">
        <f>IF(Q1050=1,IF(H1050&gt;=G1050,1,0),0)</f>
        <v/>
      </c>
      <c r="U1050" s="51">
        <f>S1050*T1050</f>
        <v/>
      </c>
      <c r="V1050" s="51">
        <f>IF(Q1050=1,MAX(0,F1050-E1050),0)</f>
        <v/>
      </c>
    </row>
    <row r="1051">
      <c r="A1051" s="43" t="inlineStr">
        <is>
          <t>PO101288</t>
        </is>
      </c>
      <c r="B1051" s="43" t="inlineStr">
        <is>
          <t>CMD-0062</t>
        </is>
      </c>
      <c r="C1051" s="43" t="inlineStr">
        <is>
          <t>S01</t>
        </is>
      </c>
      <c r="D1051" s="47" t="n">
        <v>45943</v>
      </c>
      <c r="E1051" s="47" t="n">
        <v>45964</v>
      </c>
      <c r="F1051" s="47" t="n">
        <v>45963</v>
      </c>
      <c r="G1051" s="46" t="n">
        <v>71230</v>
      </c>
      <c r="H1051" s="46" t="n">
        <v>71230</v>
      </c>
      <c r="I1051" s="46" t="n">
        <v>136</v>
      </c>
      <c r="J1051" s="44" t="n">
        <v>0.1139</v>
      </c>
      <c r="K1051" s="43" t="inlineStr">
        <is>
          <t>Received</t>
        </is>
      </c>
      <c r="L1051" s="17">
        <f>INDEX(Items!$C$2:$C$117,MATCH(B1051,Items!$A$2:$A$117,0))</f>
        <v/>
      </c>
      <c r="M1051" s="49">
        <f>INDEX(Items!$E$2:$E$117,MATCH(B1051,Items!$A$2:$A$117,0))</f>
        <v/>
      </c>
      <c r="N1051" s="17">
        <f>TEXT(D1051,"yyyy-mm")</f>
        <v/>
      </c>
      <c r="O1051" s="50">
        <f>G1051*J1051</f>
        <v/>
      </c>
      <c r="P1051" s="50">
        <f>(J1051-M1051)*G1051</f>
        <v/>
      </c>
      <c r="Q1051" s="51">
        <f>IF(K1051="Received",1,0)</f>
        <v/>
      </c>
      <c r="R1051" s="51">
        <f>IF(Q1051=1,F1051-D1051,0)</f>
        <v/>
      </c>
      <c r="S1051" s="51">
        <f>IF(Q1051=1,IF(F1051&lt;=E1051,1,0),0)</f>
        <v/>
      </c>
      <c r="T1051" s="51">
        <f>IF(Q1051=1,IF(H1051&gt;=G1051,1,0),0)</f>
        <v/>
      </c>
      <c r="U1051" s="51">
        <f>S1051*T1051</f>
        <v/>
      </c>
      <c r="V1051" s="51">
        <f>IF(Q1051=1,MAX(0,F1051-E1051),0)</f>
        <v/>
      </c>
    </row>
    <row r="1052">
      <c r="A1052" s="43" t="inlineStr">
        <is>
          <t>PO101678</t>
        </is>
      </c>
      <c r="B1052" s="43" t="inlineStr">
        <is>
          <t>CMD-0092</t>
        </is>
      </c>
      <c r="C1052" s="43" t="inlineStr">
        <is>
          <t>S08</t>
        </is>
      </c>
      <c r="D1052" s="47" t="n">
        <v>45943</v>
      </c>
      <c r="E1052" s="47" t="n">
        <v>46020</v>
      </c>
      <c r="F1052" s="47" t="n">
        <v>46017</v>
      </c>
      <c r="G1052" s="46" t="n">
        <v>324</v>
      </c>
      <c r="H1052" s="46" t="n">
        <v>324</v>
      </c>
      <c r="I1052" s="46" t="n">
        <v>1</v>
      </c>
      <c r="J1052" s="44" t="n">
        <v>29.47</v>
      </c>
      <c r="K1052" s="43" t="inlineStr">
        <is>
          <t>Received</t>
        </is>
      </c>
      <c r="L1052" s="17">
        <f>INDEX(Items!$C$2:$C$117,MATCH(B1052,Items!$A$2:$A$117,0))</f>
        <v/>
      </c>
      <c r="M1052" s="49">
        <f>INDEX(Items!$E$2:$E$117,MATCH(B1052,Items!$A$2:$A$117,0))</f>
        <v/>
      </c>
      <c r="N1052" s="17">
        <f>TEXT(D1052,"yyyy-mm")</f>
        <v/>
      </c>
      <c r="O1052" s="50">
        <f>G1052*J1052</f>
        <v/>
      </c>
      <c r="P1052" s="50">
        <f>(J1052-M1052)*G1052</f>
        <v/>
      </c>
      <c r="Q1052" s="51">
        <f>IF(K1052="Received",1,0)</f>
        <v/>
      </c>
      <c r="R1052" s="51">
        <f>IF(Q1052=1,F1052-D1052,0)</f>
        <v/>
      </c>
      <c r="S1052" s="51">
        <f>IF(Q1052=1,IF(F1052&lt;=E1052,1,0),0)</f>
        <v/>
      </c>
      <c r="T1052" s="51">
        <f>IF(Q1052=1,IF(H1052&gt;=G1052,1,0),0)</f>
        <v/>
      </c>
      <c r="U1052" s="51">
        <f>S1052*T1052</f>
        <v/>
      </c>
      <c r="V1052" s="51">
        <f>IF(Q1052=1,MAX(0,F1052-E1052),0)</f>
        <v/>
      </c>
    </row>
    <row r="1053">
      <c r="A1053" s="43" t="inlineStr">
        <is>
          <t>PO100946</t>
        </is>
      </c>
      <c r="B1053" s="43" t="inlineStr">
        <is>
          <t>CMD-0043</t>
        </is>
      </c>
      <c r="C1053" s="43" t="inlineStr">
        <is>
          <t>S05</t>
        </is>
      </c>
      <c r="D1053" s="47" t="n">
        <v>45943</v>
      </c>
      <c r="E1053" s="47" t="n">
        <v>46048</v>
      </c>
      <c r="F1053" s="47" t="n">
        <v>46048</v>
      </c>
      <c r="G1053" s="46" t="n">
        <v>6728</v>
      </c>
      <c r="H1053" s="46" t="n">
        <v>6728</v>
      </c>
      <c r="I1053" s="46" t="n">
        <v>120</v>
      </c>
      <c r="J1053" s="44" t="n">
        <v>3.69</v>
      </c>
      <c r="K1053" s="43" t="inlineStr">
        <is>
          <t>Received</t>
        </is>
      </c>
      <c r="L1053" s="17">
        <f>INDEX(Items!$C$2:$C$117,MATCH(B1053,Items!$A$2:$A$117,0))</f>
        <v/>
      </c>
      <c r="M1053" s="49">
        <f>INDEX(Items!$E$2:$E$117,MATCH(B1053,Items!$A$2:$A$117,0))</f>
        <v/>
      </c>
      <c r="N1053" s="17">
        <f>TEXT(D1053,"yyyy-mm")</f>
        <v/>
      </c>
      <c r="O1053" s="50">
        <f>G1053*J1053</f>
        <v/>
      </c>
      <c r="P1053" s="50">
        <f>(J1053-M1053)*G1053</f>
        <v/>
      </c>
      <c r="Q1053" s="51">
        <f>IF(K1053="Received",1,0)</f>
        <v/>
      </c>
      <c r="R1053" s="51">
        <f>IF(Q1053=1,F1053-D1053,0)</f>
        <v/>
      </c>
      <c r="S1053" s="51">
        <f>IF(Q1053=1,IF(F1053&lt;=E1053,1,0),0)</f>
        <v/>
      </c>
      <c r="T1053" s="51">
        <f>IF(Q1053=1,IF(H1053&gt;=G1053,1,0),0)</f>
        <v/>
      </c>
      <c r="U1053" s="51">
        <f>S1053*T1053</f>
        <v/>
      </c>
      <c r="V1053" s="51">
        <f>IF(Q1053=1,MAX(0,F1053-E1053),0)</f>
        <v/>
      </c>
    </row>
    <row r="1054">
      <c r="A1054" s="43" t="inlineStr">
        <is>
          <t>PO100484</t>
        </is>
      </c>
      <c r="B1054" s="43" t="inlineStr">
        <is>
          <t>CMD-0022</t>
        </is>
      </c>
      <c r="C1054" s="43" t="inlineStr">
        <is>
          <t>S02</t>
        </is>
      </c>
      <c r="D1054" s="47" t="n">
        <v>45943</v>
      </c>
      <c r="E1054" s="47" t="n">
        <v>45999</v>
      </c>
      <c r="F1054" s="47" t="n">
        <v>45997</v>
      </c>
      <c r="G1054" s="46" t="n">
        <v>3433</v>
      </c>
      <c r="H1054" s="46" t="n">
        <v>3433</v>
      </c>
      <c r="I1054" s="46" t="n">
        <v>8</v>
      </c>
      <c r="J1054" s="44" t="n">
        <v>17.18</v>
      </c>
      <c r="K1054" s="43" t="inlineStr">
        <is>
          <t>Received</t>
        </is>
      </c>
      <c r="L1054" s="17">
        <f>INDEX(Items!$C$2:$C$117,MATCH(B1054,Items!$A$2:$A$117,0))</f>
        <v/>
      </c>
      <c r="M1054" s="49">
        <f>INDEX(Items!$E$2:$E$117,MATCH(B1054,Items!$A$2:$A$117,0))</f>
        <v/>
      </c>
      <c r="N1054" s="17">
        <f>TEXT(D1054,"yyyy-mm")</f>
        <v/>
      </c>
      <c r="O1054" s="50">
        <f>G1054*J1054</f>
        <v/>
      </c>
      <c r="P1054" s="50">
        <f>(J1054-M1054)*G1054</f>
        <v/>
      </c>
      <c r="Q1054" s="51">
        <f>IF(K1054="Received",1,0)</f>
        <v/>
      </c>
      <c r="R1054" s="51">
        <f>IF(Q1054=1,F1054-D1054,0)</f>
        <v/>
      </c>
      <c r="S1054" s="51">
        <f>IF(Q1054=1,IF(F1054&lt;=E1054,1,0),0)</f>
        <v/>
      </c>
      <c r="T1054" s="51">
        <f>IF(Q1054=1,IF(H1054&gt;=G1054,1,0),0)</f>
        <v/>
      </c>
      <c r="U1054" s="51">
        <f>S1054*T1054</f>
        <v/>
      </c>
      <c r="V1054" s="51">
        <f>IF(Q1054=1,MAX(0,F1054-E1054),0)</f>
        <v/>
      </c>
    </row>
    <row r="1055">
      <c r="A1055" s="43" t="inlineStr">
        <is>
          <t>PO101544</t>
        </is>
      </c>
      <c r="B1055" s="43" t="inlineStr">
        <is>
          <t>CMD-0082</t>
        </is>
      </c>
      <c r="C1055" s="43" t="inlineStr">
        <is>
          <t>S01</t>
        </is>
      </c>
      <c r="D1055" s="47" t="n">
        <v>45943</v>
      </c>
      <c r="E1055" s="47" t="n">
        <v>45957</v>
      </c>
      <c r="F1055" s="47" t="n">
        <v>45955</v>
      </c>
      <c r="G1055" s="46" t="n">
        <v>5806</v>
      </c>
      <c r="H1055" s="46" t="n">
        <v>5806</v>
      </c>
      <c r="I1055" s="46" t="n">
        <v>13</v>
      </c>
      <c r="J1055" s="44" t="n">
        <v>2.32</v>
      </c>
      <c r="K1055" s="43" t="inlineStr">
        <is>
          <t>Received</t>
        </is>
      </c>
      <c r="L1055" s="17">
        <f>INDEX(Items!$C$2:$C$117,MATCH(B1055,Items!$A$2:$A$117,0))</f>
        <v/>
      </c>
      <c r="M1055" s="49">
        <f>INDEX(Items!$E$2:$E$117,MATCH(B1055,Items!$A$2:$A$117,0))</f>
        <v/>
      </c>
      <c r="N1055" s="17">
        <f>TEXT(D1055,"yyyy-mm")</f>
        <v/>
      </c>
      <c r="O1055" s="50">
        <f>G1055*J1055</f>
        <v/>
      </c>
      <c r="P1055" s="50">
        <f>(J1055-M1055)*G1055</f>
        <v/>
      </c>
      <c r="Q1055" s="51">
        <f>IF(K1055="Received",1,0)</f>
        <v/>
      </c>
      <c r="R1055" s="51">
        <f>IF(Q1055=1,F1055-D1055,0)</f>
        <v/>
      </c>
      <c r="S1055" s="51">
        <f>IF(Q1055=1,IF(F1055&lt;=E1055,1,0),0)</f>
        <v/>
      </c>
      <c r="T1055" s="51">
        <f>IF(Q1055=1,IF(H1055&gt;=G1055,1,0),0)</f>
        <v/>
      </c>
      <c r="U1055" s="51">
        <f>S1055*T1055</f>
        <v/>
      </c>
      <c r="V1055" s="51">
        <f>IF(Q1055=1,MAX(0,F1055-E1055),0)</f>
        <v/>
      </c>
    </row>
    <row r="1056">
      <c r="A1056" s="43" t="inlineStr">
        <is>
          <t>PO101320</t>
        </is>
      </c>
      <c r="B1056" s="43" t="inlineStr">
        <is>
          <t>CMD-0065</t>
        </is>
      </c>
      <c r="C1056" s="43" t="inlineStr">
        <is>
          <t>S10</t>
        </is>
      </c>
      <c r="D1056" s="47" t="n">
        <v>45943</v>
      </c>
      <c r="E1056" s="47" t="n">
        <v>45971</v>
      </c>
      <c r="F1056" s="47" t="n">
        <v>45969</v>
      </c>
      <c r="G1056" s="46" t="n">
        <v>105104</v>
      </c>
      <c r="H1056" s="46" t="n">
        <v>105104</v>
      </c>
      <c r="I1056" s="46" t="n">
        <v>97</v>
      </c>
      <c r="J1056" s="44" t="n">
        <v>0.1155</v>
      </c>
      <c r="K1056" s="43" t="inlineStr">
        <is>
          <t>Received</t>
        </is>
      </c>
      <c r="L1056" s="17">
        <f>INDEX(Items!$C$2:$C$117,MATCH(B1056,Items!$A$2:$A$117,0))</f>
        <v/>
      </c>
      <c r="M1056" s="49">
        <f>INDEX(Items!$E$2:$E$117,MATCH(B1056,Items!$A$2:$A$117,0))</f>
        <v/>
      </c>
      <c r="N1056" s="17">
        <f>TEXT(D1056,"yyyy-mm")</f>
        <v/>
      </c>
      <c r="O1056" s="50">
        <f>G1056*J1056</f>
        <v/>
      </c>
      <c r="P1056" s="50">
        <f>(J1056-M1056)*G1056</f>
        <v/>
      </c>
      <c r="Q1056" s="51">
        <f>IF(K1056="Received",1,0)</f>
        <v/>
      </c>
      <c r="R1056" s="51">
        <f>IF(Q1056=1,F1056-D1056,0)</f>
        <v/>
      </c>
      <c r="S1056" s="51">
        <f>IF(Q1056=1,IF(F1056&lt;=E1056,1,0),0)</f>
        <v/>
      </c>
      <c r="T1056" s="51">
        <f>IF(Q1056=1,IF(H1056&gt;=G1056,1,0),0)</f>
        <v/>
      </c>
      <c r="U1056" s="51">
        <f>S1056*T1056</f>
        <v/>
      </c>
      <c r="V1056" s="51">
        <f>IF(Q1056=1,MAX(0,F1056-E1056),0)</f>
        <v/>
      </c>
    </row>
    <row r="1057">
      <c r="A1057" s="43" t="inlineStr">
        <is>
          <t>PO101726</t>
        </is>
      </c>
      <c r="B1057" s="43" t="inlineStr">
        <is>
          <t>CMD-0094</t>
        </is>
      </c>
      <c r="C1057" s="43" t="inlineStr">
        <is>
          <t>S08</t>
        </is>
      </c>
      <c r="D1057" s="47" t="n">
        <v>45944</v>
      </c>
      <c r="E1057" s="47" t="n">
        <v>46021</v>
      </c>
      <c r="F1057" s="47" t="n">
        <v>46029</v>
      </c>
      <c r="G1057" s="46" t="n">
        <v>471</v>
      </c>
      <c r="H1057" s="46" t="n">
        <v>471</v>
      </c>
      <c r="I1057" s="46" t="n">
        <v>1</v>
      </c>
      <c r="J1057" s="44" t="n">
        <v>74.09</v>
      </c>
      <c r="K1057" s="43" t="inlineStr">
        <is>
          <t>Received</t>
        </is>
      </c>
      <c r="L1057" s="17">
        <f>INDEX(Items!$C$2:$C$117,MATCH(B1057,Items!$A$2:$A$117,0))</f>
        <v/>
      </c>
      <c r="M1057" s="49">
        <f>INDEX(Items!$E$2:$E$117,MATCH(B1057,Items!$A$2:$A$117,0))</f>
        <v/>
      </c>
      <c r="N1057" s="17">
        <f>TEXT(D1057,"yyyy-mm")</f>
        <v/>
      </c>
      <c r="O1057" s="50">
        <f>G1057*J1057</f>
        <v/>
      </c>
      <c r="P1057" s="50">
        <f>(J1057-M1057)*G1057</f>
        <v/>
      </c>
      <c r="Q1057" s="51">
        <f>IF(K1057="Received",1,0)</f>
        <v/>
      </c>
      <c r="R1057" s="51">
        <f>IF(Q1057=1,F1057-D1057,0)</f>
        <v/>
      </c>
      <c r="S1057" s="51">
        <f>IF(Q1057=1,IF(F1057&lt;=E1057,1,0),0)</f>
        <v/>
      </c>
      <c r="T1057" s="51">
        <f>IF(Q1057=1,IF(H1057&gt;=G1057,1,0),0)</f>
        <v/>
      </c>
      <c r="U1057" s="51">
        <f>S1057*T1057</f>
        <v/>
      </c>
      <c r="V1057" s="51">
        <f>IF(Q1057=1,MAX(0,F1057-E1057),0)</f>
        <v/>
      </c>
    </row>
    <row r="1058">
      <c r="A1058" s="43" t="inlineStr">
        <is>
          <t>PO100060</t>
        </is>
      </c>
      <c r="B1058" s="43" t="inlineStr">
        <is>
          <t>CMD-0003</t>
        </is>
      </c>
      <c r="C1058" s="43" t="inlineStr">
        <is>
          <t>S11</t>
        </is>
      </c>
      <c r="D1058" s="47" t="n">
        <v>45944</v>
      </c>
      <c r="E1058" s="47" t="n">
        <v>46063</v>
      </c>
      <c r="F1058" s="47" t="n">
        <v>46063</v>
      </c>
      <c r="G1058" s="46" t="n">
        <v>8286</v>
      </c>
      <c r="H1058" s="46" t="n">
        <v>8286</v>
      </c>
      <c r="I1058" s="46" t="n">
        <v>16</v>
      </c>
      <c r="J1058" s="44" t="n">
        <v>25.3582</v>
      </c>
      <c r="K1058" s="43" t="inlineStr">
        <is>
          <t>Received</t>
        </is>
      </c>
      <c r="L1058" s="17">
        <f>INDEX(Items!$C$2:$C$117,MATCH(B1058,Items!$A$2:$A$117,0))</f>
        <v/>
      </c>
      <c r="M1058" s="49">
        <f>INDEX(Items!$E$2:$E$117,MATCH(B1058,Items!$A$2:$A$117,0))</f>
        <v/>
      </c>
      <c r="N1058" s="17">
        <f>TEXT(D1058,"yyyy-mm")</f>
        <v/>
      </c>
      <c r="O1058" s="50">
        <f>G1058*J1058</f>
        <v/>
      </c>
      <c r="P1058" s="50">
        <f>(J1058-M1058)*G1058</f>
        <v/>
      </c>
      <c r="Q1058" s="51">
        <f>IF(K1058="Received",1,0)</f>
        <v/>
      </c>
      <c r="R1058" s="51">
        <f>IF(Q1058=1,F1058-D1058,0)</f>
        <v/>
      </c>
      <c r="S1058" s="51">
        <f>IF(Q1058=1,IF(F1058&lt;=E1058,1,0),0)</f>
        <v/>
      </c>
      <c r="T1058" s="51">
        <f>IF(Q1058=1,IF(H1058&gt;=G1058,1,0),0)</f>
        <v/>
      </c>
      <c r="U1058" s="51">
        <f>S1058*T1058</f>
        <v/>
      </c>
      <c r="V1058" s="51">
        <f>IF(Q1058=1,MAX(0,F1058-E1058),0)</f>
        <v/>
      </c>
    </row>
    <row r="1059">
      <c r="A1059" s="43" t="inlineStr">
        <is>
          <t>PO100463</t>
        </is>
      </c>
      <c r="B1059" s="43" t="inlineStr">
        <is>
          <t>CMD-0021</t>
        </is>
      </c>
      <c r="C1059" s="43" t="inlineStr">
        <is>
          <t>S04</t>
        </is>
      </c>
      <c r="D1059" s="47" t="n">
        <v>45944</v>
      </c>
      <c r="E1059" s="47" t="n">
        <v>46014</v>
      </c>
      <c r="F1059" s="47" t="n">
        <v>46013</v>
      </c>
      <c r="G1059" s="46" t="n">
        <v>1468</v>
      </c>
      <c r="H1059" s="46" t="n">
        <v>1468</v>
      </c>
      <c r="I1059" s="46" t="n">
        <v>14</v>
      </c>
      <c r="J1059" s="44" t="n">
        <v>4.94</v>
      </c>
      <c r="K1059" s="43" t="inlineStr">
        <is>
          <t>Received</t>
        </is>
      </c>
      <c r="L1059" s="17">
        <f>INDEX(Items!$C$2:$C$117,MATCH(B1059,Items!$A$2:$A$117,0))</f>
        <v/>
      </c>
      <c r="M1059" s="49">
        <f>INDEX(Items!$E$2:$E$117,MATCH(B1059,Items!$A$2:$A$117,0))</f>
        <v/>
      </c>
      <c r="N1059" s="17">
        <f>TEXT(D1059,"yyyy-mm")</f>
        <v/>
      </c>
      <c r="O1059" s="50">
        <f>G1059*J1059</f>
        <v/>
      </c>
      <c r="P1059" s="50">
        <f>(J1059-M1059)*G1059</f>
        <v/>
      </c>
      <c r="Q1059" s="51">
        <f>IF(K1059="Received",1,0)</f>
        <v/>
      </c>
      <c r="R1059" s="51">
        <f>IF(Q1059=1,F1059-D1059,0)</f>
        <v/>
      </c>
      <c r="S1059" s="51">
        <f>IF(Q1059=1,IF(F1059&lt;=E1059,1,0),0)</f>
        <v/>
      </c>
      <c r="T1059" s="51">
        <f>IF(Q1059=1,IF(H1059&gt;=G1059,1,0),0)</f>
        <v/>
      </c>
      <c r="U1059" s="51">
        <f>S1059*T1059</f>
        <v/>
      </c>
      <c r="V1059" s="51">
        <f>IF(Q1059=1,MAX(0,F1059-E1059),0)</f>
        <v/>
      </c>
    </row>
    <row r="1060">
      <c r="A1060" s="43" t="inlineStr">
        <is>
          <t>PO101774</t>
        </is>
      </c>
      <c r="B1060" s="43" t="inlineStr">
        <is>
          <t>CMD-0096</t>
        </is>
      </c>
      <c r="C1060" s="43" t="inlineStr">
        <is>
          <t>S09</t>
        </is>
      </c>
      <c r="D1060" s="47" t="n">
        <v>45944</v>
      </c>
      <c r="E1060" s="47" t="n">
        <v>45965</v>
      </c>
      <c r="F1060" s="47" t="n">
        <v>45965</v>
      </c>
      <c r="G1060" s="46" t="n">
        <v>903</v>
      </c>
      <c r="H1060" s="46" t="n">
        <v>903</v>
      </c>
      <c r="I1060" s="46" t="n">
        <v>1</v>
      </c>
      <c r="J1060" s="44" t="n">
        <v>6.42</v>
      </c>
      <c r="K1060" s="43" t="inlineStr">
        <is>
          <t>Received</t>
        </is>
      </c>
      <c r="L1060" s="17">
        <f>INDEX(Items!$C$2:$C$117,MATCH(B1060,Items!$A$2:$A$117,0))</f>
        <v/>
      </c>
      <c r="M1060" s="49">
        <f>INDEX(Items!$E$2:$E$117,MATCH(B1060,Items!$A$2:$A$117,0))</f>
        <v/>
      </c>
      <c r="N1060" s="17">
        <f>TEXT(D1060,"yyyy-mm")</f>
        <v/>
      </c>
      <c r="O1060" s="50">
        <f>G1060*J1060</f>
        <v/>
      </c>
      <c r="P1060" s="50">
        <f>(J1060-M1060)*G1060</f>
        <v/>
      </c>
      <c r="Q1060" s="51">
        <f>IF(K1060="Received",1,0)</f>
        <v/>
      </c>
      <c r="R1060" s="51">
        <f>IF(Q1060=1,F1060-D1060,0)</f>
        <v/>
      </c>
      <c r="S1060" s="51">
        <f>IF(Q1060=1,IF(F1060&lt;=E1060,1,0),0)</f>
        <v/>
      </c>
      <c r="T1060" s="51">
        <f>IF(Q1060=1,IF(H1060&gt;=G1060,1,0),0)</f>
        <v/>
      </c>
      <c r="U1060" s="51">
        <f>S1060*T1060</f>
        <v/>
      </c>
      <c r="V1060" s="51">
        <f>IF(Q1060=1,MAX(0,F1060-E1060),0)</f>
        <v/>
      </c>
    </row>
    <row r="1061">
      <c r="A1061" s="43" t="inlineStr">
        <is>
          <t>PO100556</t>
        </is>
      </c>
      <c r="B1061" s="43" t="inlineStr">
        <is>
          <t>CMD-0025</t>
        </is>
      </c>
      <c r="C1061" s="43" t="inlineStr">
        <is>
          <t>S02</t>
        </is>
      </c>
      <c r="D1061" s="47" t="n">
        <v>45944</v>
      </c>
      <c r="E1061" s="47" t="n">
        <v>46000</v>
      </c>
      <c r="F1061" s="47" t="n">
        <v>46000</v>
      </c>
      <c r="G1061" s="46" t="n">
        <v>988</v>
      </c>
      <c r="H1061" s="46" t="n">
        <v>988</v>
      </c>
      <c r="I1061" s="46" t="n">
        <v>4</v>
      </c>
      <c r="J1061" s="44" t="n">
        <v>10.52</v>
      </c>
      <c r="K1061" s="43" t="inlineStr">
        <is>
          <t>Received</t>
        </is>
      </c>
      <c r="L1061" s="17">
        <f>INDEX(Items!$C$2:$C$117,MATCH(B1061,Items!$A$2:$A$117,0))</f>
        <v/>
      </c>
      <c r="M1061" s="49">
        <f>INDEX(Items!$E$2:$E$117,MATCH(B1061,Items!$A$2:$A$117,0))</f>
        <v/>
      </c>
      <c r="N1061" s="17">
        <f>TEXT(D1061,"yyyy-mm")</f>
        <v/>
      </c>
      <c r="O1061" s="50">
        <f>G1061*J1061</f>
        <v/>
      </c>
      <c r="P1061" s="50">
        <f>(J1061-M1061)*G1061</f>
        <v/>
      </c>
      <c r="Q1061" s="51">
        <f>IF(K1061="Received",1,0)</f>
        <v/>
      </c>
      <c r="R1061" s="51">
        <f>IF(Q1061=1,F1061-D1061,0)</f>
        <v/>
      </c>
      <c r="S1061" s="51">
        <f>IF(Q1061=1,IF(F1061&lt;=E1061,1,0),0)</f>
        <v/>
      </c>
      <c r="T1061" s="51">
        <f>IF(Q1061=1,IF(H1061&gt;=G1061,1,0),0)</f>
        <v/>
      </c>
      <c r="U1061" s="51">
        <f>S1061*T1061</f>
        <v/>
      </c>
      <c r="V1061" s="51">
        <f>IF(Q1061=1,MAX(0,F1061-E1061),0)</f>
        <v/>
      </c>
    </row>
    <row r="1062">
      <c r="A1062" s="43" t="inlineStr">
        <is>
          <t>PO100676</t>
        </is>
      </c>
      <c r="B1062" s="43" t="inlineStr">
        <is>
          <t>CMD-0030</t>
        </is>
      </c>
      <c r="C1062" s="43" t="inlineStr">
        <is>
          <t>S11</t>
        </is>
      </c>
      <c r="D1062" s="47" t="n">
        <v>45944</v>
      </c>
      <c r="E1062" s="47" t="n">
        <v>46021</v>
      </c>
      <c r="F1062" s="47" t="n">
        <v>46058</v>
      </c>
      <c r="G1062" s="46" t="n">
        <v>7938</v>
      </c>
      <c r="H1062" s="46" t="n">
        <v>7938</v>
      </c>
      <c r="I1062" s="46" t="n">
        <v>19</v>
      </c>
      <c r="J1062" s="44" t="n">
        <v>23.19</v>
      </c>
      <c r="K1062" s="43" t="inlineStr">
        <is>
          <t>Received</t>
        </is>
      </c>
      <c r="L1062" s="17">
        <f>INDEX(Items!$C$2:$C$117,MATCH(B1062,Items!$A$2:$A$117,0))</f>
        <v/>
      </c>
      <c r="M1062" s="49">
        <f>INDEX(Items!$E$2:$E$117,MATCH(B1062,Items!$A$2:$A$117,0))</f>
        <v/>
      </c>
      <c r="N1062" s="17">
        <f>TEXT(D1062,"yyyy-mm")</f>
        <v/>
      </c>
      <c r="O1062" s="50">
        <f>G1062*J1062</f>
        <v/>
      </c>
      <c r="P1062" s="50">
        <f>(J1062-M1062)*G1062</f>
        <v/>
      </c>
      <c r="Q1062" s="51">
        <f>IF(K1062="Received",1,0)</f>
        <v/>
      </c>
      <c r="R1062" s="51">
        <f>IF(Q1062=1,F1062-D1062,0)</f>
        <v/>
      </c>
      <c r="S1062" s="51">
        <f>IF(Q1062=1,IF(F1062&lt;=E1062,1,0),0)</f>
        <v/>
      </c>
      <c r="T1062" s="51">
        <f>IF(Q1062=1,IF(H1062&gt;=G1062,1,0),0)</f>
        <v/>
      </c>
      <c r="U1062" s="51">
        <f>S1062*T1062</f>
        <v/>
      </c>
      <c r="V1062" s="51">
        <f>IF(Q1062=1,MAX(0,F1062-E1062),0)</f>
        <v/>
      </c>
    </row>
    <row r="1063">
      <c r="A1063" s="43" t="inlineStr">
        <is>
          <t>PO101064</t>
        </is>
      </c>
      <c r="B1063" s="43" t="inlineStr">
        <is>
          <t>CMD-0048</t>
        </is>
      </c>
      <c r="C1063" s="43" t="inlineStr">
        <is>
          <t>S10</t>
        </is>
      </c>
      <c r="D1063" s="47" t="n">
        <v>45944</v>
      </c>
      <c r="E1063" s="47" t="n">
        <v>45972</v>
      </c>
      <c r="F1063" s="47" t="n">
        <v>45975</v>
      </c>
      <c r="G1063" s="46" t="n">
        <v>18890</v>
      </c>
      <c r="H1063" s="46" t="n">
        <v>18890</v>
      </c>
      <c r="I1063" s="46" t="n">
        <v>13</v>
      </c>
      <c r="J1063" s="44" t="n">
        <v>0.3231</v>
      </c>
      <c r="K1063" s="43" t="inlineStr">
        <is>
          <t>Received</t>
        </is>
      </c>
      <c r="L1063" s="17">
        <f>INDEX(Items!$C$2:$C$117,MATCH(B1063,Items!$A$2:$A$117,0))</f>
        <v/>
      </c>
      <c r="M1063" s="49">
        <f>INDEX(Items!$E$2:$E$117,MATCH(B1063,Items!$A$2:$A$117,0))</f>
        <v/>
      </c>
      <c r="N1063" s="17">
        <f>TEXT(D1063,"yyyy-mm")</f>
        <v/>
      </c>
      <c r="O1063" s="50">
        <f>G1063*J1063</f>
        <v/>
      </c>
      <c r="P1063" s="50">
        <f>(J1063-M1063)*G1063</f>
        <v/>
      </c>
      <c r="Q1063" s="51">
        <f>IF(K1063="Received",1,0)</f>
        <v/>
      </c>
      <c r="R1063" s="51">
        <f>IF(Q1063=1,F1063-D1063,0)</f>
        <v/>
      </c>
      <c r="S1063" s="51">
        <f>IF(Q1063=1,IF(F1063&lt;=E1063,1,0),0)</f>
        <v/>
      </c>
      <c r="T1063" s="51">
        <f>IF(Q1063=1,IF(H1063&gt;=G1063,1,0),0)</f>
        <v/>
      </c>
      <c r="U1063" s="51">
        <f>S1063*T1063</f>
        <v/>
      </c>
      <c r="V1063" s="51">
        <f>IF(Q1063=1,MAX(0,F1063-E1063),0)</f>
        <v/>
      </c>
    </row>
    <row r="1064">
      <c r="A1064" s="43" t="inlineStr">
        <is>
          <t>PO100204</t>
        </is>
      </c>
      <c r="B1064" s="43" t="inlineStr">
        <is>
          <t>CMD-0009</t>
        </is>
      </c>
      <c r="C1064" s="43" t="inlineStr">
        <is>
          <t>S11</t>
        </is>
      </c>
      <c r="D1064" s="47" t="n">
        <v>45945</v>
      </c>
      <c r="E1064" s="47" t="n">
        <v>46064</v>
      </c>
      <c r="F1064" s="47" t="n">
        <v>46061</v>
      </c>
      <c r="G1064" s="46" t="n">
        <v>6552</v>
      </c>
      <c r="H1064" s="46" t="n">
        <v>6552</v>
      </c>
      <c r="I1064" s="46" t="n">
        <v>12</v>
      </c>
      <c r="J1064" s="44" t="n">
        <v>7.4222</v>
      </c>
      <c r="K1064" s="43" t="inlineStr">
        <is>
          <t>Received</t>
        </is>
      </c>
      <c r="L1064" s="17">
        <f>INDEX(Items!$C$2:$C$117,MATCH(B1064,Items!$A$2:$A$117,0))</f>
        <v/>
      </c>
      <c r="M1064" s="49">
        <f>INDEX(Items!$E$2:$E$117,MATCH(B1064,Items!$A$2:$A$117,0))</f>
        <v/>
      </c>
      <c r="N1064" s="17">
        <f>TEXT(D1064,"yyyy-mm")</f>
        <v/>
      </c>
      <c r="O1064" s="50">
        <f>G1064*J1064</f>
        <v/>
      </c>
      <c r="P1064" s="50">
        <f>(J1064-M1064)*G1064</f>
        <v/>
      </c>
      <c r="Q1064" s="51">
        <f>IF(K1064="Received",1,0)</f>
        <v/>
      </c>
      <c r="R1064" s="51">
        <f>IF(Q1064=1,F1064-D1064,0)</f>
        <v/>
      </c>
      <c r="S1064" s="51">
        <f>IF(Q1064=1,IF(F1064&lt;=E1064,1,0),0)</f>
        <v/>
      </c>
      <c r="T1064" s="51">
        <f>IF(Q1064=1,IF(H1064&gt;=G1064,1,0),0)</f>
        <v/>
      </c>
      <c r="U1064" s="51">
        <f>S1064*T1064</f>
        <v/>
      </c>
      <c r="V1064" s="51">
        <f>IF(Q1064=1,MAX(0,F1064-E1064),0)</f>
        <v/>
      </c>
    </row>
    <row r="1065">
      <c r="A1065" s="43" t="inlineStr">
        <is>
          <t>PO101944</t>
        </is>
      </c>
      <c r="B1065" s="43" t="inlineStr">
        <is>
          <t>CMD-0107</t>
        </is>
      </c>
      <c r="C1065" s="43" t="inlineStr">
        <is>
          <t>S09</t>
        </is>
      </c>
      <c r="D1065" s="47" t="n">
        <v>45945</v>
      </c>
      <c r="E1065" s="47" t="n">
        <v>45966</v>
      </c>
      <c r="F1065" s="47" t="n">
        <v>45965</v>
      </c>
      <c r="G1065" s="46" t="n">
        <v>1134</v>
      </c>
      <c r="H1065" s="46" t="n">
        <v>1134</v>
      </c>
      <c r="I1065" s="46" t="n">
        <v>2</v>
      </c>
      <c r="J1065" s="44" t="n">
        <v>6.95</v>
      </c>
      <c r="K1065" s="43" t="inlineStr">
        <is>
          <t>Received</t>
        </is>
      </c>
      <c r="L1065" s="17">
        <f>INDEX(Items!$C$2:$C$117,MATCH(B1065,Items!$A$2:$A$117,0))</f>
        <v/>
      </c>
      <c r="M1065" s="49">
        <f>INDEX(Items!$E$2:$E$117,MATCH(B1065,Items!$A$2:$A$117,0))</f>
        <v/>
      </c>
      <c r="N1065" s="17">
        <f>TEXT(D1065,"yyyy-mm")</f>
        <v/>
      </c>
      <c r="O1065" s="50">
        <f>G1065*J1065</f>
        <v/>
      </c>
      <c r="P1065" s="50">
        <f>(J1065-M1065)*G1065</f>
        <v/>
      </c>
      <c r="Q1065" s="51">
        <f>IF(K1065="Received",1,0)</f>
        <v/>
      </c>
      <c r="R1065" s="51">
        <f>IF(Q1065=1,F1065-D1065,0)</f>
        <v/>
      </c>
      <c r="S1065" s="51">
        <f>IF(Q1065=1,IF(F1065&lt;=E1065,1,0),0)</f>
        <v/>
      </c>
      <c r="T1065" s="51">
        <f>IF(Q1065=1,IF(H1065&gt;=G1065,1,0),0)</f>
        <v/>
      </c>
      <c r="U1065" s="51">
        <f>S1065*T1065</f>
        <v/>
      </c>
      <c r="V1065" s="51">
        <f>IF(Q1065=1,MAX(0,F1065-E1065),0)</f>
        <v/>
      </c>
    </row>
    <row r="1066">
      <c r="A1066" s="43" t="inlineStr">
        <is>
          <t>PO101630</t>
        </is>
      </c>
      <c r="B1066" s="43" t="inlineStr">
        <is>
          <t>CMD-0090</t>
        </is>
      </c>
      <c r="C1066" s="43" t="inlineStr">
        <is>
          <t>S01</t>
        </is>
      </c>
      <c r="D1066" s="47" t="n">
        <v>45945</v>
      </c>
      <c r="E1066" s="47" t="n">
        <v>45959</v>
      </c>
      <c r="F1066" s="47" t="n">
        <v>45956</v>
      </c>
      <c r="G1066" s="46" t="n">
        <v>4249</v>
      </c>
      <c r="H1066" s="46" t="n">
        <v>4249</v>
      </c>
      <c r="I1066" s="46" t="n">
        <v>8</v>
      </c>
      <c r="J1066" s="44" t="n">
        <v>6.99</v>
      </c>
      <c r="K1066" s="43" t="inlineStr">
        <is>
          <t>Received</t>
        </is>
      </c>
      <c r="L1066" s="17">
        <f>INDEX(Items!$C$2:$C$117,MATCH(B1066,Items!$A$2:$A$117,0))</f>
        <v/>
      </c>
      <c r="M1066" s="49">
        <f>INDEX(Items!$E$2:$E$117,MATCH(B1066,Items!$A$2:$A$117,0))</f>
        <v/>
      </c>
      <c r="N1066" s="17">
        <f>TEXT(D1066,"yyyy-mm")</f>
        <v/>
      </c>
      <c r="O1066" s="50">
        <f>G1066*J1066</f>
        <v/>
      </c>
      <c r="P1066" s="50">
        <f>(J1066-M1066)*G1066</f>
        <v/>
      </c>
      <c r="Q1066" s="51">
        <f>IF(K1066="Received",1,0)</f>
        <v/>
      </c>
      <c r="R1066" s="51">
        <f>IF(Q1066=1,F1066-D1066,0)</f>
        <v/>
      </c>
      <c r="S1066" s="51">
        <f>IF(Q1066=1,IF(F1066&lt;=E1066,1,0),0)</f>
        <v/>
      </c>
      <c r="T1066" s="51">
        <f>IF(Q1066=1,IF(H1066&gt;=G1066,1,0),0)</f>
        <v/>
      </c>
      <c r="U1066" s="51">
        <f>S1066*T1066</f>
        <v/>
      </c>
      <c r="V1066" s="51">
        <f>IF(Q1066=1,MAX(0,F1066-E1066),0)</f>
        <v/>
      </c>
    </row>
    <row r="1067">
      <c r="A1067" s="43" t="inlineStr">
        <is>
          <t>PO101654</t>
        </is>
      </c>
      <c r="B1067" s="43" t="inlineStr">
        <is>
          <t>CMD-0091</t>
        </is>
      </c>
      <c r="C1067" s="43" t="inlineStr">
        <is>
          <t>S08</t>
        </is>
      </c>
      <c r="D1067" s="47" t="n">
        <v>45945</v>
      </c>
      <c r="E1067" s="47" t="n">
        <v>46022</v>
      </c>
      <c r="F1067" s="47" t="n">
        <v>46022</v>
      </c>
      <c r="G1067" s="46" t="n">
        <v>1032</v>
      </c>
      <c r="H1067" s="46" t="n">
        <v>1032</v>
      </c>
      <c r="I1067" s="46" t="n">
        <v>11</v>
      </c>
      <c r="J1067" s="44" t="n">
        <v>23.8</v>
      </c>
      <c r="K1067" s="43" t="inlineStr">
        <is>
          <t>Received</t>
        </is>
      </c>
      <c r="L1067" s="17">
        <f>INDEX(Items!$C$2:$C$117,MATCH(B1067,Items!$A$2:$A$117,0))</f>
        <v/>
      </c>
      <c r="M1067" s="49">
        <f>INDEX(Items!$E$2:$E$117,MATCH(B1067,Items!$A$2:$A$117,0))</f>
        <v/>
      </c>
      <c r="N1067" s="17">
        <f>TEXT(D1067,"yyyy-mm")</f>
        <v/>
      </c>
      <c r="O1067" s="50">
        <f>G1067*J1067</f>
        <v/>
      </c>
      <c r="P1067" s="50">
        <f>(J1067-M1067)*G1067</f>
        <v/>
      </c>
      <c r="Q1067" s="51">
        <f>IF(K1067="Received",1,0)</f>
        <v/>
      </c>
      <c r="R1067" s="51">
        <f>IF(Q1067=1,F1067-D1067,0)</f>
        <v/>
      </c>
      <c r="S1067" s="51">
        <f>IF(Q1067=1,IF(F1067&lt;=E1067,1,0),0)</f>
        <v/>
      </c>
      <c r="T1067" s="51">
        <f>IF(Q1067=1,IF(H1067&gt;=G1067,1,0),0)</f>
        <v/>
      </c>
      <c r="U1067" s="51">
        <f>S1067*T1067</f>
        <v/>
      </c>
      <c r="V1067" s="51">
        <f>IF(Q1067=1,MAX(0,F1067-E1067),0)</f>
        <v/>
      </c>
    </row>
    <row r="1068">
      <c r="A1068" s="43" t="inlineStr">
        <is>
          <t>PO100508</t>
        </is>
      </c>
      <c r="B1068" s="43" t="inlineStr">
        <is>
          <t>CMD-0023</t>
        </is>
      </c>
      <c r="C1068" s="43" t="inlineStr">
        <is>
          <t>S04</t>
        </is>
      </c>
      <c r="D1068" s="47" t="n">
        <v>45945</v>
      </c>
      <c r="E1068" s="47" t="n">
        <v>46015</v>
      </c>
      <c r="F1068" s="47" t="n">
        <v>46012</v>
      </c>
      <c r="G1068" s="46" t="n">
        <v>4500</v>
      </c>
      <c r="H1068" s="46" t="n">
        <v>4500</v>
      </c>
      <c r="I1068" s="46" t="n">
        <v>47</v>
      </c>
      <c r="J1068" s="44" t="n">
        <v>8.800000000000001</v>
      </c>
      <c r="K1068" s="43" t="inlineStr">
        <is>
          <t>Received</t>
        </is>
      </c>
      <c r="L1068" s="17">
        <f>INDEX(Items!$C$2:$C$117,MATCH(B1068,Items!$A$2:$A$117,0))</f>
        <v/>
      </c>
      <c r="M1068" s="49">
        <f>INDEX(Items!$E$2:$E$117,MATCH(B1068,Items!$A$2:$A$117,0))</f>
        <v/>
      </c>
      <c r="N1068" s="17">
        <f>TEXT(D1068,"yyyy-mm")</f>
        <v/>
      </c>
      <c r="O1068" s="50">
        <f>G1068*J1068</f>
        <v/>
      </c>
      <c r="P1068" s="50">
        <f>(J1068-M1068)*G1068</f>
        <v/>
      </c>
      <c r="Q1068" s="51">
        <f>IF(K1068="Received",1,0)</f>
        <v/>
      </c>
      <c r="R1068" s="51">
        <f>IF(Q1068=1,F1068-D1068,0)</f>
        <v/>
      </c>
      <c r="S1068" s="51">
        <f>IF(Q1068=1,IF(F1068&lt;=E1068,1,0),0)</f>
        <v/>
      </c>
      <c r="T1068" s="51">
        <f>IF(Q1068=1,IF(H1068&gt;=G1068,1,0),0)</f>
        <v/>
      </c>
      <c r="U1068" s="51">
        <f>S1068*T1068</f>
        <v/>
      </c>
      <c r="V1068" s="51">
        <f>IF(Q1068=1,MAX(0,F1068-E1068),0)</f>
        <v/>
      </c>
    </row>
    <row r="1069">
      <c r="A1069" s="43" t="inlineStr">
        <is>
          <t>PO100328</t>
        </is>
      </c>
      <c r="B1069" s="43" t="inlineStr">
        <is>
          <t>CMD-0015</t>
        </is>
      </c>
      <c r="C1069" s="43" t="inlineStr">
        <is>
          <t>S03</t>
        </is>
      </c>
      <c r="D1069" s="47" t="n">
        <v>45945</v>
      </c>
      <c r="E1069" s="47" t="n">
        <v>46078</v>
      </c>
      <c r="F1069" s="47" t="n">
        <v>46078</v>
      </c>
      <c r="G1069" s="46" t="n">
        <v>3997</v>
      </c>
      <c r="H1069" s="46" t="n">
        <v>3997</v>
      </c>
      <c r="I1069" s="46" t="n">
        <v>26</v>
      </c>
      <c r="J1069" s="44" t="n">
        <v>6.6788</v>
      </c>
      <c r="K1069" s="43" t="inlineStr">
        <is>
          <t>Received</t>
        </is>
      </c>
      <c r="L1069" s="17">
        <f>INDEX(Items!$C$2:$C$117,MATCH(B1069,Items!$A$2:$A$117,0))</f>
        <v/>
      </c>
      <c r="M1069" s="49">
        <f>INDEX(Items!$E$2:$E$117,MATCH(B1069,Items!$A$2:$A$117,0))</f>
        <v/>
      </c>
      <c r="N1069" s="17">
        <f>TEXT(D1069,"yyyy-mm")</f>
        <v/>
      </c>
      <c r="O1069" s="50">
        <f>G1069*J1069</f>
        <v/>
      </c>
      <c r="P1069" s="50">
        <f>(J1069-M1069)*G1069</f>
        <v/>
      </c>
      <c r="Q1069" s="51">
        <f>IF(K1069="Received",1,0)</f>
        <v/>
      </c>
      <c r="R1069" s="51">
        <f>IF(Q1069=1,F1069-D1069,0)</f>
        <v/>
      </c>
      <c r="S1069" s="51">
        <f>IF(Q1069=1,IF(F1069&lt;=E1069,1,0),0)</f>
        <v/>
      </c>
      <c r="T1069" s="51">
        <f>IF(Q1069=1,IF(H1069&gt;=G1069,1,0),0)</f>
        <v/>
      </c>
      <c r="U1069" s="51">
        <f>S1069*T1069</f>
        <v/>
      </c>
      <c r="V1069" s="51">
        <f>IF(Q1069=1,MAX(0,F1069-E1069),0)</f>
        <v/>
      </c>
    </row>
    <row r="1070">
      <c r="A1070" s="43" t="inlineStr">
        <is>
          <t>PO100304</t>
        </is>
      </c>
      <c r="B1070" s="43" t="inlineStr">
        <is>
          <t>CMD-0014</t>
        </is>
      </c>
      <c r="C1070" s="43" t="inlineStr">
        <is>
          <t>S03</t>
        </is>
      </c>
      <c r="D1070" s="47" t="n">
        <v>45946</v>
      </c>
      <c r="E1070" s="47" t="n">
        <v>46079</v>
      </c>
      <c r="F1070" s="47" t="n">
        <v>46082</v>
      </c>
      <c r="G1070" s="46" t="n">
        <v>5003</v>
      </c>
      <c r="H1070" s="46" t="n">
        <v>5003</v>
      </c>
      <c r="I1070" s="46" t="n">
        <v>32</v>
      </c>
      <c r="J1070" s="44" t="n">
        <v>14.8916</v>
      </c>
      <c r="K1070" s="43" t="inlineStr">
        <is>
          <t>Received</t>
        </is>
      </c>
      <c r="L1070" s="17">
        <f>INDEX(Items!$C$2:$C$117,MATCH(B1070,Items!$A$2:$A$117,0))</f>
        <v/>
      </c>
      <c r="M1070" s="49">
        <f>INDEX(Items!$E$2:$E$117,MATCH(B1070,Items!$A$2:$A$117,0))</f>
        <v/>
      </c>
      <c r="N1070" s="17">
        <f>TEXT(D1070,"yyyy-mm")</f>
        <v/>
      </c>
      <c r="O1070" s="50">
        <f>G1070*J1070</f>
        <v/>
      </c>
      <c r="P1070" s="50">
        <f>(J1070-M1070)*G1070</f>
        <v/>
      </c>
      <c r="Q1070" s="51">
        <f>IF(K1070="Received",1,0)</f>
        <v/>
      </c>
      <c r="R1070" s="51">
        <f>IF(Q1070=1,F1070-D1070,0)</f>
        <v/>
      </c>
      <c r="S1070" s="51">
        <f>IF(Q1070=1,IF(F1070&lt;=E1070,1,0),0)</f>
        <v/>
      </c>
      <c r="T1070" s="51">
        <f>IF(Q1070=1,IF(H1070&gt;=G1070,1,0),0)</f>
        <v/>
      </c>
      <c r="U1070" s="51">
        <f>S1070*T1070</f>
        <v/>
      </c>
      <c r="V1070" s="51">
        <f>IF(Q1070=1,MAX(0,F1070-E1070),0)</f>
        <v/>
      </c>
    </row>
    <row r="1071">
      <c r="A1071" s="43" t="inlineStr">
        <is>
          <t>PO100108</t>
        </is>
      </c>
      <c r="B1071" s="43" t="inlineStr">
        <is>
          <t>CMD-0005</t>
        </is>
      </c>
      <c r="C1071" s="43" t="inlineStr">
        <is>
          <t>S07</t>
        </is>
      </c>
      <c r="D1071" s="47" t="n">
        <v>45946</v>
      </c>
      <c r="E1071" s="47" t="n">
        <v>46037</v>
      </c>
      <c r="F1071" s="47" t="n">
        <v>46037</v>
      </c>
      <c r="G1071" s="46" t="n">
        <v>4687</v>
      </c>
      <c r="H1071" s="46" t="n">
        <v>4687</v>
      </c>
      <c r="I1071" s="46" t="n">
        <v>46</v>
      </c>
      <c r="J1071" s="44" t="n">
        <v>6.6434</v>
      </c>
      <c r="K1071" s="43" t="inlineStr">
        <is>
          <t>Received</t>
        </is>
      </c>
      <c r="L1071" s="17">
        <f>INDEX(Items!$C$2:$C$117,MATCH(B1071,Items!$A$2:$A$117,0))</f>
        <v/>
      </c>
      <c r="M1071" s="49">
        <f>INDEX(Items!$E$2:$E$117,MATCH(B1071,Items!$A$2:$A$117,0))</f>
        <v/>
      </c>
      <c r="N1071" s="17">
        <f>TEXT(D1071,"yyyy-mm")</f>
        <v/>
      </c>
      <c r="O1071" s="50">
        <f>G1071*J1071</f>
        <v/>
      </c>
      <c r="P1071" s="50">
        <f>(J1071-M1071)*G1071</f>
        <v/>
      </c>
      <c r="Q1071" s="51">
        <f>IF(K1071="Received",1,0)</f>
        <v/>
      </c>
      <c r="R1071" s="51">
        <f>IF(Q1071=1,F1071-D1071,0)</f>
        <v/>
      </c>
      <c r="S1071" s="51">
        <f>IF(Q1071=1,IF(F1071&lt;=E1071,1,0),0)</f>
        <v/>
      </c>
      <c r="T1071" s="51">
        <f>IF(Q1071=1,IF(H1071&gt;=G1071,1,0),0)</f>
        <v/>
      </c>
      <c r="U1071" s="51">
        <f>S1071*T1071</f>
        <v/>
      </c>
      <c r="V1071" s="51">
        <f>IF(Q1071=1,MAX(0,F1071-E1071),0)</f>
        <v/>
      </c>
    </row>
    <row r="1072">
      <c r="A1072" s="43" t="inlineStr">
        <is>
          <t>PO101018</t>
        </is>
      </c>
      <c r="B1072" s="43" t="inlineStr">
        <is>
          <t>CMD-0046</t>
        </is>
      </c>
      <c r="C1072" s="43" t="inlineStr">
        <is>
          <t>S05</t>
        </is>
      </c>
      <c r="D1072" s="47" t="n">
        <v>45946</v>
      </c>
      <c r="E1072" s="47" t="n">
        <v>46051</v>
      </c>
      <c r="F1072" s="47" t="n">
        <v>46049</v>
      </c>
      <c r="G1072" s="46" t="n">
        <v>8950</v>
      </c>
      <c r="H1072" s="46" t="n">
        <v>6068</v>
      </c>
      <c r="I1072" s="46" t="n">
        <v>98</v>
      </c>
      <c r="J1072" s="44" t="n">
        <v>10.57</v>
      </c>
      <c r="K1072" s="43" t="inlineStr">
        <is>
          <t>Received</t>
        </is>
      </c>
      <c r="L1072" s="17">
        <f>INDEX(Items!$C$2:$C$117,MATCH(B1072,Items!$A$2:$A$117,0))</f>
        <v/>
      </c>
      <c r="M1072" s="49">
        <f>INDEX(Items!$E$2:$E$117,MATCH(B1072,Items!$A$2:$A$117,0))</f>
        <v/>
      </c>
      <c r="N1072" s="17">
        <f>TEXT(D1072,"yyyy-mm")</f>
        <v/>
      </c>
      <c r="O1072" s="50">
        <f>G1072*J1072</f>
        <v/>
      </c>
      <c r="P1072" s="50">
        <f>(J1072-M1072)*G1072</f>
        <v/>
      </c>
      <c r="Q1072" s="51">
        <f>IF(K1072="Received",1,0)</f>
        <v/>
      </c>
      <c r="R1072" s="51">
        <f>IF(Q1072=1,F1072-D1072,0)</f>
        <v/>
      </c>
      <c r="S1072" s="51">
        <f>IF(Q1072=1,IF(F1072&lt;=E1072,1,0),0)</f>
        <v/>
      </c>
      <c r="T1072" s="51">
        <f>IF(Q1072=1,IF(H1072&gt;=G1072,1,0),0)</f>
        <v/>
      </c>
      <c r="U1072" s="51">
        <f>S1072*T1072</f>
        <v/>
      </c>
      <c r="V1072" s="51">
        <f>IF(Q1072=1,MAX(0,F1072-E1072),0)</f>
        <v/>
      </c>
    </row>
    <row r="1073">
      <c r="A1073" s="43" t="inlineStr">
        <is>
          <t>PO101832</t>
        </is>
      </c>
      <c r="B1073" s="43" t="inlineStr">
        <is>
          <t>CMD-0100</t>
        </is>
      </c>
      <c r="C1073" s="43" t="inlineStr">
        <is>
          <t>S09</t>
        </is>
      </c>
      <c r="D1073" s="47" t="n">
        <v>45946</v>
      </c>
      <c r="E1073" s="47" t="n">
        <v>45967</v>
      </c>
      <c r="F1073" s="47" t="n">
        <v>45965</v>
      </c>
      <c r="G1073" s="46" t="n">
        <v>6254</v>
      </c>
      <c r="H1073" s="46" t="n">
        <v>6254</v>
      </c>
      <c r="I1073" s="46" t="n">
        <v>18</v>
      </c>
      <c r="J1073" s="44" t="n">
        <v>4.94</v>
      </c>
      <c r="K1073" s="43" t="inlineStr">
        <is>
          <t>Received</t>
        </is>
      </c>
      <c r="L1073" s="17">
        <f>INDEX(Items!$C$2:$C$117,MATCH(B1073,Items!$A$2:$A$117,0))</f>
        <v/>
      </c>
      <c r="M1073" s="49">
        <f>INDEX(Items!$E$2:$E$117,MATCH(B1073,Items!$A$2:$A$117,0))</f>
        <v/>
      </c>
      <c r="N1073" s="17">
        <f>TEXT(D1073,"yyyy-mm")</f>
        <v/>
      </c>
      <c r="O1073" s="50">
        <f>G1073*J1073</f>
        <v/>
      </c>
      <c r="P1073" s="50">
        <f>(J1073-M1073)*G1073</f>
        <v/>
      </c>
      <c r="Q1073" s="51">
        <f>IF(K1073="Received",1,0)</f>
        <v/>
      </c>
      <c r="R1073" s="51">
        <f>IF(Q1073=1,F1073-D1073,0)</f>
        <v/>
      </c>
      <c r="S1073" s="51">
        <f>IF(Q1073=1,IF(F1073&lt;=E1073,1,0),0)</f>
        <v/>
      </c>
      <c r="T1073" s="51">
        <f>IF(Q1073=1,IF(H1073&gt;=G1073,1,0),0)</f>
        <v/>
      </c>
      <c r="U1073" s="51">
        <f>S1073*T1073</f>
        <v/>
      </c>
      <c r="V1073" s="51">
        <f>IF(Q1073=1,MAX(0,F1073-E1073),0)</f>
        <v/>
      </c>
    </row>
    <row r="1074">
      <c r="A1074" s="43" t="inlineStr">
        <is>
          <t>PO100036</t>
        </is>
      </c>
      <c r="B1074" s="43" t="inlineStr">
        <is>
          <t>CMD-0002</t>
        </is>
      </c>
      <c r="C1074" s="43" t="inlineStr">
        <is>
          <t>S11</t>
        </is>
      </c>
      <c r="D1074" s="47" t="n">
        <v>45946</v>
      </c>
      <c r="E1074" s="47" t="n">
        <v>46065</v>
      </c>
      <c r="F1074" s="47" t="n">
        <v>46064</v>
      </c>
      <c r="G1074" s="46" t="n">
        <v>6788</v>
      </c>
      <c r="H1074" s="46" t="n">
        <v>6788</v>
      </c>
      <c r="I1074" s="46" t="n">
        <v>14</v>
      </c>
      <c r="J1074" s="44" t="n">
        <v>8.083</v>
      </c>
      <c r="K1074" s="43" t="inlineStr">
        <is>
          <t>Received</t>
        </is>
      </c>
      <c r="L1074" s="17">
        <f>INDEX(Items!$C$2:$C$117,MATCH(B1074,Items!$A$2:$A$117,0))</f>
        <v/>
      </c>
      <c r="M1074" s="49">
        <f>INDEX(Items!$E$2:$E$117,MATCH(B1074,Items!$A$2:$A$117,0))</f>
        <v/>
      </c>
      <c r="N1074" s="17">
        <f>TEXT(D1074,"yyyy-mm")</f>
        <v/>
      </c>
      <c r="O1074" s="50">
        <f>G1074*J1074</f>
        <v/>
      </c>
      <c r="P1074" s="50">
        <f>(J1074-M1074)*G1074</f>
        <v/>
      </c>
      <c r="Q1074" s="51">
        <f>IF(K1074="Received",1,0)</f>
        <v/>
      </c>
      <c r="R1074" s="51">
        <f>IF(Q1074=1,F1074-D1074,0)</f>
        <v/>
      </c>
      <c r="S1074" s="51">
        <f>IF(Q1074=1,IF(F1074&lt;=E1074,1,0),0)</f>
        <v/>
      </c>
      <c r="T1074" s="51">
        <f>IF(Q1074=1,IF(H1074&gt;=G1074,1,0),0)</f>
        <v/>
      </c>
      <c r="U1074" s="51">
        <f>S1074*T1074</f>
        <v/>
      </c>
      <c r="V1074" s="51">
        <f>IF(Q1074=1,MAX(0,F1074-E1074),0)</f>
        <v/>
      </c>
    </row>
    <row r="1075">
      <c r="A1075" s="43" t="inlineStr">
        <is>
          <t>PO100421</t>
        </is>
      </c>
      <c r="B1075" s="43" t="inlineStr">
        <is>
          <t>CMD-0019</t>
        </is>
      </c>
      <c r="C1075" s="43" t="inlineStr">
        <is>
          <t>S11</t>
        </is>
      </c>
      <c r="D1075" s="47" t="n">
        <v>45946</v>
      </c>
      <c r="E1075" s="47" t="n">
        <v>46023</v>
      </c>
      <c r="F1075" s="47" t="n">
        <v>46022</v>
      </c>
      <c r="G1075" s="46" t="n">
        <v>1024</v>
      </c>
      <c r="H1075" s="46" t="n">
        <v>1024</v>
      </c>
      <c r="I1075" s="46" t="n">
        <v>3</v>
      </c>
      <c r="J1075" s="44" t="n">
        <v>7.25</v>
      </c>
      <c r="K1075" s="43" t="inlineStr">
        <is>
          <t>Received</t>
        </is>
      </c>
      <c r="L1075" s="17">
        <f>INDEX(Items!$C$2:$C$117,MATCH(B1075,Items!$A$2:$A$117,0))</f>
        <v/>
      </c>
      <c r="M1075" s="49">
        <f>INDEX(Items!$E$2:$E$117,MATCH(B1075,Items!$A$2:$A$117,0))</f>
        <v/>
      </c>
      <c r="N1075" s="17">
        <f>TEXT(D1075,"yyyy-mm")</f>
        <v/>
      </c>
      <c r="O1075" s="50">
        <f>G1075*J1075</f>
        <v/>
      </c>
      <c r="P1075" s="50">
        <f>(J1075-M1075)*G1075</f>
        <v/>
      </c>
      <c r="Q1075" s="51">
        <f>IF(K1075="Received",1,0)</f>
        <v/>
      </c>
      <c r="R1075" s="51">
        <f>IF(Q1075=1,F1075-D1075,0)</f>
        <v/>
      </c>
      <c r="S1075" s="51">
        <f>IF(Q1075=1,IF(F1075&lt;=E1075,1,0),0)</f>
        <v/>
      </c>
      <c r="T1075" s="51">
        <f>IF(Q1075=1,IF(H1075&gt;=G1075,1,0),0)</f>
        <v/>
      </c>
      <c r="U1075" s="51">
        <f>S1075*T1075</f>
        <v/>
      </c>
      <c r="V1075" s="51">
        <f>IF(Q1075=1,MAX(0,F1075-E1075),0)</f>
        <v/>
      </c>
    </row>
    <row r="1076">
      <c r="A1076" s="43" t="inlineStr">
        <is>
          <t>PO100830</t>
        </is>
      </c>
      <c r="B1076" s="43" t="inlineStr">
        <is>
          <t>CMD-0037</t>
        </is>
      </c>
      <c r="C1076" s="43" t="inlineStr">
        <is>
          <t>S07</t>
        </is>
      </c>
      <c r="D1076" s="47" t="n">
        <v>45947</v>
      </c>
      <c r="E1076" s="47" t="n">
        <v>45989</v>
      </c>
      <c r="F1076" s="47" t="n">
        <v>45988</v>
      </c>
      <c r="G1076" s="46" t="n">
        <v>399</v>
      </c>
      <c r="H1076" s="46" t="n">
        <v>399</v>
      </c>
      <c r="I1076" s="46" t="n">
        <v>3</v>
      </c>
      <c r="J1076" s="44" t="n">
        <v>53.62</v>
      </c>
      <c r="K1076" s="43" t="inlineStr">
        <is>
          <t>Received</t>
        </is>
      </c>
      <c r="L1076" s="17">
        <f>INDEX(Items!$C$2:$C$117,MATCH(B1076,Items!$A$2:$A$117,0))</f>
        <v/>
      </c>
      <c r="M1076" s="49">
        <f>INDEX(Items!$E$2:$E$117,MATCH(B1076,Items!$A$2:$A$117,0))</f>
        <v/>
      </c>
      <c r="N1076" s="17">
        <f>TEXT(D1076,"yyyy-mm")</f>
        <v/>
      </c>
      <c r="O1076" s="50">
        <f>G1076*J1076</f>
        <v/>
      </c>
      <c r="P1076" s="50">
        <f>(J1076-M1076)*G1076</f>
        <v/>
      </c>
      <c r="Q1076" s="51">
        <f>IF(K1076="Received",1,0)</f>
        <v/>
      </c>
      <c r="R1076" s="51">
        <f>IF(Q1076=1,F1076-D1076,0)</f>
        <v/>
      </c>
      <c r="S1076" s="51">
        <f>IF(Q1076=1,IF(F1076&lt;=E1076,1,0),0)</f>
        <v/>
      </c>
      <c r="T1076" s="51">
        <f>IF(Q1076=1,IF(H1076&gt;=G1076,1,0),0)</f>
        <v/>
      </c>
      <c r="U1076" s="51">
        <f>S1076*T1076</f>
        <v/>
      </c>
      <c r="V1076" s="51">
        <f>IF(Q1076=1,MAX(0,F1076-E1076),0)</f>
        <v/>
      </c>
    </row>
    <row r="1077">
      <c r="A1077" s="43" t="inlineStr">
        <is>
          <t>PO100782</t>
        </is>
      </c>
      <c r="B1077" s="43" t="inlineStr">
        <is>
          <t>CMD-0035</t>
        </is>
      </c>
      <c r="C1077" s="43" t="inlineStr">
        <is>
          <t>S01</t>
        </is>
      </c>
      <c r="D1077" s="47" t="n">
        <v>45947</v>
      </c>
      <c r="E1077" s="47" t="n">
        <v>45975</v>
      </c>
      <c r="F1077" s="47" t="n">
        <v>45973</v>
      </c>
      <c r="G1077" s="46" t="n">
        <v>585</v>
      </c>
      <c r="H1077" s="46" t="n">
        <v>585</v>
      </c>
      <c r="I1077" s="46" t="n">
        <v>3</v>
      </c>
      <c r="J1077" s="44" t="n">
        <v>9.369999999999999</v>
      </c>
      <c r="K1077" s="43" t="inlineStr">
        <is>
          <t>Received</t>
        </is>
      </c>
      <c r="L1077" s="17">
        <f>INDEX(Items!$C$2:$C$117,MATCH(B1077,Items!$A$2:$A$117,0))</f>
        <v/>
      </c>
      <c r="M1077" s="49">
        <f>INDEX(Items!$E$2:$E$117,MATCH(B1077,Items!$A$2:$A$117,0))</f>
        <v/>
      </c>
      <c r="N1077" s="17">
        <f>TEXT(D1077,"yyyy-mm")</f>
        <v/>
      </c>
      <c r="O1077" s="50">
        <f>G1077*J1077</f>
        <v/>
      </c>
      <c r="P1077" s="50">
        <f>(J1077-M1077)*G1077</f>
        <v/>
      </c>
      <c r="Q1077" s="51">
        <f>IF(K1077="Received",1,0)</f>
        <v/>
      </c>
      <c r="R1077" s="51">
        <f>IF(Q1077=1,F1077-D1077,0)</f>
        <v/>
      </c>
      <c r="S1077" s="51">
        <f>IF(Q1077=1,IF(F1077&lt;=E1077,1,0),0)</f>
        <v/>
      </c>
      <c r="T1077" s="51">
        <f>IF(Q1077=1,IF(H1077&gt;=G1077,1,0),0)</f>
        <v/>
      </c>
      <c r="U1077" s="51">
        <f>S1077*T1077</f>
        <v/>
      </c>
      <c r="V1077" s="51">
        <f>IF(Q1077=1,MAX(0,F1077-E1077),0)</f>
        <v/>
      </c>
    </row>
    <row r="1078">
      <c r="A1078" s="43" t="inlineStr">
        <is>
          <t>PO101972</t>
        </is>
      </c>
      <c r="B1078" s="43" t="inlineStr">
        <is>
          <t>CMD-0109</t>
        </is>
      </c>
      <c r="C1078" s="43" t="inlineStr">
        <is>
          <t>S12</t>
        </is>
      </c>
      <c r="D1078" s="47" t="n">
        <v>45947</v>
      </c>
      <c r="E1078" s="47" t="n">
        <v>45954</v>
      </c>
      <c r="F1078" s="47" t="n">
        <v>45952</v>
      </c>
      <c r="G1078" s="46" t="n">
        <v>6956</v>
      </c>
      <c r="H1078" s="46" t="n">
        <v>6956</v>
      </c>
      <c r="I1078" s="46" t="n">
        <v>11</v>
      </c>
      <c r="J1078" s="44" t="n">
        <v>1.7</v>
      </c>
      <c r="K1078" s="43" t="inlineStr">
        <is>
          <t>Received</t>
        </is>
      </c>
      <c r="L1078" s="17">
        <f>INDEX(Items!$C$2:$C$117,MATCH(B1078,Items!$A$2:$A$117,0))</f>
        <v/>
      </c>
      <c r="M1078" s="49">
        <f>INDEX(Items!$E$2:$E$117,MATCH(B1078,Items!$A$2:$A$117,0))</f>
        <v/>
      </c>
      <c r="N1078" s="17">
        <f>TEXT(D1078,"yyyy-mm")</f>
        <v/>
      </c>
      <c r="O1078" s="50">
        <f>G1078*J1078</f>
        <v/>
      </c>
      <c r="P1078" s="50">
        <f>(J1078-M1078)*G1078</f>
        <v/>
      </c>
      <c r="Q1078" s="51">
        <f>IF(K1078="Received",1,0)</f>
        <v/>
      </c>
      <c r="R1078" s="51">
        <f>IF(Q1078=1,F1078-D1078,0)</f>
        <v/>
      </c>
      <c r="S1078" s="51">
        <f>IF(Q1078=1,IF(F1078&lt;=E1078,1,0),0)</f>
        <v/>
      </c>
      <c r="T1078" s="51">
        <f>IF(Q1078=1,IF(H1078&gt;=G1078,1,0),0)</f>
        <v/>
      </c>
      <c r="U1078" s="51">
        <f>S1078*T1078</f>
        <v/>
      </c>
      <c r="V1078" s="51">
        <f>IF(Q1078=1,MAX(0,F1078-E1078),0)</f>
        <v/>
      </c>
    </row>
    <row r="1079">
      <c r="A1079" s="43" t="inlineStr">
        <is>
          <t>PO101240</t>
        </is>
      </c>
      <c r="B1079" s="43" t="inlineStr">
        <is>
          <t>CMD-0058</t>
        </is>
      </c>
      <c r="C1079" s="43" t="inlineStr">
        <is>
          <t>S04</t>
        </is>
      </c>
      <c r="D1079" s="47" t="n">
        <v>45947</v>
      </c>
      <c r="E1079" s="47" t="n">
        <v>45982</v>
      </c>
      <c r="F1079" s="47" t="n">
        <v>45984</v>
      </c>
      <c r="G1079" s="46" t="n">
        <v>58767</v>
      </c>
      <c r="H1079" s="46" t="n">
        <v>58767</v>
      </c>
      <c r="I1079" s="46" t="n">
        <v>567</v>
      </c>
      <c r="J1079" s="44" t="n">
        <v>0.1178</v>
      </c>
      <c r="K1079" s="43" t="inlineStr">
        <is>
          <t>Received</t>
        </is>
      </c>
      <c r="L1079" s="17">
        <f>INDEX(Items!$C$2:$C$117,MATCH(B1079,Items!$A$2:$A$117,0))</f>
        <v/>
      </c>
      <c r="M1079" s="49">
        <f>INDEX(Items!$E$2:$E$117,MATCH(B1079,Items!$A$2:$A$117,0))</f>
        <v/>
      </c>
      <c r="N1079" s="17">
        <f>TEXT(D1079,"yyyy-mm")</f>
        <v/>
      </c>
      <c r="O1079" s="50">
        <f>G1079*J1079</f>
        <v/>
      </c>
      <c r="P1079" s="50">
        <f>(J1079-M1079)*G1079</f>
        <v/>
      </c>
      <c r="Q1079" s="51">
        <f>IF(K1079="Received",1,0)</f>
        <v/>
      </c>
      <c r="R1079" s="51">
        <f>IF(Q1079=1,F1079-D1079,0)</f>
        <v/>
      </c>
      <c r="S1079" s="51">
        <f>IF(Q1079=1,IF(F1079&lt;=E1079,1,0),0)</f>
        <v/>
      </c>
      <c r="T1079" s="51">
        <f>IF(Q1079=1,IF(H1079&gt;=G1079,1,0),0)</f>
        <v/>
      </c>
      <c r="U1079" s="51">
        <f>S1079*T1079</f>
        <v/>
      </c>
      <c r="V1079" s="51">
        <f>IF(Q1079=1,MAX(0,F1079-E1079),0)</f>
        <v/>
      </c>
    </row>
    <row r="1080">
      <c r="A1080" s="43" t="inlineStr">
        <is>
          <t>PO101516</t>
        </is>
      </c>
      <c r="B1080" s="43" t="inlineStr">
        <is>
          <t>CMD-0080</t>
        </is>
      </c>
      <c r="C1080" s="43" t="inlineStr">
        <is>
          <t>S06</t>
        </is>
      </c>
      <c r="D1080" s="47" t="n">
        <v>45947</v>
      </c>
      <c r="E1080" s="47" t="n">
        <v>45968</v>
      </c>
      <c r="F1080" s="47" t="n">
        <v>45970</v>
      </c>
      <c r="G1080" s="46" t="n">
        <v>5478</v>
      </c>
      <c r="H1080" s="46" t="n">
        <v>5478</v>
      </c>
      <c r="I1080" s="46" t="n">
        <v>24</v>
      </c>
      <c r="J1080" s="44" t="n">
        <v>5.53</v>
      </c>
      <c r="K1080" s="43" t="inlineStr">
        <is>
          <t>Received</t>
        </is>
      </c>
      <c r="L1080" s="17">
        <f>INDEX(Items!$C$2:$C$117,MATCH(B1080,Items!$A$2:$A$117,0))</f>
        <v/>
      </c>
      <c r="M1080" s="49">
        <f>INDEX(Items!$E$2:$E$117,MATCH(B1080,Items!$A$2:$A$117,0))</f>
        <v/>
      </c>
      <c r="N1080" s="17">
        <f>TEXT(D1080,"yyyy-mm")</f>
        <v/>
      </c>
      <c r="O1080" s="50">
        <f>G1080*J1080</f>
        <v/>
      </c>
      <c r="P1080" s="50">
        <f>(J1080-M1080)*G1080</f>
        <v/>
      </c>
      <c r="Q1080" s="51">
        <f>IF(K1080="Received",1,0)</f>
        <v/>
      </c>
      <c r="R1080" s="51">
        <f>IF(Q1080=1,F1080-D1080,0)</f>
        <v/>
      </c>
      <c r="S1080" s="51">
        <f>IF(Q1080=1,IF(F1080&lt;=E1080,1,0),0)</f>
        <v/>
      </c>
      <c r="T1080" s="51">
        <f>IF(Q1080=1,IF(H1080&gt;=G1080,1,0),0)</f>
        <v/>
      </c>
      <c r="U1080" s="51">
        <f>S1080*T1080</f>
        <v/>
      </c>
      <c r="V1080" s="51">
        <f>IF(Q1080=1,MAX(0,F1080-E1080),0)</f>
        <v/>
      </c>
    </row>
    <row r="1081">
      <c r="A1081" s="43" t="inlineStr">
        <is>
          <t>PO100132</t>
        </is>
      </c>
      <c r="B1081" s="43" t="inlineStr">
        <is>
          <t>CMD-0006</t>
        </is>
      </c>
      <c r="C1081" s="43" t="inlineStr">
        <is>
          <t>S03</t>
        </is>
      </c>
      <c r="D1081" s="47" t="n">
        <v>45947</v>
      </c>
      <c r="E1081" s="47" t="n">
        <v>46080</v>
      </c>
      <c r="F1081" s="47" t="n">
        <v>46078</v>
      </c>
      <c r="G1081" s="46" t="n">
        <v>733</v>
      </c>
      <c r="H1081" s="46" t="n">
        <v>733</v>
      </c>
      <c r="I1081" s="46" t="n">
        <v>9</v>
      </c>
      <c r="J1081" s="44" t="n">
        <v>36.049</v>
      </c>
      <c r="K1081" s="43" t="inlineStr">
        <is>
          <t>Received</t>
        </is>
      </c>
      <c r="L1081" s="17">
        <f>INDEX(Items!$C$2:$C$117,MATCH(B1081,Items!$A$2:$A$117,0))</f>
        <v/>
      </c>
      <c r="M1081" s="49">
        <f>INDEX(Items!$E$2:$E$117,MATCH(B1081,Items!$A$2:$A$117,0))</f>
        <v/>
      </c>
      <c r="N1081" s="17">
        <f>TEXT(D1081,"yyyy-mm")</f>
        <v/>
      </c>
      <c r="O1081" s="50">
        <f>G1081*J1081</f>
        <v/>
      </c>
      <c r="P1081" s="50">
        <f>(J1081-M1081)*G1081</f>
        <v/>
      </c>
      <c r="Q1081" s="51">
        <f>IF(K1081="Received",1,0)</f>
        <v/>
      </c>
      <c r="R1081" s="51">
        <f>IF(Q1081=1,F1081-D1081,0)</f>
        <v/>
      </c>
      <c r="S1081" s="51">
        <f>IF(Q1081=1,IF(F1081&lt;=E1081,1,0),0)</f>
        <v/>
      </c>
      <c r="T1081" s="51">
        <f>IF(Q1081=1,IF(H1081&gt;=G1081,1,0),0)</f>
        <v/>
      </c>
      <c r="U1081" s="51">
        <f>S1081*T1081</f>
        <v/>
      </c>
      <c r="V1081" s="51">
        <f>IF(Q1081=1,MAX(0,F1081-E1081),0)</f>
        <v/>
      </c>
    </row>
    <row r="1082">
      <c r="A1082" s="43" t="inlineStr">
        <is>
          <t>PO100580</t>
        </is>
      </c>
      <c r="B1082" s="43" t="inlineStr">
        <is>
          <t>CMD-0026</t>
        </is>
      </c>
      <c r="C1082" s="43" t="inlineStr">
        <is>
          <t>S04</t>
        </is>
      </c>
      <c r="D1082" s="47" t="n">
        <v>45947</v>
      </c>
      <c r="E1082" s="47" t="n">
        <v>46017</v>
      </c>
      <c r="F1082" s="47" t="n">
        <v>46016</v>
      </c>
      <c r="G1082" s="46" t="n">
        <v>7252</v>
      </c>
      <c r="H1082" s="46" t="n">
        <v>7252</v>
      </c>
      <c r="I1082" s="46" t="n">
        <v>60</v>
      </c>
      <c r="J1082" s="44" t="n">
        <v>5.96</v>
      </c>
      <c r="K1082" s="43" t="inlineStr">
        <is>
          <t>Received</t>
        </is>
      </c>
      <c r="L1082" s="17">
        <f>INDEX(Items!$C$2:$C$117,MATCH(B1082,Items!$A$2:$A$117,0))</f>
        <v/>
      </c>
      <c r="M1082" s="49">
        <f>INDEX(Items!$E$2:$E$117,MATCH(B1082,Items!$A$2:$A$117,0))</f>
        <v/>
      </c>
      <c r="N1082" s="17">
        <f>TEXT(D1082,"yyyy-mm")</f>
        <v/>
      </c>
      <c r="O1082" s="50">
        <f>G1082*J1082</f>
        <v/>
      </c>
      <c r="P1082" s="50">
        <f>(J1082-M1082)*G1082</f>
        <v/>
      </c>
      <c r="Q1082" s="51">
        <f>IF(K1082="Received",1,0)</f>
        <v/>
      </c>
      <c r="R1082" s="51">
        <f>IF(Q1082=1,F1082-D1082,0)</f>
        <v/>
      </c>
      <c r="S1082" s="51">
        <f>IF(Q1082=1,IF(F1082&lt;=E1082,1,0),0)</f>
        <v/>
      </c>
      <c r="T1082" s="51">
        <f>IF(Q1082=1,IF(H1082&gt;=G1082,1,0),0)</f>
        <v/>
      </c>
      <c r="U1082" s="51">
        <f>S1082*T1082</f>
        <v/>
      </c>
      <c r="V1082" s="51">
        <f>IF(Q1082=1,MAX(0,F1082-E1082),0)</f>
        <v/>
      </c>
    </row>
    <row r="1083">
      <c r="A1083" s="43" t="inlineStr">
        <is>
          <t>PO100697</t>
        </is>
      </c>
      <c r="B1083" s="43" t="inlineStr">
        <is>
          <t>CMD-0031</t>
        </is>
      </c>
      <c r="C1083" s="43" t="inlineStr">
        <is>
          <t>S01</t>
        </is>
      </c>
      <c r="D1083" s="47" t="n">
        <v>45948</v>
      </c>
      <c r="E1083" s="47" t="n">
        <v>45976</v>
      </c>
      <c r="F1083" s="47" t="n">
        <v>45973</v>
      </c>
      <c r="G1083" s="46" t="n">
        <v>657</v>
      </c>
      <c r="H1083" s="46" t="n">
        <v>657</v>
      </c>
      <c r="I1083" s="46" t="n">
        <v>3</v>
      </c>
      <c r="J1083" s="44" t="n">
        <v>9.69</v>
      </c>
      <c r="K1083" s="43" t="inlineStr">
        <is>
          <t>Received</t>
        </is>
      </c>
      <c r="L1083" s="17">
        <f>INDEX(Items!$C$2:$C$117,MATCH(B1083,Items!$A$2:$A$117,0))</f>
        <v/>
      </c>
      <c r="M1083" s="49">
        <f>INDEX(Items!$E$2:$E$117,MATCH(B1083,Items!$A$2:$A$117,0))</f>
        <v/>
      </c>
      <c r="N1083" s="17">
        <f>TEXT(D1083,"yyyy-mm")</f>
        <v/>
      </c>
      <c r="O1083" s="50">
        <f>G1083*J1083</f>
        <v/>
      </c>
      <c r="P1083" s="50">
        <f>(J1083-M1083)*G1083</f>
        <v/>
      </c>
      <c r="Q1083" s="51">
        <f>IF(K1083="Received",1,0)</f>
        <v/>
      </c>
      <c r="R1083" s="51">
        <f>IF(Q1083=1,F1083-D1083,0)</f>
        <v/>
      </c>
      <c r="S1083" s="51">
        <f>IF(Q1083=1,IF(F1083&lt;=E1083,1,0),0)</f>
        <v/>
      </c>
      <c r="T1083" s="51">
        <f>IF(Q1083=1,IF(H1083&gt;=G1083,1,0),0)</f>
        <v/>
      </c>
      <c r="U1083" s="51">
        <f>S1083*T1083</f>
        <v/>
      </c>
      <c r="V1083" s="51">
        <f>IF(Q1083=1,MAX(0,F1083-E1083),0)</f>
        <v/>
      </c>
    </row>
    <row r="1084">
      <c r="A1084" s="43" t="inlineStr">
        <is>
          <t>PO101900</t>
        </is>
      </c>
      <c r="B1084" s="43" t="inlineStr">
        <is>
          <t>CMD-0103</t>
        </is>
      </c>
      <c r="C1084" s="43" t="inlineStr">
        <is>
          <t>S09</t>
        </is>
      </c>
      <c r="D1084" s="47" t="n">
        <v>45948</v>
      </c>
      <c r="E1084" s="47" t="n">
        <v>45969</v>
      </c>
      <c r="F1084" s="47" t="n">
        <v>45967</v>
      </c>
      <c r="G1084" s="46" t="n">
        <v>1106</v>
      </c>
      <c r="H1084" s="46" t="n">
        <v>1106</v>
      </c>
      <c r="I1084" s="46" t="n">
        <v>4</v>
      </c>
      <c r="J1084" s="44" t="n">
        <v>4.18</v>
      </c>
      <c r="K1084" s="43" t="inlineStr">
        <is>
          <t>Received</t>
        </is>
      </c>
      <c r="L1084" s="17">
        <f>INDEX(Items!$C$2:$C$117,MATCH(B1084,Items!$A$2:$A$117,0))</f>
        <v/>
      </c>
      <c r="M1084" s="49">
        <f>INDEX(Items!$E$2:$E$117,MATCH(B1084,Items!$A$2:$A$117,0))</f>
        <v/>
      </c>
      <c r="N1084" s="17">
        <f>TEXT(D1084,"yyyy-mm")</f>
        <v/>
      </c>
      <c r="O1084" s="50">
        <f>G1084*J1084</f>
        <v/>
      </c>
      <c r="P1084" s="50">
        <f>(J1084-M1084)*G1084</f>
        <v/>
      </c>
      <c r="Q1084" s="51">
        <f>IF(K1084="Received",1,0)</f>
        <v/>
      </c>
      <c r="R1084" s="51">
        <f>IF(Q1084=1,F1084-D1084,0)</f>
        <v/>
      </c>
      <c r="S1084" s="51">
        <f>IF(Q1084=1,IF(F1084&lt;=E1084,1,0),0)</f>
        <v/>
      </c>
      <c r="T1084" s="51">
        <f>IF(Q1084=1,IF(H1084&gt;=G1084,1,0),0)</f>
        <v/>
      </c>
      <c r="U1084" s="51">
        <f>S1084*T1084</f>
        <v/>
      </c>
      <c r="V1084" s="51">
        <f>IF(Q1084=1,MAX(0,F1084-E1084),0)</f>
        <v/>
      </c>
    </row>
    <row r="1085">
      <c r="A1085" s="43" t="inlineStr">
        <is>
          <t>PO101352</t>
        </is>
      </c>
      <c r="B1085" s="43" t="inlineStr">
        <is>
          <t>CMD-0068</t>
        </is>
      </c>
      <c r="C1085" s="43" t="inlineStr">
        <is>
          <t>S01</t>
        </is>
      </c>
      <c r="D1085" s="47" t="n">
        <v>45950</v>
      </c>
      <c r="E1085" s="47" t="n">
        <v>45971</v>
      </c>
      <c r="F1085" s="47" t="n">
        <v>45970</v>
      </c>
      <c r="G1085" s="46" t="n">
        <v>33934</v>
      </c>
      <c r="H1085" s="46" t="n">
        <v>33934</v>
      </c>
      <c r="I1085" s="46" t="n">
        <v>60</v>
      </c>
      <c r="J1085" s="44" t="n">
        <v>0.1562</v>
      </c>
      <c r="K1085" s="43" t="inlineStr">
        <is>
          <t>Received</t>
        </is>
      </c>
      <c r="L1085" s="17">
        <f>INDEX(Items!$C$2:$C$117,MATCH(B1085,Items!$A$2:$A$117,0))</f>
        <v/>
      </c>
      <c r="M1085" s="49">
        <f>INDEX(Items!$E$2:$E$117,MATCH(B1085,Items!$A$2:$A$117,0))</f>
        <v/>
      </c>
      <c r="N1085" s="17">
        <f>TEXT(D1085,"yyyy-mm")</f>
        <v/>
      </c>
      <c r="O1085" s="50">
        <f>G1085*J1085</f>
        <v/>
      </c>
      <c r="P1085" s="50">
        <f>(J1085-M1085)*G1085</f>
        <v/>
      </c>
      <c r="Q1085" s="51">
        <f>IF(K1085="Received",1,0)</f>
        <v/>
      </c>
      <c r="R1085" s="51">
        <f>IF(Q1085=1,F1085-D1085,0)</f>
        <v/>
      </c>
      <c r="S1085" s="51">
        <f>IF(Q1085=1,IF(F1085&lt;=E1085,1,0),0)</f>
        <v/>
      </c>
      <c r="T1085" s="51">
        <f>IF(Q1085=1,IF(H1085&gt;=G1085,1,0),0)</f>
        <v/>
      </c>
      <c r="U1085" s="51">
        <f>S1085*T1085</f>
        <v/>
      </c>
      <c r="V1085" s="51">
        <f>IF(Q1085=1,MAX(0,F1085-E1085),0)</f>
        <v/>
      </c>
    </row>
    <row r="1086">
      <c r="A1086" s="43" t="inlineStr">
        <is>
          <t>PO101795</t>
        </is>
      </c>
      <c r="B1086" s="43" t="inlineStr">
        <is>
          <t>CMD-0097</t>
        </is>
      </c>
      <c r="C1086" s="43" t="inlineStr">
        <is>
          <t>S09</t>
        </is>
      </c>
      <c r="D1086" s="47" t="n">
        <v>45950</v>
      </c>
      <c r="E1086" s="47" t="n">
        <v>45971</v>
      </c>
      <c r="F1086" s="47" t="n">
        <v>45971</v>
      </c>
      <c r="G1086" s="46" t="n">
        <v>659</v>
      </c>
      <c r="H1086" s="46" t="n">
        <v>659</v>
      </c>
      <c r="I1086" s="46" t="n">
        <v>1</v>
      </c>
      <c r="J1086" s="44" t="n">
        <v>9.27</v>
      </c>
      <c r="K1086" s="43" t="inlineStr">
        <is>
          <t>Received</t>
        </is>
      </c>
      <c r="L1086" s="17">
        <f>INDEX(Items!$C$2:$C$117,MATCH(B1086,Items!$A$2:$A$117,0))</f>
        <v/>
      </c>
      <c r="M1086" s="49">
        <f>INDEX(Items!$E$2:$E$117,MATCH(B1086,Items!$A$2:$A$117,0))</f>
        <v/>
      </c>
      <c r="N1086" s="17">
        <f>TEXT(D1086,"yyyy-mm")</f>
        <v/>
      </c>
      <c r="O1086" s="50">
        <f>G1086*J1086</f>
        <v/>
      </c>
      <c r="P1086" s="50">
        <f>(J1086-M1086)*G1086</f>
        <v/>
      </c>
      <c r="Q1086" s="51">
        <f>IF(K1086="Received",1,0)</f>
        <v/>
      </c>
      <c r="R1086" s="51">
        <f>IF(Q1086=1,F1086-D1086,0)</f>
        <v/>
      </c>
      <c r="S1086" s="51">
        <f>IF(Q1086=1,IF(F1086&lt;=E1086,1,0),0)</f>
        <v/>
      </c>
      <c r="T1086" s="51">
        <f>IF(Q1086=1,IF(H1086&gt;=G1086,1,0),0)</f>
        <v/>
      </c>
      <c r="U1086" s="51">
        <f>S1086*T1086</f>
        <v/>
      </c>
      <c r="V1086" s="51">
        <f>IF(Q1086=1,MAX(0,F1086-E1086),0)</f>
        <v/>
      </c>
    </row>
    <row r="1087">
      <c r="A1087" s="43" t="inlineStr">
        <is>
          <t>PO101609</t>
        </is>
      </c>
      <c r="B1087" s="43" t="inlineStr">
        <is>
          <t>CMD-0089</t>
        </is>
      </c>
      <c r="C1087" s="43" t="inlineStr">
        <is>
          <t>S01</t>
        </is>
      </c>
      <c r="D1087" s="47" t="n">
        <v>45951</v>
      </c>
      <c r="E1087" s="47" t="n">
        <v>45965</v>
      </c>
      <c r="F1087" s="47" t="n">
        <v>45964</v>
      </c>
      <c r="G1087" s="46" t="n">
        <v>610</v>
      </c>
      <c r="H1087" s="46" t="n">
        <v>610</v>
      </c>
      <c r="I1087" s="46" t="n">
        <v>2</v>
      </c>
      <c r="J1087" s="44" t="n">
        <v>9.49</v>
      </c>
      <c r="K1087" s="43" t="inlineStr">
        <is>
          <t>Received</t>
        </is>
      </c>
      <c r="L1087" s="17">
        <f>INDEX(Items!$C$2:$C$117,MATCH(B1087,Items!$A$2:$A$117,0))</f>
        <v/>
      </c>
      <c r="M1087" s="49">
        <f>INDEX(Items!$E$2:$E$117,MATCH(B1087,Items!$A$2:$A$117,0))</f>
        <v/>
      </c>
      <c r="N1087" s="17">
        <f>TEXT(D1087,"yyyy-mm")</f>
        <v/>
      </c>
      <c r="O1087" s="50">
        <f>G1087*J1087</f>
        <v/>
      </c>
      <c r="P1087" s="50">
        <f>(J1087-M1087)*G1087</f>
        <v/>
      </c>
      <c r="Q1087" s="51">
        <f>IF(K1087="Received",1,0)</f>
        <v/>
      </c>
      <c r="R1087" s="51">
        <f>IF(Q1087=1,F1087-D1087,0)</f>
        <v/>
      </c>
      <c r="S1087" s="51">
        <f>IF(Q1087=1,IF(F1087&lt;=E1087,1,0),0)</f>
        <v/>
      </c>
      <c r="T1087" s="51">
        <f>IF(Q1087=1,IF(H1087&gt;=G1087,1,0),0)</f>
        <v/>
      </c>
      <c r="U1087" s="51">
        <f>S1087*T1087</f>
        <v/>
      </c>
      <c r="V1087" s="51">
        <f>IF(Q1087=1,MAX(0,F1087-E1087),0)</f>
        <v/>
      </c>
    </row>
    <row r="1088">
      <c r="A1088" s="43" t="inlineStr">
        <is>
          <t>PO101151</t>
        </is>
      </c>
      <c r="B1088" s="43" t="inlineStr">
        <is>
          <t>CMD-0053</t>
        </is>
      </c>
      <c r="C1088" s="43" t="inlineStr">
        <is>
          <t>S04</t>
        </is>
      </c>
      <c r="D1088" s="47" t="n">
        <v>45951</v>
      </c>
      <c r="E1088" s="47" t="n">
        <v>45986</v>
      </c>
      <c r="F1088" s="47" t="n">
        <v>45984</v>
      </c>
      <c r="G1088" s="46" t="n">
        <v>46980</v>
      </c>
      <c r="H1088" s="46" t="n">
        <v>46980</v>
      </c>
      <c r="I1088" s="46" t="n">
        <v>420</v>
      </c>
      <c r="J1088" s="44" t="n">
        <v>0.0968</v>
      </c>
      <c r="K1088" s="43" t="inlineStr">
        <is>
          <t>Received</t>
        </is>
      </c>
      <c r="L1088" s="17">
        <f>INDEX(Items!$C$2:$C$117,MATCH(B1088,Items!$A$2:$A$117,0))</f>
        <v/>
      </c>
      <c r="M1088" s="49">
        <f>INDEX(Items!$E$2:$E$117,MATCH(B1088,Items!$A$2:$A$117,0))</f>
        <v/>
      </c>
      <c r="N1088" s="17">
        <f>TEXT(D1088,"yyyy-mm")</f>
        <v/>
      </c>
      <c r="O1088" s="50">
        <f>G1088*J1088</f>
        <v/>
      </c>
      <c r="P1088" s="50">
        <f>(J1088-M1088)*G1088</f>
        <v/>
      </c>
      <c r="Q1088" s="51">
        <f>IF(K1088="Received",1,0)</f>
        <v/>
      </c>
      <c r="R1088" s="51">
        <f>IF(Q1088=1,F1088-D1088,0)</f>
        <v/>
      </c>
      <c r="S1088" s="51">
        <f>IF(Q1088=1,IF(F1088&lt;=E1088,1,0),0)</f>
        <v/>
      </c>
      <c r="T1088" s="51">
        <f>IF(Q1088=1,IF(H1088&gt;=G1088,1,0),0)</f>
        <v/>
      </c>
      <c r="U1088" s="51">
        <f>S1088*T1088</f>
        <v/>
      </c>
      <c r="V1088" s="51">
        <f>IF(Q1088=1,MAX(0,F1088-E1088),0)</f>
        <v/>
      </c>
    </row>
    <row r="1089">
      <c r="A1089" s="43" t="inlineStr">
        <is>
          <t>PO101375</t>
        </is>
      </c>
      <c r="B1089" s="43" t="inlineStr">
        <is>
          <t>CMD-0070</t>
        </is>
      </c>
      <c r="C1089" s="43" t="inlineStr">
        <is>
          <t>S04</t>
        </is>
      </c>
      <c r="D1089" s="47" t="n">
        <v>45952</v>
      </c>
      <c r="E1089" s="47" t="n">
        <v>45987</v>
      </c>
      <c r="F1089" s="47" t="n">
        <v>46001</v>
      </c>
      <c r="G1089" s="46" t="n">
        <v>45944</v>
      </c>
      <c r="H1089" s="46" t="n">
        <v>45944</v>
      </c>
      <c r="I1089" s="46" t="n">
        <v>446</v>
      </c>
      <c r="J1089" s="44" t="n">
        <v>0.141</v>
      </c>
      <c r="K1089" s="43" t="inlineStr">
        <is>
          <t>Received</t>
        </is>
      </c>
      <c r="L1089" s="17">
        <f>INDEX(Items!$C$2:$C$117,MATCH(B1089,Items!$A$2:$A$117,0))</f>
        <v/>
      </c>
      <c r="M1089" s="49">
        <f>INDEX(Items!$E$2:$E$117,MATCH(B1089,Items!$A$2:$A$117,0))</f>
        <v/>
      </c>
      <c r="N1089" s="17">
        <f>TEXT(D1089,"yyyy-mm")</f>
        <v/>
      </c>
      <c r="O1089" s="50">
        <f>G1089*J1089</f>
        <v/>
      </c>
      <c r="P1089" s="50">
        <f>(J1089-M1089)*G1089</f>
        <v/>
      </c>
      <c r="Q1089" s="51">
        <f>IF(K1089="Received",1,0)</f>
        <v/>
      </c>
      <c r="R1089" s="51">
        <f>IF(Q1089=1,F1089-D1089,0)</f>
        <v/>
      </c>
      <c r="S1089" s="51">
        <f>IF(Q1089=1,IF(F1089&lt;=E1089,1,0),0)</f>
        <v/>
      </c>
      <c r="T1089" s="51">
        <f>IF(Q1089=1,IF(H1089&gt;=G1089,1,0),0)</f>
        <v/>
      </c>
      <c r="U1089" s="51">
        <f>S1089*T1089</f>
        <v/>
      </c>
      <c r="V1089" s="51">
        <f>IF(Q1089=1,MAX(0,F1089-E1089),0)</f>
        <v/>
      </c>
    </row>
    <row r="1090">
      <c r="A1090" s="43" t="inlineStr">
        <is>
          <t>PO101113</t>
        </is>
      </c>
      <c r="B1090" s="43" t="inlineStr">
        <is>
          <t>CMD-0051</t>
        </is>
      </c>
      <c r="C1090" s="43" t="inlineStr">
        <is>
          <t>S01</t>
        </is>
      </c>
      <c r="D1090" s="47" t="n">
        <v>45954</v>
      </c>
      <c r="E1090" s="47" t="n">
        <v>45975</v>
      </c>
      <c r="F1090" s="47" t="n">
        <v>45973</v>
      </c>
      <c r="G1090" s="46" t="n">
        <v>229564</v>
      </c>
      <c r="H1090" s="46" t="n">
        <v>229564</v>
      </c>
      <c r="I1090" s="46" t="n">
        <v>461</v>
      </c>
      <c r="J1090" s="44" t="n">
        <v>0.0236</v>
      </c>
      <c r="K1090" s="43" t="inlineStr">
        <is>
          <t>Received</t>
        </is>
      </c>
      <c r="L1090" s="17">
        <f>INDEX(Items!$C$2:$C$117,MATCH(B1090,Items!$A$2:$A$117,0))</f>
        <v/>
      </c>
      <c r="M1090" s="49">
        <f>INDEX(Items!$E$2:$E$117,MATCH(B1090,Items!$A$2:$A$117,0))</f>
        <v/>
      </c>
      <c r="N1090" s="17">
        <f>TEXT(D1090,"yyyy-mm")</f>
        <v/>
      </c>
      <c r="O1090" s="50">
        <f>G1090*J1090</f>
        <v/>
      </c>
      <c r="P1090" s="50">
        <f>(J1090-M1090)*G1090</f>
        <v/>
      </c>
      <c r="Q1090" s="51">
        <f>IF(K1090="Received",1,0)</f>
        <v/>
      </c>
      <c r="R1090" s="51">
        <f>IF(Q1090=1,F1090-D1090,0)</f>
        <v/>
      </c>
      <c r="S1090" s="51">
        <f>IF(Q1090=1,IF(F1090&lt;=E1090,1,0),0)</f>
        <v/>
      </c>
      <c r="T1090" s="51">
        <f>IF(Q1090=1,IF(H1090&gt;=G1090,1,0),0)</f>
        <v/>
      </c>
      <c r="U1090" s="51">
        <f>S1090*T1090</f>
        <v/>
      </c>
      <c r="V1090" s="51">
        <f>IF(Q1090=1,MAX(0,F1090-E1090),0)</f>
        <v/>
      </c>
    </row>
    <row r="1091">
      <c r="A1091" s="43" t="inlineStr">
        <is>
          <t>PO100714</t>
        </is>
      </c>
      <c r="B1091" s="43" t="inlineStr">
        <is>
          <t>CMD-0032</t>
        </is>
      </c>
      <c r="C1091" s="43" t="inlineStr">
        <is>
          <t>S01</t>
        </is>
      </c>
      <c r="D1091" s="47" t="n">
        <v>45955</v>
      </c>
      <c r="E1091" s="47" t="n">
        <v>45983</v>
      </c>
      <c r="F1091" s="47" t="n">
        <v>45981</v>
      </c>
      <c r="G1091" s="46" t="n">
        <v>1089</v>
      </c>
      <c r="H1091" s="46" t="n">
        <v>1089</v>
      </c>
      <c r="I1091" s="46" t="n">
        <v>1</v>
      </c>
      <c r="J1091" s="44" t="n">
        <v>5.15</v>
      </c>
      <c r="K1091" s="43" t="inlineStr">
        <is>
          <t>Received</t>
        </is>
      </c>
      <c r="L1091" s="17">
        <f>INDEX(Items!$C$2:$C$117,MATCH(B1091,Items!$A$2:$A$117,0))</f>
        <v/>
      </c>
      <c r="M1091" s="49">
        <f>INDEX(Items!$E$2:$E$117,MATCH(B1091,Items!$A$2:$A$117,0))</f>
        <v/>
      </c>
      <c r="N1091" s="17">
        <f>TEXT(D1091,"yyyy-mm")</f>
        <v/>
      </c>
      <c r="O1091" s="50">
        <f>G1091*J1091</f>
        <v/>
      </c>
      <c r="P1091" s="50">
        <f>(J1091-M1091)*G1091</f>
        <v/>
      </c>
      <c r="Q1091" s="51">
        <f>IF(K1091="Received",1,0)</f>
        <v/>
      </c>
      <c r="R1091" s="51">
        <f>IF(Q1091=1,F1091-D1091,0)</f>
        <v/>
      </c>
      <c r="S1091" s="51">
        <f>IF(Q1091=1,IF(F1091&lt;=E1091,1,0),0)</f>
        <v/>
      </c>
      <c r="T1091" s="51">
        <f>IF(Q1091=1,IF(H1091&gt;=G1091,1,0),0)</f>
        <v/>
      </c>
      <c r="U1091" s="51">
        <f>S1091*T1091</f>
        <v/>
      </c>
      <c r="V1091" s="51">
        <f>IF(Q1091=1,MAX(0,F1091-E1091),0)</f>
        <v/>
      </c>
    </row>
    <row r="1092">
      <c r="A1092" s="43" t="inlineStr">
        <is>
          <t>PO101213</t>
        </is>
      </c>
      <c r="B1092" s="43" t="inlineStr">
        <is>
          <t>CMD-0056</t>
        </is>
      </c>
      <c r="C1092" s="43" t="inlineStr">
        <is>
          <t>S04</t>
        </is>
      </c>
      <c r="D1092" s="47" t="n">
        <v>45957</v>
      </c>
      <c r="E1092" s="47" t="n">
        <v>45992</v>
      </c>
      <c r="F1092" s="47" t="n">
        <v>45990</v>
      </c>
      <c r="G1092" s="46" t="n">
        <v>52497</v>
      </c>
      <c r="H1092" s="46" t="n">
        <v>52497</v>
      </c>
      <c r="I1092" s="46" t="n">
        <v>530</v>
      </c>
      <c r="J1092" s="44" t="n">
        <v>0.1015</v>
      </c>
      <c r="K1092" s="43" t="inlineStr">
        <is>
          <t>Received</t>
        </is>
      </c>
      <c r="L1092" s="17">
        <f>INDEX(Items!$C$2:$C$117,MATCH(B1092,Items!$A$2:$A$117,0))</f>
        <v/>
      </c>
      <c r="M1092" s="49">
        <f>INDEX(Items!$E$2:$E$117,MATCH(B1092,Items!$A$2:$A$117,0))</f>
        <v/>
      </c>
      <c r="N1092" s="17">
        <f>TEXT(D1092,"yyyy-mm")</f>
        <v/>
      </c>
      <c r="O1092" s="50">
        <f>G1092*J1092</f>
        <v/>
      </c>
      <c r="P1092" s="50">
        <f>(J1092-M1092)*G1092</f>
        <v/>
      </c>
      <c r="Q1092" s="51">
        <f>IF(K1092="Received",1,0)</f>
        <v/>
      </c>
      <c r="R1092" s="51">
        <f>IF(Q1092=1,F1092-D1092,0)</f>
        <v/>
      </c>
      <c r="S1092" s="51">
        <f>IF(Q1092=1,IF(F1092&lt;=E1092,1,0),0)</f>
        <v/>
      </c>
      <c r="T1092" s="51">
        <f>IF(Q1092=1,IF(H1092&gt;=G1092,1,0),0)</f>
        <v/>
      </c>
      <c r="U1092" s="51">
        <f>S1092*T1092</f>
        <v/>
      </c>
      <c r="V1092" s="51">
        <f>IF(Q1092=1,MAX(0,F1092-E1092),0)</f>
        <v/>
      </c>
    </row>
    <row r="1093">
      <c r="A1093" s="43" t="inlineStr">
        <is>
          <t>PO101925</t>
        </is>
      </c>
      <c r="B1093" s="43" t="inlineStr">
        <is>
          <t>CMD-0106</t>
        </is>
      </c>
      <c r="C1093" s="43" t="inlineStr">
        <is>
          <t>S09</t>
        </is>
      </c>
      <c r="D1093" s="47" t="n">
        <v>45959</v>
      </c>
      <c r="E1093" s="47" t="n">
        <v>45980</v>
      </c>
      <c r="F1093" s="47" t="n">
        <v>45977</v>
      </c>
      <c r="G1093" s="46" t="n">
        <v>618</v>
      </c>
      <c r="H1093" s="46" t="n">
        <v>618</v>
      </c>
      <c r="I1093" s="46" t="n">
        <v>1</v>
      </c>
      <c r="J1093" s="44" t="n">
        <v>10.42</v>
      </c>
      <c r="K1093" s="43" t="inlineStr">
        <is>
          <t>Received</t>
        </is>
      </c>
      <c r="L1093" s="17">
        <f>INDEX(Items!$C$2:$C$117,MATCH(B1093,Items!$A$2:$A$117,0))</f>
        <v/>
      </c>
      <c r="M1093" s="49">
        <f>INDEX(Items!$E$2:$E$117,MATCH(B1093,Items!$A$2:$A$117,0))</f>
        <v/>
      </c>
      <c r="N1093" s="17">
        <f>TEXT(D1093,"yyyy-mm")</f>
        <v/>
      </c>
      <c r="O1093" s="50">
        <f>G1093*J1093</f>
        <v/>
      </c>
      <c r="P1093" s="50">
        <f>(J1093-M1093)*G1093</f>
        <v/>
      </c>
      <c r="Q1093" s="51">
        <f>IF(K1093="Received",1,0)</f>
        <v/>
      </c>
      <c r="R1093" s="51">
        <f>IF(Q1093=1,F1093-D1093,0)</f>
        <v/>
      </c>
      <c r="S1093" s="51">
        <f>IF(Q1093=1,IF(F1093&lt;=E1093,1,0),0)</f>
        <v/>
      </c>
      <c r="T1093" s="51">
        <f>IF(Q1093=1,IF(H1093&gt;=G1093,1,0),0)</f>
        <v/>
      </c>
      <c r="U1093" s="51">
        <f>S1093*T1093</f>
        <v/>
      </c>
      <c r="V1093" s="51">
        <f>IF(Q1093=1,MAX(0,F1093-E1093),0)</f>
        <v/>
      </c>
    </row>
    <row r="1094">
      <c r="A1094" s="43" t="inlineStr">
        <is>
          <t>PO101259</t>
        </is>
      </c>
      <c r="B1094" s="43" t="inlineStr">
        <is>
          <t>CMD-0059</t>
        </is>
      </c>
      <c r="C1094" s="43" t="inlineStr">
        <is>
          <t>S01</t>
        </is>
      </c>
      <c r="D1094" s="47" t="n">
        <v>45959</v>
      </c>
      <c r="E1094" s="47" t="n">
        <v>45980</v>
      </c>
      <c r="F1094" s="47" t="n">
        <v>45977</v>
      </c>
      <c r="G1094" s="46" t="n">
        <v>188329</v>
      </c>
      <c r="H1094" s="46" t="n">
        <v>188329</v>
      </c>
      <c r="I1094" s="46" t="n">
        <v>360</v>
      </c>
      <c r="J1094" s="44" t="n">
        <v>0.0281</v>
      </c>
      <c r="K1094" s="43" t="inlineStr">
        <is>
          <t>Received</t>
        </is>
      </c>
      <c r="L1094" s="17">
        <f>INDEX(Items!$C$2:$C$117,MATCH(B1094,Items!$A$2:$A$117,0))</f>
        <v/>
      </c>
      <c r="M1094" s="49">
        <f>INDEX(Items!$E$2:$E$117,MATCH(B1094,Items!$A$2:$A$117,0))</f>
        <v/>
      </c>
      <c r="N1094" s="17">
        <f>TEXT(D1094,"yyyy-mm")</f>
        <v/>
      </c>
      <c r="O1094" s="50">
        <f>G1094*J1094</f>
        <v/>
      </c>
      <c r="P1094" s="50">
        <f>(J1094-M1094)*G1094</f>
        <v/>
      </c>
      <c r="Q1094" s="51">
        <f>IF(K1094="Received",1,0)</f>
        <v/>
      </c>
      <c r="R1094" s="51">
        <f>IF(Q1094=1,F1094-D1094,0)</f>
        <v/>
      </c>
      <c r="S1094" s="51">
        <f>IF(Q1094=1,IF(F1094&lt;=E1094,1,0),0)</f>
        <v/>
      </c>
      <c r="T1094" s="51">
        <f>IF(Q1094=1,IF(H1094&gt;=G1094,1,0),0)</f>
        <v/>
      </c>
      <c r="U1094" s="51">
        <f>S1094*T1094</f>
        <v/>
      </c>
      <c r="V1094" s="51">
        <f>IF(Q1094=1,MAX(0,F1094-E1094),0)</f>
        <v/>
      </c>
    </row>
    <row r="1095">
      <c r="A1095" s="43" t="inlineStr">
        <is>
          <t>PO102010</t>
        </is>
      </c>
      <c r="B1095" s="43" t="inlineStr">
        <is>
          <t>CMD-0114</t>
        </is>
      </c>
      <c r="C1095" s="43" t="inlineStr">
        <is>
          <t>S12</t>
        </is>
      </c>
      <c r="D1095" s="47" t="n">
        <v>45961</v>
      </c>
      <c r="E1095" s="47" t="n">
        <v>45968</v>
      </c>
      <c r="F1095" s="47" t="n">
        <v>45965</v>
      </c>
      <c r="G1095" s="46" t="n">
        <v>14729</v>
      </c>
      <c r="H1095" s="46" t="n">
        <v>14729</v>
      </c>
      <c r="I1095" s="46" t="n">
        <v>21</v>
      </c>
      <c r="J1095" s="44" t="n">
        <v>0.3431</v>
      </c>
      <c r="K1095" s="43" t="inlineStr">
        <is>
          <t>Received</t>
        </is>
      </c>
      <c r="L1095" s="17">
        <f>INDEX(Items!$C$2:$C$117,MATCH(B1095,Items!$A$2:$A$117,0))</f>
        <v/>
      </c>
      <c r="M1095" s="49">
        <f>INDEX(Items!$E$2:$E$117,MATCH(B1095,Items!$A$2:$A$117,0))</f>
        <v/>
      </c>
      <c r="N1095" s="17">
        <f>TEXT(D1095,"yyyy-mm")</f>
        <v/>
      </c>
      <c r="O1095" s="50">
        <f>G1095*J1095</f>
        <v/>
      </c>
      <c r="P1095" s="50">
        <f>(J1095-M1095)*G1095</f>
        <v/>
      </c>
      <c r="Q1095" s="51">
        <f>IF(K1095="Received",1,0)</f>
        <v/>
      </c>
      <c r="R1095" s="51">
        <f>IF(Q1095=1,F1095-D1095,0)</f>
        <v/>
      </c>
      <c r="S1095" s="51">
        <f>IF(Q1095=1,IF(F1095&lt;=E1095,1,0),0)</f>
        <v/>
      </c>
      <c r="T1095" s="51">
        <f>IF(Q1095=1,IF(H1095&gt;=G1095,1,0),0)</f>
        <v/>
      </c>
      <c r="U1095" s="51">
        <f>S1095*T1095</f>
        <v/>
      </c>
      <c r="V1095" s="51">
        <f>IF(Q1095=1,MAX(0,F1095-E1095),0)</f>
        <v/>
      </c>
    </row>
    <row r="1096">
      <c r="A1096" s="43" t="inlineStr">
        <is>
          <t>PO100905</t>
        </is>
      </c>
      <c r="B1096" s="43" t="inlineStr">
        <is>
          <t>CMD-0041</t>
        </is>
      </c>
      <c r="C1096" s="43" t="inlineStr">
        <is>
          <t>S05</t>
        </is>
      </c>
      <c r="D1096" s="47" t="n">
        <v>45964</v>
      </c>
      <c r="E1096" s="47" t="n">
        <v>46069</v>
      </c>
      <c r="F1096" s="47" t="n">
        <v>46067</v>
      </c>
      <c r="G1096" s="46" t="n">
        <v>1063</v>
      </c>
      <c r="H1096" s="46" t="n">
        <v>1063</v>
      </c>
      <c r="I1096" s="46" t="n">
        <v>19</v>
      </c>
      <c r="J1096" s="44" t="n">
        <v>5.63</v>
      </c>
      <c r="K1096" s="43" t="inlineStr">
        <is>
          <t>Received</t>
        </is>
      </c>
      <c r="L1096" s="17">
        <f>INDEX(Items!$C$2:$C$117,MATCH(B1096,Items!$A$2:$A$117,0))</f>
        <v/>
      </c>
      <c r="M1096" s="49">
        <f>INDEX(Items!$E$2:$E$117,MATCH(B1096,Items!$A$2:$A$117,0))</f>
        <v/>
      </c>
      <c r="N1096" s="17">
        <f>TEXT(D1096,"yyyy-mm")</f>
        <v/>
      </c>
      <c r="O1096" s="50">
        <f>G1096*J1096</f>
        <v/>
      </c>
      <c r="P1096" s="50">
        <f>(J1096-M1096)*G1096</f>
        <v/>
      </c>
      <c r="Q1096" s="51">
        <f>IF(K1096="Received",1,0)</f>
        <v/>
      </c>
      <c r="R1096" s="51">
        <f>IF(Q1096=1,F1096-D1096,0)</f>
        <v/>
      </c>
      <c r="S1096" s="51">
        <f>IF(Q1096=1,IF(F1096&lt;=E1096,1,0),0)</f>
        <v/>
      </c>
      <c r="T1096" s="51">
        <f>IF(Q1096=1,IF(H1096&gt;=G1096,1,0),0)</f>
        <v/>
      </c>
      <c r="U1096" s="51">
        <f>S1096*T1096</f>
        <v/>
      </c>
      <c r="V1096" s="51">
        <f>IF(Q1096=1,MAX(0,F1096-E1096),0)</f>
        <v/>
      </c>
    </row>
    <row r="1097">
      <c r="A1097" s="43" t="inlineStr">
        <is>
          <t>PO101809</t>
        </is>
      </c>
      <c r="B1097" s="43" t="inlineStr">
        <is>
          <t>CMD-0098</t>
        </is>
      </c>
      <c r="C1097" s="43" t="inlineStr">
        <is>
          <t>S09</t>
        </is>
      </c>
      <c r="D1097" s="47" t="n">
        <v>45967</v>
      </c>
      <c r="E1097" s="47" t="n">
        <v>45988</v>
      </c>
      <c r="F1097" s="47" t="n">
        <v>45986</v>
      </c>
      <c r="G1097" s="46" t="n">
        <v>740</v>
      </c>
      <c r="H1097" s="46" t="n">
        <v>740</v>
      </c>
      <c r="I1097" s="46" t="n">
        <v>4</v>
      </c>
      <c r="J1097" s="44" t="n">
        <v>7.2</v>
      </c>
      <c r="K1097" s="43" t="inlineStr">
        <is>
          <t>Received</t>
        </is>
      </c>
      <c r="L1097" s="17">
        <f>INDEX(Items!$C$2:$C$117,MATCH(B1097,Items!$A$2:$A$117,0))</f>
        <v/>
      </c>
      <c r="M1097" s="49">
        <f>INDEX(Items!$E$2:$E$117,MATCH(B1097,Items!$A$2:$A$117,0))</f>
        <v/>
      </c>
      <c r="N1097" s="17">
        <f>TEXT(D1097,"yyyy-mm")</f>
        <v/>
      </c>
      <c r="O1097" s="50">
        <f>G1097*J1097</f>
        <v/>
      </c>
      <c r="P1097" s="50">
        <f>(J1097-M1097)*G1097</f>
        <v/>
      </c>
      <c r="Q1097" s="51">
        <f>IF(K1097="Received",1,0)</f>
        <v/>
      </c>
      <c r="R1097" s="51">
        <f>IF(Q1097=1,F1097-D1097,0)</f>
        <v/>
      </c>
      <c r="S1097" s="51">
        <f>IF(Q1097=1,IF(F1097&lt;=E1097,1,0),0)</f>
        <v/>
      </c>
      <c r="T1097" s="51">
        <f>IF(Q1097=1,IF(H1097&gt;=G1097,1,0),0)</f>
        <v/>
      </c>
      <c r="U1097" s="51">
        <f>S1097*T1097</f>
        <v/>
      </c>
      <c r="V1097" s="51">
        <f>IF(Q1097=1,MAX(0,F1097-E1097),0)</f>
        <v/>
      </c>
    </row>
    <row r="1098">
      <c r="A1098" s="43" t="inlineStr">
        <is>
          <t>PO100895</t>
        </is>
      </c>
      <c r="B1098" s="43" t="inlineStr">
        <is>
          <t>CMD-0040</t>
        </is>
      </c>
      <c r="C1098" s="43" t="inlineStr">
        <is>
          <t>S07</t>
        </is>
      </c>
      <c r="D1098" s="47" t="n">
        <v>45967</v>
      </c>
      <c r="E1098" s="47" t="n">
        <v>46009</v>
      </c>
      <c r="F1098" s="47" t="n">
        <v>46010</v>
      </c>
      <c r="G1098" s="46" t="n">
        <v>532</v>
      </c>
      <c r="H1098" s="46" t="n">
        <v>532</v>
      </c>
      <c r="I1098" s="46" t="n">
        <v>6</v>
      </c>
      <c r="J1098" s="44" t="n">
        <v>8.960000000000001</v>
      </c>
      <c r="K1098" s="43" t="inlineStr">
        <is>
          <t>Received</t>
        </is>
      </c>
      <c r="L1098" s="17">
        <f>INDEX(Items!$C$2:$C$117,MATCH(B1098,Items!$A$2:$A$117,0))</f>
        <v/>
      </c>
      <c r="M1098" s="49">
        <f>INDEX(Items!$E$2:$E$117,MATCH(B1098,Items!$A$2:$A$117,0))</f>
        <v/>
      </c>
      <c r="N1098" s="17">
        <f>TEXT(D1098,"yyyy-mm")</f>
        <v/>
      </c>
      <c r="O1098" s="50">
        <f>G1098*J1098</f>
        <v/>
      </c>
      <c r="P1098" s="50">
        <f>(J1098-M1098)*G1098</f>
        <v/>
      </c>
      <c r="Q1098" s="51">
        <f>IF(K1098="Received",1,0)</f>
        <v/>
      </c>
      <c r="R1098" s="51">
        <f>IF(Q1098=1,F1098-D1098,0)</f>
        <v/>
      </c>
      <c r="S1098" s="51">
        <f>IF(Q1098=1,IF(F1098&lt;=E1098,1,0),0)</f>
        <v/>
      </c>
      <c r="T1098" s="51">
        <f>IF(Q1098=1,IF(H1098&gt;=G1098,1,0),0)</f>
        <v/>
      </c>
      <c r="U1098" s="51">
        <f>S1098*T1098</f>
        <v/>
      </c>
      <c r="V1098" s="51">
        <f>IF(Q1098=1,MAX(0,F1098-E1098),0)</f>
        <v/>
      </c>
    </row>
    <row r="1099">
      <c r="A1099" s="43" t="inlineStr">
        <is>
          <t>PO100401</t>
        </is>
      </c>
      <c r="B1099" s="43" t="inlineStr">
        <is>
          <t>CMD-0018</t>
        </is>
      </c>
      <c r="C1099" s="43" t="inlineStr">
        <is>
          <t>S02</t>
        </is>
      </c>
      <c r="D1099" s="47" t="n">
        <v>45970</v>
      </c>
      <c r="E1099" s="47" t="n">
        <v>46026</v>
      </c>
      <c r="F1099" s="47" t="n">
        <v>46023</v>
      </c>
      <c r="G1099" s="46" t="n">
        <v>7637</v>
      </c>
      <c r="H1099" s="46" t="n">
        <v>7637</v>
      </c>
      <c r="I1099" s="46" t="n">
        <v>23</v>
      </c>
      <c r="J1099" s="44" t="n">
        <v>37.92</v>
      </c>
      <c r="K1099" s="43" t="inlineStr">
        <is>
          <t>Received</t>
        </is>
      </c>
      <c r="L1099" s="17">
        <f>INDEX(Items!$C$2:$C$117,MATCH(B1099,Items!$A$2:$A$117,0))</f>
        <v/>
      </c>
      <c r="M1099" s="49">
        <f>INDEX(Items!$E$2:$E$117,MATCH(B1099,Items!$A$2:$A$117,0))</f>
        <v/>
      </c>
      <c r="N1099" s="17">
        <f>TEXT(D1099,"yyyy-mm")</f>
        <v/>
      </c>
      <c r="O1099" s="50">
        <f>G1099*J1099</f>
        <v/>
      </c>
      <c r="P1099" s="50">
        <f>(J1099-M1099)*G1099</f>
        <v/>
      </c>
      <c r="Q1099" s="51">
        <f>IF(K1099="Received",1,0)</f>
        <v/>
      </c>
      <c r="R1099" s="51">
        <f>IF(Q1099=1,F1099-D1099,0)</f>
        <v/>
      </c>
      <c r="S1099" s="51">
        <f>IF(Q1099=1,IF(F1099&lt;=E1099,1,0),0)</f>
        <v/>
      </c>
      <c r="T1099" s="51">
        <f>IF(Q1099=1,IF(H1099&gt;=G1099,1,0),0)</f>
        <v/>
      </c>
      <c r="U1099" s="51">
        <f>S1099*T1099</f>
        <v/>
      </c>
      <c r="V1099" s="51">
        <f>IF(Q1099=1,MAX(0,F1099-E1099),0)</f>
        <v/>
      </c>
    </row>
    <row r="1100">
      <c r="A1100" s="43" t="inlineStr">
        <is>
          <t>PO101655</t>
        </is>
      </c>
      <c r="B1100" s="43" t="inlineStr">
        <is>
          <t>CMD-0091</t>
        </is>
      </c>
      <c r="C1100" s="43" t="inlineStr">
        <is>
          <t>S08</t>
        </is>
      </c>
      <c r="D1100" s="47" t="n">
        <v>45970</v>
      </c>
      <c r="E1100" s="47" t="n">
        <v>46047</v>
      </c>
      <c r="F1100" s="47" t="n">
        <v>46044</v>
      </c>
      <c r="G1100" s="46" t="n">
        <v>1007</v>
      </c>
      <c r="H1100" s="46" t="n">
        <v>1007</v>
      </c>
      <c r="I1100" s="46" t="n">
        <v>12</v>
      </c>
      <c r="J1100" s="44" t="n">
        <v>23.8</v>
      </c>
      <c r="K1100" s="43" t="inlineStr">
        <is>
          <t>Received</t>
        </is>
      </c>
      <c r="L1100" s="17">
        <f>INDEX(Items!$C$2:$C$117,MATCH(B1100,Items!$A$2:$A$117,0))</f>
        <v/>
      </c>
      <c r="M1100" s="49">
        <f>INDEX(Items!$E$2:$E$117,MATCH(B1100,Items!$A$2:$A$117,0))</f>
        <v/>
      </c>
      <c r="N1100" s="17">
        <f>TEXT(D1100,"yyyy-mm")</f>
        <v/>
      </c>
      <c r="O1100" s="50">
        <f>G1100*J1100</f>
        <v/>
      </c>
      <c r="P1100" s="50">
        <f>(J1100-M1100)*G1100</f>
        <v/>
      </c>
      <c r="Q1100" s="51">
        <f>IF(K1100="Received",1,0)</f>
        <v/>
      </c>
      <c r="R1100" s="51">
        <f>IF(Q1100=1,F1100-D1100,0)</f>
        <v/>
      </c>
      <c r="S1100" s="51">
        <f>IF(Q1100=1,IF(F1100&lt;=E1100,1,0),0)</f>
        <v/>
      </c>
      <c r="T1100" s="51">
        <f>IF(Q1100=1,IF(H1100&gt;=G1100,1,0),0)</f>
        <v/>
      </c>
      <c r="U1100" s="51">
        <f>S1100*T1100</f>
        <v/>
      </c>
      <c r="V1100" s="51">
        <f>IF(Q1100=1,MAX(0,F1100-E1100),0)</f>
        <v/>
      </c>
    </row>
    <row r="1101">
      <c r="A1101" s="43" t="inlineStr">
        <is>
          <t>PO100281</t>
        </is>
      </c>
      <c r="B1101" s="43" t="inlineStr">
        <is>
          <t>CMD-0013</t>
        </is>
      </c>
      <c r="C1101" s="43" t="inlineStr">
        <is>
          <t>S11</t>
        </is>
      </c>
      <c r="D1101" s="47" t="n">
        <v>45970</v>
      </c>
      <c r="E1101" s="47" t="n">
        <v>46089</v>
      </c>
      <c r="F1101" s="47" t="n">
        <v>46086</v>
      </c>
      <c r="G1101" s="46" t="n">
        <v>949</v>
      </c>
      <c r="H1101" s="46" t="n">
        <v>949</v>
      </c>
      <c r="I1101" s="46" t="n">
        <v>2</v>
      </c>
      <c r="J1101" s="44" t="n">
        <v>7.965</v>
      </c>
      <c r="K1101" s="43" t="inlineStr">
        <is>
          <t>Received</t>
        </is>
      </c>
      <c r="L1101" s="17">
        <f>INDEX(Items!$C$2:$C$117,MATCH(B1101,Items!$A$2:$A$117,0))</f>
        <v/>
      </c>
      <c r="M1101" s="49">
        <f>INDEX(Items!$E$2:$E$117,MATCH(B1101,Items!$A$2:$A$117,0))</f>
        <v/>
      </c>
      <c r="N1101" s="17">
        <f>TEXT(D1101,"yyyy-mm")</f>
        <v/>
      </c>
      <c r="O1101" s="50">
        <f>G1101*J1101</f>
        <v/>
      </c>
      <c r="P1101" s="50">
        <f>(J1101-M1101)*G1101</f>
        <v/>
      </c>
      <c r="Q1101" s="51">
        <f>IF(K1101="Received",1,0)</f>
        <v/>
      </c>
      <c r="R1101" s="51">
        <f>IF(Q1101=1,F1101-D1101,0)</f>
        <v/>
      </c>
      <c r="S1101" s="51">
        <f>IF(Q1101=1,IF(F1101&lt;=E1101,1,0),0)</f>
        <v/>
      </c>
      <c r="T1101" s="51">
        <f>IF(Q1101=1,IF(H1101&gt;=G1101,1,0),0)</f>
        <v/>
      </c>
      <c r="U1101" s="51">
        <f>S1101*T1101</f>
        <v/>
      </c>
      <c r="V1101" s="51">
        <f>IF(Q1101=1,MAX(0,F1101-E1101),0)</f>
        <v/>
      </c>
    </row>
    <row r="1102">
      <c r="A1102" s="43" t="inlineStr">
        <is>
          <t>PO100947</t>
        </is>
      </c>
      <c r="B1102" s="43" t="inlineStr">
        <is>
          <t>CMD-0043</t>
        </is>
      </c>
      <c r="C1102" s="43" t="inlineStr">
        <is>
          <t>S05</t>
        </is>
      </c>
      <c r="D1102" s="47" t="n">
        <v>45970</v>
      </c>
      <c r="E1102" s="47" t="n">
        <v>46075</v>
      </c>
      <c r="F1102" s="47" t="n">
        <v>46072</v>
      </c>
      <c r="G1102" s="46" t="n">
        <v>5070</v>
      </c>
      <c r="H1102" s="46" t="n">
        <v>5070</v>
      </c>
      <c r="I1102" s="46" t="n">
        <v>79</v>
      </c>
      <c r="J1102" s="44" t="n">
        <v>3.69</v>
      </c>
      <c r="K1102" s="43" t="inlineStr">
        <is>
          <t>Received</t>
        </is>
      </c>
      <c r="L1102" s="17">
        <f>INDEX(Items!$C$2:$C$117,MATCH(B1102,Items!$A$2:$A$117,0))</f>
        <v/>
      </c>
      <c r="M1102" s="49">
        <f>INDEX(Items!$E$2:$E$117,MATCH(B1102,Items!$A$2:$A$117,0))</f>
        <v/>
      </c>
      <c r="N1102" s="17">
        <f>TEXT(D1102,"yyyy-mm")</f>
        <v/>
      </c>
      <c r="O1102" s="50">
        <f>G1102*J1102</f>
        <v/>
      </c>
      <c r="P1102" s="50">
        <f>(J1102-M1102)*G1102</f>
        <v/>
      </c>
      <c r="Q1102" s="51">
        <f>IF(K1102="Received",1,0)</f>
        <v/>
      </c>
      <c r="R1102" s="51">
        <f>IF(Q1102=1,F1102-D1102,0)</f>
        <v/>
      </c>
      <c r="S1102" s="51">
        <f>IF(Q1102=1,IF(F1102&lt;=E1102,1,0),0)</f>
        <v/>
      </c>
      <c r="T1102" s="51">
        <f>IF(Q1102=1,IF(H1102&gt;=G1102,1,0),0)</f>
        <v/>
      </c>
      <c r="U1102" s="51">
        <f>S1102*T1102</f>
        <v/>
      </c>
      <c r="V1102" s="51">
        <f>IF(Q1102=1,MAX(0,F1102-E1102),0)</f>
        <v/>
      </c>
    </row>
    <row r="1103">
      <c r="A1103" s="43" t="inlineStr">
        <is>
          <t>PO101409</t>
        </is>
      </c>
      <c r="B1103" s="43" t="inlineStr">
        <is>
          <t>CMD-0074</t>
        </is>
      </c>
      <c r="C1103" s="43" t="inlineStr">
        <is>
          <t>S10</t>
        </is>
      </c>
      <c r="D1103" s="47" t="n">
        <v>45970</v>
      </c>
      <c r="E1103" s="47" t="n">
        <v>45998</v>
      </c>
      <c r="F1103" s="47" t="n">
        <v>45998</v>
      </c>
      <c r="G1103" s="46" t="n">
        <v>55709</v>
      </c>
      <c r="H1103" s="46" t="n">
        <v>55709</v>
      </c>
      <c r="I1103" s="46" t="n">
        <v>59</v>
      </c>
      <c r="J1103" s="44" t="n">
        <v>0.3496</v>
      </c>
      <c r="K1103" s="43" t="inlineStr">
        <is>
          <t>Received</t>
        </is>
      </c>
      <c r="L1103" s="17">
        <f>INDEX(Items!$C$2:$C$117,MATCH(B1103,Items!$A$2:$A$117,0))</f>
        <v/>
      </c>
      <c r="M1103" s="49">
        <f>INDEX(Items!$E$2:$E$117,MATCH(B1103,Items!$A$2:$A$117,0))</f>
        <v/>
      </c>
      <c r="N1103" s="17">
        <f>TEXT(D1103,"yyyy-mm")</f>
        <v/>
      </c>
      <c r="O1103" s="50">
        <f>G1103*J1103</f>
        <v/>
      </c>
      <c r="P1103" s="50">
        <f>(J1103-M1103)*G1103</f>
        <v/>
      </c>
      <c r="Q1103" s="51">
        <f>IF(K1103="Received",1,0)</f>
        <v/>
      </c>
      <c r="R1103" s="51">
        <f>IF(Q1103=1,F1103-D1103,0)</f>
        <v/>
      </c>
      <c r="S1103" s="51">
        <f>IF(Q1103=1,IF(F1103&lt;=E1103,1,0),0)</f>
        <v/>
      </c>
      <c r="T1103" s="51">
        <f>IF(Q1103=1,IF(H1103&gt;=G1103,1,0),0)</f>
        <v/>
      </c>
      <c r="U1103" s="51">
        <f>S1103*T1103</f>
        <v/>
      </c>
      <c r="V1103" s="51">
        <f>IF(Q1103=1,MAX(0,F1103-E1103),0)</f>
        <v/>
      </c>
    </row>
    <row r="1104">
      <c r="A1104" s="43" t="inlineStr">
        <is>
          <t>PO100443</t>
        </is>
      </c>
      <c r="B1104" s="43" t="inlineStr">
        <is>
          <t>CMD-0020</t>
        </is>
      </c>
      <c r="C1104" s="43" t="inlineStr">
        <is>
          <t>S04</t>
        </is>
      </c>
      <c r="D1104" s="47" t="n">
        <v>45970</v>
      </c>
      <c r="E1104" s="47" t="n">
        <v>46040</v>
      </c>
      <c r="F1104" s="47" t="n">
        <v>46040</v>
      </c>
      <c r="G1104" s="46" t="n">
        <v>3406</v>
      </c>
      <c r="H1104" s="46" t="n">
        <v>3406</v>
      </c>
      <c r="I1104" s="46" t="n">
        <v>32</v>
      </c>
      <c r="J1104" s="44" t="n">
        <v>5.03</v>
      </c>
      <c r="K1104" s="43" t="inlineStr">
        <is>
          <t>Received</t>
        </is>
      </c>
      <c r="L1104" s="17">
        <f>INDEX(Items!$C$2:$C$117,MATCH(B1104,Items!$A$2:$A$117,0))</f>
        <v/>
      </c>
      <c r="M1104" s="49">
        <f>INDEX(Items!$E$2:$E$117,MATCH(B1104,Items!$A$2:$A$117,0))</f>
        <v/>
      </c>
      <c r="N1104" s="17">
        <f>TEXT(D1104,"yyyy-mm")</f>
        <v/>
      </c>
      <c r="O1104" s="50">
        <f>G1104*J1104</f>
        <v/>
      </c>
      <c r="P1104" s="50">
        <f>(J1104-M1104)*G1104</f>
        <v/>
      </c>
      <c r="Q1104" s="51">
        <f>IF(K1104="Received",1,0)</f>
        <v/>
      </c>
      <c r="R1104" s="51">
        <f>IF(Q1104=1,F1104-D1104,0)</f>
        <v/>
      </c>
      <c r="S1104" s="51">
        <f>IF(Q1104=1,IF(F1104&lt;=E1104,1,0),0)</f>
        <v/>
      </c>
      <c r="T1104" s="51">
        <f>IF(Q1104=1,IF(H1104&gt;=G1104,1,0),0)</f>
        <v/>
      </c>
      <c r="U1104" s="51">
        <f>S1104*T1104</f>
        <v/>
      </c>
      <c r="V1104" s="51">
        <f>IF(Q1104=1,MAX(0,F1104-E1104),0)</f>
        <v/>
      </c>
    </row>
    <row r="1105">
      <c r="A1105" s="43" t="inlineStr">
        <is>
          <t>PO100735</t>
        </is>
      </c>
      <c r="B1105" s="43" t="inlineStr">
        <is>
          <t>CMD-0033</t>
        </is>
      </c>
      <c r="C1105" s="43" t="inlineStr">
        <is>
          <t>S07</t>
        </is>
      </c>
      <c r="D1105" s="47" t="n">
        <v>45970</v>
      </c>
      <c r="E1105" s="47" t="n">
        <v>46012</v>
      </c>
      <c r="F1105" s="47" t="n">
        <v>46013</v>
      </c>
      <c r="G1105" s="46" t="n">
        <v>3745</v>
      </c>
      <c r="H1105" s="46" t="n">
        <v>3745</v>
      </c>
      <c r="I1105" s="46" t="n">
        <v>31</v>
      </c>
      <c r="J1105" s="44" t="n">
        <v>58.36</v>
      </c>
      <c r="K1105" s="43" t="inlineStr">
        <is>
          <t>Received</t>
        </is>
      </c>
      <c r="L1105" s="17">
        <f>INDEX(Items!$C$2:$C$117,MATCH(B1105,Items!$A$2:$A$117,0))</f>
        <v/>
      </c>
      <c r="M1105" s="49">
        <f>INDEX(Items!$E$2:$E$117,MATCH(B1105,Items!$A$2:$A$117,0))</f>
        <v/>
      </c>
      <c r="N1105" s="17">
        <f>TEXT(D1105,"yyyy-mm")</f>
        <v/>
      </c>
      <c r="O1105" s="50">
        <f>G1105*J1105</f>
        <v/>
      </c>
      <c r="P1105" s="50">
        <f>(J1105-M1105)*G1105</f>
        <v/>
      </c>
      <c r="Q1105" s="51">
        <f>IF(K1105="Received",1,0)</f>
        <v/>
      </c>
      <c r="R1105" s="51">
        <f>IF(Q1105=1,F1105-D1105,0)</f>
        <v/>
      </c>
      <c r="S1105" s="51">
        <f>IF(Q1105=1,IF(F1105&lt;=E1105,1,0),0)</f>
        <v/>
      </c>
      <c r="T1105" s="51">
        <f>IF(Q1105=1,IF(H1105&gt;=G1105,1,0),0)</f>
        <v/>
      </c>
      <c r="U1105" s="51">
        <f>S1105*T1105</f>
        <v/>
      </c>
      <c r="V1105" s="51">
        <f>IF(Q1105=1,MAX(0,F1105-E1105),0)</f>
        <v/>
      </c>
    </row>
    <row r="1106">
      <c r="A1106" s="43" t="inlineStr">
        <is>
          <t>PO100061</t>
        </is>
      </c>
      <c r="B1106" s="43" t="inlineStr">
        <is>
          <t>CMD-0003</t>
        </is>
      </c>
      <c r="C1106" s="43" t="inlineStr">
        <is>
          <t>S11</t>
        </is>
      </c>
      <c r="D1106" s="47" t="n">
        <v>45971</v>
      </c>
      <c r="E1106" s="47" t="n">
        <v>46090</v>
      </c>
      <c r="F1106" s="47" t="n">
        <v>46120</v>
      </c>
      <c r="G1106" s="46" t="n">
        <v>7646</v>
      </c>
      <c r="H1106" s="46" t="n">
        <v>7646</v>
      </c>
      <c r="I1106" s="46" t="n">
        <v>24</v>
      </c>
      <c r="J1106" s="44" t="n">
        <v>25.3582</v>
      </c>
      <c r="K1106" s="43" t="inlineStr">
        <is>
          <t>Received</t>
        </is>
      </c>
      <c r="L1106" s="17">
        <f>INDEX(Items!$C$2:$C$117,MATCH(B1106,Items!$A$2:$A$117,0))</f>
        <v/>
      </c>
      <c r="M1106" s="49">
        <f>INDEX(Items!$E$2:$E$117,MATCH(B1106,Items!$A$2:$A$117,0))</f>
        <v/>
      </c>
      <c r="N1106" s="17">
        <f>TEXT(D1106,"yyyy-mm")</f>
        <v/>
      </c>
      <c r="O1106" s="50">
        <f>G1106*J1106</f>
        <v/>
      </c>
      <c r="P1106" s="50">
        <f>(J1106-M1106)*G1106</f>
        <v/>
      </c>
      <c r="Q1106" s="51">
        <f>IF(K1106="Received",1,0)</f>
        <v/>
      </c>
      <c r="R1106" s="51">
        <f>IF(Q1106=1,F1106-D1106,0)</f>
        <v/>
      </c>
      <c r="S1106" s="51">
        <f>IF(Q1106=1,IF(F1106&lt;=E1106,1,0),0)</f>
        <v/>
      </c>
      <c r="T1106" s="51">
        <f>IF(Q1106=1,IF(H1106&gt;=G1106,1,0),0)</f>
        <v/>
      </c>
      <c r="U1106" s="51">
        <f>S1106*T1106</f>
        <v/>
      </c>
      <c r="V1106" s="51">
        <f>IF(Q1106=1,MAX(0,F1106-E1106),0)</f>
        <v/>
      </c>
    </row>
    <row r="1107">
      <c r="A1107" s="43" t="inlineStr">
        <is>
          <t>PO101493</t>
        </is>
      </c>
      <c r="B1107" s="43" t="inlineStr">
        <is>
          <t>CMD-0079</t>
        </is>
      </c>
      <c r="C1107" s="43" t="inlineStr">
        <is>
          <t>S06</t>
        </is>
      </c>
      <c r="D1107" s="47" t="n">
        <v>45971</v>
      </c>
      <c r="E1107" s="47" t="n">
        <v>45992</v>
      </c>
      <c r="F1107" s="47" t="n">
        <v>45992</v>
      </c>
      <c r="G1107" s="46" t="n">
        <v>2263</v>
      </c>
      <c r="H1107" s="46" t="n">
        <v>2263</v>
      </c>
      <c r="I1107" s="46" t="n">
        <v>10</v>
      </c>
      <c r="J1107" s="44" t="n">
        <v>3.53</v>
      </c>
      <c r="K1107" s="43" t="inlineStr">
        <is>
          <t>Received</t>
        </is>
      </c>
      <c r="L1107" s="17">
        <f>INDEX(Items!$C$2:$C$117,MATCH(B1107,Items!$A$2:$A$117,0))</f>
        <v/>
      </c>
      <c r="M1107" s="49">
        <f>INDEX(Items!$E$2:$E$117,MATCH(B1107,Items!$A$2:$A$117,0))</f>
        <v/>
      </c>
      <c r="N1107" s="17">
        <f>TEXT(D1107,"yyyy-mm")</f>
        <v/>
      </c>
      <c r="O1107" s="50">
        <f>G1107*J1107</f>
        <v/>
      </c>
      <c r="P1107" s="50">
        <f>(J1107-M1107)*G1107</f>
        <v/>
      </c>
      <c r="Q1107" s="51">
        <f>IF(K1107="Received",1,0)</f>
        <v/>
      </c>
      <c r="R1107" s="51">
        <f>IF(Q1107=1,F1107-D1107,0)</f>
        <v/>
      </c>
      <c r="S1107" s="51">
        <f>IF(Q1107=1,IF(F1107&lt;=E1107,1,0),0)</f>
        <v/>
      </c>
      <c r="T1107" s="51">
        <f>IF(Q1107=1,IF(H1107&gt;=G1107,1,0),0)</f>
        <v/>
      </c>
      <c r="U1107" s="51">
        <f>S1107*T1107</f>
        <v/>
      </c>
      <c r="V1107" s="51">
        <f>IF(Q1107=1,MAX(0,F1107-E1107),0)</f>
        <v/>
      </c>
    </row>
    <row r="1108">
      <c r="A1108" s="43" t="inlineStr">
        <is>
          <t>PO100509</t>
        </is>
      </c>
      <c r="B1108" s="43" t="inlineStr">
        <is>
          <t>CMD-0023</t>
        </is>
      </c>
      <c r="C1108" s="43" t="inlineStr">
        <is>
          <t>S04</t>
        </is>
      </c>
      <c r="D1108" s="47" t="n">
        <v>45971</v>
      </c>
      <c r="E1108" s="47" t="n">
        <v>46041</v>
      </c>
      <c r="F1108" s="47" t="n">
        <v>46038</v>
      </c>
      <c r="G1108" s="46" t="n">
        <v>4829</v>
      </c>
      <c r="H1108" s="46" t="n">
        <v>4829</v>
      </c>
      <c r="I1108" s="46" t="n">
        <v>47</v>
      </c>
      <c r="J1108" s="44" t="n">
        <v>8.800000000000001</v>
      </c>
      <c r="K1108" s="43" t="inlineStr">
        <is>
          <t>Received</t>
        </is>
      </c>
      <c r="L1108" s="17">
        <f>INDEX(Items!$C$2:$C$117,MATCH(B1108,Items!$A$2:$A$117,0))</f>
        <v/>
      </c>
      <c r="M1108" s="49">
        <f>INDEX(Items!$E$2:$E$117,MATCH(B1108,Items!$A$2:$A$117,0))</f>
        <v/>
      </c>
      <c r="N1108" s="17">
        <f>TEXT(D1108,"yyyy-mm")</f>
        <v/>
      </c>
      <c r="O1108" s="50">
        <f>G1108*J1108</f>
        <v/>
      </c>
      <c r="P1108" s="50">
        <f>(J1108-M1108)*G1108</f>
        <v/>
      </c>
      <c r="Q1108" s="51">
        <f>IF(K1108="Received",1,0)</f>
        <v/>
      </c>
      <c r="R1108" s="51">
        <f>IF(Q1108=1,F1108-D1108,0)</f>
        <v/>
      </c>
      <c r="S1108" s="51">
        <f>IF(Q1108=1,IF(F1108&lt;=E1108,1,0),0)</f>
        <v/>
      </c>
      <c r="T1108" s="51">
        <f>IF(Q1108=1,IF(H1108&gt;=G1108,1,0),0)</f>
        <v/>
      </c>
      <c r="U1108" s="51">
        <f>S1108*T1108</f>
        <v/>
      </c>
      <c r="V1108" s="51">
        <f>IF(Q1108=1,MAX(0,F1108-E1108),0)</f>
        <v/>
      </c>
    </row>
    <row r="1109">
      <c r="A1109" s="43" t="inlineStr">
        <is>
          <t>PO101775</t>
        </is>
      </c>
      <c r="B1109" s="43" t="inlineStr">
        <is>
          <t>CMD-0096</t>
        </is>
      </c>
      <c r="C1109" s="43" t="inlineStr">
        <is>
          <t>S09</t>
        </is>
      </c>
      <c r="D1109" s="47" t="n">
        <v>45971</v>
      </c>
      <c r="E1109" s="47" t="n">
        <v>45992</v>
      </c>
      <c r="F1109" s="47" t="n">
        <v>45989</v>
      </c>
      <c r="G1109" s="46" t="n">
        <v>942</v>
      </c>
      <c r="H1109" s="46" t="n">
        <v>942</v>
      </c>
      <c r="I1109" s="46" t="n">
        <v>4</v>
      </c>
      <c r="J1109" s="44" t="n">
        <v>6.42</v>
      </c>
      <c r="K1109" s="43" t="inlineStr">
        <is>
          <t>Received</t>
        </is>
      </c>
      <c r="L1109" s="17">
        <f>INDEX(Items!$C$2:$C$117,MATCH(B1109,Items!$A$2:$A$117,0))</f>
        <v/>
      </c>
      <c r="M1109" s="49">
        <f>INDEX(Items!$E$2:$E$117,MATCH(B1109,Items!$A$2:$A$117,0))</f>
        <v/>
      </c>
      <c r="N1109" s="17">
        <f>TEXT(D1109,"yyyy-mm")</f>
        <v/>
      </c>
      <c r="O1109" s="50">
        <f>G1109*J1109</f>
        <v/>
      </c>
      <c r="P1109" s="50">
        <f>(J1109-M1109)*G1109</f>
        <v/>
      </c>
      <c r="Q1109" s="51">
        <f>IF(K1109="Received",1,0)</f>
        <v/>
      </c>
      <c r="R1109" s="51">
        <f>IF(Q1109=1,F1109-D1109,0)</f>
        <v/>
      </c>
      <c r="S1109" s="51">
        <f>IF(Q1109=1,IF(F1109&lt;=E1109,1,0),0)</f>
        <v/>
      </c>
      <c r="T1109" s="51">
        <f>IF(Q1109=1,IF(H1109&gt;=G1109,1,0),0)</f>
        <v/>
      </c>
      <c r="U1109" s="51">
        <f>S1109*T1109</f>
        <v/>
      </c>
      <c r="V1109" s="51">
        <f>IF(Q1109=1,MAX(0,F1109-E1109),0)</f>
        <v/>
      </c>
    </row>
    <row r="1110">
      <c r="A1110" s="43" t="inlineStr">
        <is>
          <t>PO100229</t>
        </is>
      </c>
      <c r="B1110" s="43" t="inlineStr">
        <is>
          <t>CMD-0010</t>
        </is>
      </c>
      <c r="C1110" s="43" t="inlineStr">
        <is>
          <t>S03</t>
        </is>
      </c>
      <c r="D1110" s="47" t="n">
        <v>45971</v>
      </c>
      <c r="E1110" s="47" t="n">
        <v>46104</v>
      </c>
      <c r="F1110" s="47" t="n">
        <v>46103</v>
      </c>
      <c r="G1110" s="46" t="n">
        <v>5118</v>
      </c>
      <c r="H1110" s="46" t="n">
        <v>5118</v>
      </c>
      <c r="I1110" s="46" t="n">
        <v>22</v>
      </c>
      <c r="J1110" s="44" t="n">
        <v>5.4634</v>
      </c>
      <c r="K1110" s="43" t="inlineStr">
        <is>
          <t>Received</t>
        </is>
      </c>
      <c r="L1110" s="17">
        <f>INDEX(Items!$C$2:$C$117,MATCH(B1110,Items!$A$2:$A$117,0))</f>
        <v/>
      </c>
      <c r="M1110" s="49">
        <f>INDEX(Items!$E$2:$E$117,MATCH(B1110,Items!$A$2:$A$117,0))</f>
        <v/>
      </c>
      <c r="N1110" s="17">
        <f>TEXT(D1110,"yyyy-mm")</f>
        <v/>
      </c>
      <c r="O1110" s="50">
        <f>G1110*J1110</f>
        <v/>
      </c>
      <c r="P1110" s="50">
        <f>(J1110-M1110)*G1110</f>
        <v/>
      </c>
      <c r="Q1110" s="51">
        <f>IF(K1110="Received",1,0)</f>
        <v/>
      </c>
      <c r="R1110" s="51">
        <f>IF(Q1110=1,F1110-D1110,0)</f>
        <v/>
      </c>
      <c r="S1110" s="51">
        <f>IF(Q1110=1,IF(F1110&lt;=E1110,1,0),0)</f>
        <v/>
      </c>
      <c r="T1110" s="51">
        <f>IF(Q1110=1,IF(H1110&gt;=G1110,1,0),0)</f>
        <v/>
      </c>
      <c r="U1110" s="51">
        <f>S1110*T1110</f>
        <v/>
      </c>
      <c r="V1110" s="51">
        <f>IF(Q1110=1,MAX(0,F1110-E1110),0)</f>
        <v/>
      </c>
    </row>
    <row r="1111">
      <c r="A1111" s="43" t="inlineStr">
        <is>
          <t>PO101195</t>
        </is>
      </c>
      <c r="B1111" s="43" t="inlineStr">
        <is>
          <t>CMD-0055</t>
        </is>
      </c>
      <c r="C1111" s="43" t="inlineStr">
        <is>
          <t>S04</t>
        </is>
      </c>
      <c r="D1111" s="47" t="n">
        <v>45972</v>
      </c>
      <c r="E1111" s="47" t="n">
        <v>46007</v>
      </c>
      <c r="F1111" s="47" t="n">
        <v>46007</v>
      </c>
      <c r="G1111" s="46" t="n">
        <v>102191</v>
      </c>
      <c r="H1111" s="46" t="n">
        <v>102191</v>
      </c>
      <c r="I1111" s="46" t="n">
        <v>998</v>
      </c>
      <c r="J1111" s="44" t="n">
        <v>0.09379999999999999</v>
      </c>
      <c r="K1111" s="43" t="inlineStr">
        <is>
          <t>Received</t>
        </is>
      </c>
      <c r="L1111" s="17">
        <f>INDEX(Items!$C$2:$C$117,MATCH(B1111,Items!$A$2:$A$117,0))</f>
        <v/>
      </c>
      <c r="M1111" s="49">
        <f>INDEX(Items!$E$2:$E$117,MATCH(B1111,Items!$A$2:$A$117,0))</f>
        <v/>
      </c>
      <c r="N1111" s="17">
        <f>TEXT(D1111,"yyyy-mm")</f>
        <v/>
      </c>
      <c r="O1111" s="50">
        <f>G1111*J1111</f>
        <v/>
      </c>
      <c r="P1111" s="50">
        <f>(J1111-M1111)*G1111</f>
        <v/>
      </c>
      <c r="Q1111" s="51">
        <f>IF(K1111="Received",1,0)</f>
        <v/>
      </c>
      <c r="R1111" s="51">
        <f>IF(Q1111=1,F1111-D1111,0)</f>
        <v/>
      </c>
      <c r="S1111" s="51">
        <f>IF(Q1111=1,IF(F1111&lt;=E1111,1,0),0)</f>
        <v/>
      </c>
      <c r="T1111" s="51">
        <f>IF(Q1111=1,IF(H1111&gt;=G1111,1,0),0)</f>
        <v/>
      </c>
      <c r="U1111" s="51">
        <f>S1111*T1111</f>
        <v/>
      </c>
      <c r="V1111" s="51">
        <f>IF(Q1111=1,MAX(0,F1111-E1111),0)</f>
        <v/>
      </c>
    </row>
    <row r="1112">
      <c r="A1112" s="43" t="inlineStr">
        <is>
          <t>PO100557</t>
        </is>
      </c>
      <c r="B1112" s="43" t="inlineStr">
        <is>
          <t>CMD-0025</t>
        </is>
      </c>
      <c r="C1112" s="43" t="inlineStr">
        <is>
          <t>S02</t>
        </is>
      </c>
      <c r="D1112" s="47" t="n">
        <v>45972</v>
      </c>
      <c r="E1112" s="47" t="n">
        <v>46028</v>
      </c>
      <c r="F1112" s="47" t="n">
        <v>46027</v>
      </c>
      <c r="G1112" s="46" t="n">
        <v>1300</v>
      </c>
      <c r="H1112" s="46" t="n">
        <v>1300</v>
      </c>
      <c r="I1112" s="46" t="n">
        <v>12</v>
      </c>
      <c r="J1112" s="44" t="n">
        <v>10.52</v>
      </c>
      <c r="K1112" s="43" t="inlineStr">
        <is>
          <t>Received</t>
        </is>
      </c>
      <c r="L1112" s="17">
        <f>INDEX(Items!$C$2:$C$117,MATCH(B1112,Items!$A$2:$A$117,0))</f>
        <v/>
      </c>
      <c r="M1112" s="49">
        <f>INDEX(Items!$E$2:$E$117,MATCH(B1112,Items!$A$2:$A$117,0))</f>
        <v/>
      </c>
      <c r="N1112" s="17">
        <f>TEXT(D1112,"yyyy-mm")</f>
        <v/>
      </c>
      <c r="O1112" s="50">
        <f>G1112*J1112</f>
        <v/>
      </c>
      <c r="P1112" s="50">
        <f>(J1112-M1112)*G1112</f>
        <v/>
      </c>
      <c r="Q1112" s="51">
        <f>IF(K1112="Received",1,0)</f>
        <v/>
      </c>
      <c r="R1112" s="51">
        <f>IF(Q1112=1,F1112-D1112,0)</f>
        <v/>
      </c>
      <c r="S1112" s="51">
        <f>IF(Q1112=1,IF(F1112&lt;=E1112,1,0),0)</f>
        <v/>
      </c>
      <c r="T1112" s="51">
        <f>IF(Q1112=1,IF(H1112&gt;=G1112,1,0),0)</f>
        <v/>
      </c>
      <c r="U1112" s="51">
        <f>S1112*T1112</f>
        <v/>
      </c>
      <c r="V1112" s="51">
        <f>IF(Q1112=1,MAX(0,F1112-E1112),0)</f>
        <v/>
      </c>
    </row>
    <row r="1113">
      <c r="A1113" s="43" t="inlineStr">
        <is>
          <t>PO101973</t>
        </is>
      </c>
      <c r="B1113" s="43" t="inlineStr">
        <is>
          <t>CMD-0109</t>
        </is>
      </c>
      <c r="C1113" s="43" t="inlineStr">
        <is>
          <t>S12</t>
        </is>
      </c>
      <c r="D1113" s="47" t="n">
        <v>45972</v>
      </c>
      <c r="E1113" s="47" t="n">
        <v>45979</v>
      </c>
      <c r="F1113" s="47" t="n">
        <v>45978</v>
      </c>
      <c r="G1113" s="46" t="n">
        <v>6177</v>
      </c>
      <c r="H1113" s="46" t="n">
        <v>6177</v>
      </c>
      <c r="I1113" s="46" t="n">
        <v>6</v>
      </c>
      <c r="J1113" s="44" t="n">
        <v>1.7</v>
      </c>
      <c r="K1113" s="43" t="inlineStr">
        <is>
          <t>Received</t>
        </is>
      </c>
      <c r="L1113" s="17">
        <f>INDEX(Items!$C$2:$C$117,MATCH(B1113,Items!$A$2:$A$117,0))</f>
        <v/>
      </c>
      <c r="M1113" s="49">
        <f>INDEX(Items!$E$2:$E$117,MATCH(B1113,Items!$A$2:$A$117,0))</f>
        <v/>
      </c>
      <c r="N1113" s="17">
        <f>TEXT(D1113,"yyyy-mm")</f>
        <v/>
      </c>
      <c r="O1113" s="50">
        <f>G1113*J1113</f>
        <v/>
      </c>
      <c r="P1113" s="50">
        <f>(J1113-M1113)*G1113</f>
        <v/>
      </c>
      <c r="Q1113" s="51">
        <f>IF(K1113="Received",1,0)</f>
        <v/>
      </c>
      <c r="R1113" s="51">
        <f>IF(Q1113=1,F1113-D1113,0)</f>
        <v/>
      </c>
      <c r="S1113" s="51">
        <f>IF(Q1113=1,IF(F1113&lt;=E1113,1,0),0)</f>
        <v/>
      </c>
      <c r="T1113" s="51">
        <f>IF(Q1113=1,IF(H1113&gt;=G1113,1,0),0)</f>
        <v/>
      </c>
      <c r="U1113" s="51">
        <f>S1113*T1113</f>
        <v/>
      </c>
      <c r="V1113" s="51">
        <f>IF(Q1113=1,MAX(0,F1113-E1113),0)</f>
        <v/>
      </c>
    </row>
    <row r="1114">
      <c r="A1114" s="43" t="inlineStr">
        <is>
          <t>PO100971</t>
        </is>
      </c>
      <c r="B1114" s="43" t="inlineStr">
        <is>
          <t>CMD-0044</t>
        </is>
      </c>
      <c r="C1114" s="43" t="inlineStr">
        <is>
          <t>S05</t>
        </is>
      </c>
      <c r="D1114" s="47" t="n">
        <v>45972</v>
      </c>
      <c r="E1114" s="47" t="n">
        <v>46077</v>
      </c>
      <c r="F1114" s="47" t="n">
        <v>46076</v>
      </c>
      <c r="G1114" s="46" t="n">
        <v>7103</v>
      </c>
      <c r="H1114" s="46" t="n">
        <v>7103</v>
      </c>
      <c r="I1114" s="46" t="n">
        <v>114</v>
      </c>
      <c r="J1114" s="44" t="n">
        <v>11.57</v>
      </c>
      <c r="K1114" s="43" t="inlineStr">
        <is>
          <t>Received</t>
        </is>
      </c>
      <c r="L1114" s="17">
        <f>INDEX(Items!$C$2:$C$117,MATCH(B1114,Items!$A$2:$A$117,0))</f>
        <v/>
      </c>
      <c r="M1114" s="49">
        <f>INDEX(Items!$E$2:$E$117,MATCH(B1114,Items!$A$2:$A$117,0))</f>
        <v/>
      </c>
      <c r="N1114" s="17">
        <f>TEXT(D1114,"yyyy-mm")</f>
        <v/>
      </c>
      <c r="O1114" s="50">
        <f>G1114*J1114</f>
        <v/>
      </c>
      <c r="P1114" s="50">
        <f>(J1114-M1114)*G1114</f>
        <v/>
      </c>
      <c r="Q1114" s="51">
        <f>IF(K1114="Received",1,0)</f>
        <v/>
      </c>
      <c r="R1114" s="51">
        <f>IF(Q1114=1,F1114-D1114,0)</f>
        <v/>
      </c>
      <c r="S1114" s="51">
        <f>IF(Q1114=1,IF(F1114&lt;=E1114,1,0),0)</f>
        <v/>
      </c>
      <c r="T1114" s="51">
        <f>IF(Q1114=1,IF(H1114&gt;=G1114,1,0),0)</f>
        <v/>
      </c>
      <c r="U1114" s="51">
        <f>S1114*T1114</f>
        <v/>
      </c>
      <c r="V1114" s="51">
        <f>IF(Q1114=1,MAX(0,F1114-E1114),0)</f>
        <v/>
      </c>
    </row>
    <row r="1115">
      <c r="A1115" s="43" t="inlineStr">
        <is>
          <t>PO100485</t>
        </is>
      </c>
      <c r="B1115" s="43" t="inlineStr">
        <is>
          <t>CMD-0022</t>
        </is>
      </c>
      <c r="C1115" s="43" t="inlineStr">
        <is>
          <t>S02</t>
        </is>
      </c>
      <c r="D1115" s="47" t="n">
        <v>45972</v>
      </c>
      <c r="E1115" s="47" t="n">
        <v>46028</v>
      </c>
      <c r="F1115" s="47" t="n">
        <v>46026</v>
      </c>
      <c r="G1115" s="46" t="n">
        <v>3351</v>
      </c>
      <c r="H1115" s="46" t="n">
        <v>3351</v>
      </c>
      <c r="I1115" s="46" t="n">
        <v>19</v>
      </c>
      <c r="J1115" s="44" t="n">
        <v>17.18</v>
      </c>
      <c r="K1115" s="43" t="inlineStr">
        <is>
          <t>Received</t>
        </is>
      </c>
      <c r="L1115" s="17">
        <f>INDEX(Items!$C$2:$C$117,MATCH(B1115,Items!$A$2:$A$117,0))</f>
        <v/>
      </c>
      <c r="M1115" s="49">
        <f>INDEX(Items!$E$2:$E$117,MATCH(B1115,Items!$A$2:$A$117,0))</f>
        <v/>
      </c>
      <c r="N1115" s="17">
        <f>TEXT(D1115,"yyyy-mm")</f>
        <v/>
      </c>
      <c r="O1115" s="50">
        <f>G1115*J1115</f>
        <v/>
      </c>
      <c r="P1115" s="50">
        <f>(J1115-M1115)*G1115</f>
        <v/>
      </c>
      <c r="Q1115" s="51">
        <f>IF(K1115="Received",1,0)</f>
        <v/>
      </c>
      <c r="R1115" s="51">
        <f>IF(Q1115=1,F1115-D1115,0)</f>
        <v/>
      </c>
      <c r="S1115" s="51">
        <f>IF(Q1115=1,IF(F1115&lt;=E1115,1,0),0)</f>
        <v/>
      </c>
      <c r="T1115" s="51">
        <f>IF(Q1115=1,IF(H1115&gt;=G1115,1,0),0)</f>
        <v/>
      </c>
      <c r="U1115" s="51">
        <f>S1115*T1115</f>
        <v/>
      </c>
      <c r="V1115" s="51">
        <f>IF(Q1115=1,MAX(0,F1115-E1115),0)</f>
        <v/>
      </c>
    </row>
    <row r="1116">
      <c r="A1116" s="43" t="inlineStr">
        <is>
          <t>PO101545</t>
        </is>
      </c>
      <c r="B1116" s="43" t="inlineStr">
        <is>
          <t>CMD-0082</t>
        </is>
      </c>
      <c r="C1116" s="43" t="inlineStr">
        <is>
          <t>S01</t>
        </is>
      </c>
      <c r="D1116" s="47" t="n">
        <v>45972</v>
      </c>
      <c r="E1116" s="47" t="n">
        <v>45986</v>
      </c>
      <c r="F1116" s="47" t="n">
        <v>45984</v>
      </c>
      <c r="G1116" s="46" t="n">
        <v>7513</v>
      </c>
      <c r="H1116" s="46" t="n">
        <v>7513</v>
      </c>
      <c r="I1116" s="46" t="n">
        <v>14</v>
      </c>
      <c r="J1116" s="44" t="n">
        <v>2.32</v>
      </c>
      <c r="K1116" s="43" t="inlineStr">
        <is>
          <t>Received</t>
        </is>
      </c>
      <c r="L1116" s="17">
        <f>INDEX(Items!$C$2:$C$117,MATCH(B1116,Items!$A$2:$A$117,0))</f>
        <v/>
      </c>
      <c r="M1116" s="49">
        <f>INDEX(Items!$E$2:$E$117,MATCH(B1116,Items!$A$2:$A$117,0))</f>
        <v/>
      </c>
      <c r="N1116" s="17">
        <f>TEXT(D1116,"yyyy-mm")</f>
        <v/>
      </c>
      <c r="O1116" s="50">
        <f>G1116*J1116</f>
        <v/>
      </c>
      <c r="P1116" s="50">
        <f>(J1116-M1116)*G1116</f>
        <v/>
      </c>
      <c r="Q1116" s="51">
        <f>IF(K1116="Received",1,0)</f>
        <v/>
      </c>
      <c r="R1116" s="51">
        <f>IF(Q1116=1,F1116-D1116,0)</f>
        <v/>
      </c>
      <c r="S1116" s="51">
        <f>IF(Q1116=1,IF(F1116&lt;=E1116,1,0),0)</f>
        <v/>
      </c>
      <c r="T1116" s="51">
        <f>IF(Q1116=1,IF(H1116&gt;=G1116,1,0),0)</f>
        <v/>
      </c>
      <c r="U1116" s="51">
        <f>S1116*T1116</f>
        <v/>
      </c>
      <c r="V1116" s="51">
        <f>IF(Q1116=1,MAX(0,F1116-E1116),0)</f>
        <v/>
      </c>
    </row>
    <row r="1117">
      <c r="A1117" s="43" t="inlineStr">
        <is>
          <t>PO101095</t>
        </is>
      </c>
      <c r="B1117" s="43" t="inlineStr">
        <is>
          <t>CMD-0050</t>
        </is>
      </c>
      <c r="C1117" s="43" t="inlineStr">
        <is>
          <t>S10</t>
        </is>
      </c>
      <c r="D1117" s="47" t="n">
        <v>45972</v>
      </c>
      <c r="E1117" s="47" t="n">
        <v>46000</v>
      </c>
      <c r="F1117" s="47" t="n">
        <v>45999</v>
      </c>
      <c r="G1117" s="46" t="n">
        <v>81045</v>
      </c>
      <c r="H1117" s="46" t="n">
        <v>81045</v>
      </c>
      <c r="I1117" s="46" t="n">
        <v>70</v>
      </c>
      <c r="J1117" s="44" t="n">
        <v>0.075</v>
      </c>
      <c r="K1117" s="43" t="inlineStr">
        <is>
          <t>Received</t>
        </is>
      </c>
      <c r="L1117" s="17">
        <f>INDEX(Items!$C$2:$C$117,MATCH(B1117,Items!$A$2:$A$117,0))</f>
        <v/>
      </c>
      <c r="M1117" s="49">
        <f>INDEX(Items!$E$2:$E$117,MATCH(B1117,Items!$A$2:$A$117,0))</f>
        <v/>
      </c>
      <c r="N1117" s="17">
        <f>TEXT(D1117,"yyyy-mm")</f>
        <v/>
      </c>
      <c r="O1117" s="50">
        <f>G1117*J1117</f>
        <v/>
      </c>
      <c r="P1117" s="50">
        <f>(J1117-M1117)*G1117</f>
        <v/>
      </c>
      <c r="Q1117" s="51">
        <f>IF(K1117="Received",1,0)</f>
        <v/>
      </c>
      <c r="R1117" s="51">
        <f>IF(Q1117=1,F1117-D1117,0)</f>
        <v/>
      </c>
      <c r="S1117" s="51">
        <f>IF(Q1117=1,IF(F1117&lt;=E1117,1,0),0)</f>
        <v/>
      </c>
      <c r="T1117" s="51">
        <f>IF(Q1117=1,IF(H1117&gt;=G1117,1,0),0)</f>
        <v/>
      </c>
      <c r="U1117" s="51">
        <f>S1117*T1117</f>
        <v/>
      </c>
      <c r="V1117" s="51">
        <f>IF(Q1117=1,MAX(0,F1117-E1117),0)</f>
        <v/>
      </c>
    </row>
    <row r="1118">
      <c r="A1118" s="43" t="inlineStr">
        <is>
          <t>PO100759</t>
        </is>
      </c>
      <c r="B1118" s="43" t="inlineStr">
        <is>
          <t>CMD-0034</t>
        </is>
      </c>
      <c r="C1118" s="43" t="inlineStr">
        <is>
          <t>S04</t>
        </is>
      </c>
      <c r="D1118" s="47" t="n">
        <v>45972</v>
      </c>
      <c r="E1118" s="47" t="n">
        <v>46014</v>
      </c>
      <c r="F1118" s="47" t="n">
        <v>46011</v>
      </c>
      <c r="G1118" s="46" t="n">
        <v>594</v>
      </c>
      <c r="H1118" s="46" t="n">
        <v>594</v>
      </c>
      <c r="I1118" s="46" t="n">
        <v>4</v>
      </c>
      <c r="J1118" s="44" t="n">
        <v>10.55</v>
      </c>
      <c r="K1118" s="43" t="inlineStr">
        <is>
          <t>Received</t>
        </is>
      </c>
      <c r="L1118" s="17">
        <f>INDEX(Items!$C$2:$C$117,MATCH(B1118,Items!$A$2:$A$117,0))</f>
        <v/>
      </c>
      <c r="M1118" s="49">
        <f>INDEX(Items!$E$2:$E$117,MATCH(B1118,Items!$A$2:$A$117,0))</f>
        <v/>
      </c>
      <c r="N1118" s="17">
        <f>TEXT(D1118,"yyyy-mm")</f>
        <v/>
      </c>
      <c r="O1118" s="50">
        <f>G1118*J1118</f>
        <v/>
      </c>
      <c r="P1118" s="50">
        <f>(J1118-M1118)*G1118</f>
        <v/>
      </c>
      <c r="Q1118" s="51">
        <f>IF(K1118="Received",1,0)</f>
        <v/>
      </c>
      <c r="R1118" s="51">
        <f>IF(Q1118=1,F1118-D1118,0)</f>
        <v/>
      </c>
      <c r="S1118" s="51">
        <f>IF(Q1118=1,IF(F1118&lt;=E1118,1,0),0)</f>
        <v/>
      </c>
      <c r="T1118" s="51">
        <f>IF(Q1118=1,IF(H1118&gt;=G1118,1,0),0)</f>
        <v/>
      </c>
      <c r="U1118" s="51">
        <f>S1118*T1118</f>
        <v/>
      </c>
      <c r="V1118" s="51">
        <f>IF(Q1118=1,MAX(0,F1118-E1118),0)</f>
        <v/>
      </c>
    </row>
    <row r="1119">
      <c r="A1119" s="43" t="inlineStr">
        <is>
          <t>PO101703</t>
        </is>
      </c>
      <c r="B1119" s="43" t="inlineStr">
        <is>
          <t>CMD-0093</t>
        </is>
      </c>
      <c r="C1119" s="43" t="inlineStr">
        <is>
          <t>S08</t>
        </is>
      </c>
      <c r="D1119" s="47" t="n">
        <v>45973</v>
      </c>
      <c r="E1119" s="47" t="n">
        <v>46050</v>
      </c>
      <c r="F1119" s="47" t="n">
        <v>46050</v>
      </c>
      <c r="G1119" s="46" t="n">
        <v>727</v>
      </c>
      <c r="H1119" s="46" t="n">
        <v>727</v>
      </c>
      <c r="I1119" s="46" t="n">
        <v>7</v>
      </c>
      <c r="J1119" s="44" t="n">
        <v>59.41</v>
      </c>
      <c r="K1119" s="43" t="inlineStr">
        <is>
          <t>Received</t>
        </is>
      </c>
      <c r="L1119" s="17">
        <f>INDEX(Items!$C$2:$C$117,MATCH(B1119,Items!$A$2:$A$117,0))</f>
        <v/>
      </c>
      <c r="M1119" s="49">
        <f>INDEX(Items!$E$2:$E$117,MATCH(B1119,Items!$A$2:$A$117,0))</f>
        <v/>
      </c>
      <c r="N1119" s="17">
        <f>TEXT(D1119,"yyyy-mm")</f>
        <v/>
      </c>
      <c r="O1119" s="50">
        <f>G1119*J1119</f>
        <v/>
      </c>
      <c r="P1119" s="50">
        <f>(J1119-M1119)*G1119</f>
        <v/>
      </c>
      <c r="Q1119" s="51">
        <f>IF(K1119="Received",1,0)</f>
        <v/>
      </c>
      <c r="R1119" s="51">
        <f>IF(Q1119=1,F1119-D1119,0)</f>
        <v/>
      </c>
      <c r="S1119" s="51">
        <f>IF(Q1119=1,IF(F1119&lt;=E1119,1,0),0)</f>
        <v/>
      </c>
      <c r="T1119" s="51">
        <f>IF(Q1119=1,IF(H1119&gt;=G1119,1,0),0)</f>
        <v/>
      </c>
      <c r="U1119" s="51">
        <f>S1119*T1119</f>
        <v/>
      </c>
      <c r="V1119" s="51">
        <f>IF(Q1119=1,MAX(0,F1119-E1119),0)</f>
        <v/>
      </c>
    </row>
    <row r="1120">
      <c r="A1120" s="43" t="inlineStr">
        <is>
          <t>PO101833</t>
        </is>
      </c>
      <c r="B1120" s="43" t="inlineStr">
        <is>
          <t>CMD-0100</t>
        </is>
      </c>
      <c r="C1120" s="43" t="inlineStr">
        <is>
          <t>S09</t>
        </is>
      </c>
      <c r="D1120" s="47" t="n">
        <v>45973</v>
      </c>
      <c r="E1120" s="47" t="n">
        <v>45994</v>
      </c>
      <c r="F1120" s="47" t="n">
        <v>45992</v>
      </c>
      <c r="G1120" s="46" t="n">
        <v>5574</v>
      </c>
      <c r="H1120" s="46" t="n">
        <v>5574</v>
      </c>
      <c r="I1120" s="46" t="n">
        <v>23</v>
      </c>
      <c r="J1120" s="44" t="n">
        <v>4.94</v>
      </c>
      <c r="K1120" s="43" t="inlineStr">
        <is>
          <t>Received</t>
        </is>
      </c>
      <c r="L1120" s="17">
        <f>INDEX(Items!$C$2:$C$117,MATCH(B1120,Items!$A$2:$A$117,0))</f>
        <v/>
      </c>
      <c r="M1120" s="49">
        <f>INDEX(Items!$E$2:$E$117,MATCH(B1120,Items!$A$2:$A$117,0))</f>
        <v/>
      </c>
      <c r="N1120" s="17">
        <f>TEXT(D1120,"yyyy-mm")</f>
        <v/>
      </c>
      <c r="O1120" s="50">
        <f>G1120*J1120</f>
        <v/>
      </c>
      <c r="P1120" s="50">
        <f>(J1120-M1120)*G1120</f>
        <v/>
      </c>
      <c r="Q1120" s="51">
        <f>IF(K1120="Received",1,0)</f>
        <v/>
      </c>
      <c r="R1120" s="51">
        <f>IF(Q1120=1,F1120-D1120,0)</f>
        <v/>
      </c>
      <c r="S1120" s="51">
        <f>IF(Q1120=1,IF(F1120&lt;=E1120,1,0),0)</f>
        <v/>
      </c>
      <c r="T1120" s="51">
        <f>IF(Q1120=1,IF(H1120&gt;=G1120,1,0),0)</f>
        <v/>
      </c>
      <c r="U1120" s="51">
        <f>S1120*T1120</f>
        <v/>
      </c>
      <c r="V1120" s="51">
        <f>IF(Q1120=1,MAX(0,F1120-E1120),0)</f>
        <v/>
      </c>
    </row>
    <row r="1121">
      <c r="A1121" s="43" t="inlineStr">
        <is>
          <t>PO100305</t>
        </is>
      </c>
      <c r="B1121" s="43" t="inlineStr">
        <is>
          <t>CMD-0014</t>
        </is>
      </c>
      <c r="C1121" s="43" t="inlineStr">
        <is>
          <t>S03</t>
        </is>
      </c>
      <c r="D1121" s="47" t="n">
        <v>45973</v>
      </c>
      <c r="E1121" s="47" t="n">
        <v>46106</v>
      </c>
      <c r="F1121" s="47" t="n">
        <v>46106</v>
      </c>
      <c r="G1121" s="46" t="n">
        <v>4952</v>
      </c>
      <c r="H1121" s="46" t="n">
        <v>4952</v>
      </c>
      <c r="I1121" s="46" t="n">
        <v>41</v>
      </c>
      <c r="J1121" s="44" t="n">
        <v>14.8916</v>
      </c>
      <c r="K1121" s="43" t="inlineStr">
        <is>
          <t>Received</t>
        </is>
      </c>
      <c r="L1121" s="17">
        <f>INDEX(Items!$C$2:$C$117,MATCH(B1121,Items!$A$2:$A$117,0))</f>
        <v/>
      </c>
      <c r="M1121" s="49">
        <f>INDEX(Items!$E$2:$E$117,MATCH(B1121,Items!$A$2:$A$117,0))</f>
        <v/>
      </c>
      <c r="N1121" s="17">
        <f>TEXT(D1121,"yyyy-mm")</f>
        <v/>
      </c>
      <c r="O1121" s="50">
        <f>G1121*J1121</f>
        <v/>
      </c>
      <c r="P1121" s="50">
        <f>(J1121-M1121)*G1121</f>
        <v/>
      </c>
      <c r="Q1121" s="51">
        <f>IF(K1121="Received",1,0)</f>
        <v/>
      </c>
      <c r="R1121" s="51">
        <f>IF(Q1121=1,F1121-D1121,0)</f>
        <v/>
      </c>
      <c r="S1121" s="51">
        <f>IF(Q1121=1,IF(F1121&lt;=E1121,1,0),0)</f>
        <v/>
      </c>
      <c r="T1121" s="51">
        <f>IF(Q1121=1,IF(H1121&gt;=G1121,1,0),0)</f>
        <v/>
      </c>
      <c r="U1121" s="51">
        <f>S1121*T1121</f>
        <v/>
      </c>
      <c r="V1121" s="51">
        <f>IF(Q1121=1,MAX(0,F1121-E1121),0)</f>
        <v/>
      </c>
    </row>
    <row r="1122">
      <c r="A1122" s="43" t="inlineStr">
        <is>
          <t>PO100923</t>
        </is>
      </c>
      <c r="B1122" s="43" t="inlineStr">
        <is>
          <t>CMD-0042</t>
        </is>
      </c>
      <c r="C1122" s="43" t="inlineStr">
        <is>
          <t>S05</t>
        </is>
      </c>
      <c r="D1122" s="47" t="n">
        <v>45973</v>
      </c>
      <c r="E1122" s="47" t="n">
        <v>46078</v>
      </c>
      <c r="F1122" s="47" t="n">
        <v>46078</v>
      </c>
      <c r="G1122" s="46" t="n">
        <v>737</v>
      </c>
      <c r="H1122" s="46" t="n">
        <v>737</v>
      </c>
      <c r="I1122" s="46" t="n">
        <v>4</v>
      </c>
      <c r="J1122" s="44" t="n">
        <v>8.91</v>
      </c>
      <c r="K1122" s="43" t="inlineStr">
        <is>
          <t>Received</t>
        </is>
      </c>
      <c r="L1122" s="17">
        <f>INDEX(Items!$C$2:$C$117,MATCH(B1122,Items!$A$2:$A$117,0))</f>
        <v/>
      </c>
      <c r="M1122" s="49">
        <f>INDEX(Items!$E$2:$E$117,MATCH(B1122,Items!$A$2:$A$117,0))</f>
        <v/>
      </c>
      <c r="N1122" s="17">
        <f>TEXT(D1122,"yyyy-mm")</f>
        <v/>
      </c>
      <c r="O1122" s="50">
        <f>G1122*J1122</f>
        <v/>
      </c>
      <c r="P1122" s="50">
        <f>(J1122-M1122)*G1122</f>
        <v/>
      </c>
      <c r="Q1122" s="51">
        <f>IF(K1122="Received",1,0)</f>
        <v/>
      </c>
      <c r="R1122" s="51">
        <f>IF(Q1122=1,F1122-D1122,0)</f>
        <v/>
      </c>
      <c r="S1122" s="51">
        <f>IF(Q1122=1,IF(F1122&lt;=E1122,1,0),0)</f>
        <v/>
      </c>
      <c r="T1122" s="51">
        <f>IF(Q1122=1,IF(H1122&gt;=G1122,1,0),0)</f>
        <v/>
      </c>
      <c r="U1122" s="51">
        <f>S1122*T1122</f>
        <v/>
      </c>
      <c r="V1122" s="51">
        <f>IF(Q1122=1,MAX(0,F1122-E1122),0)</f>
        <v/>
      </c>
    </row>
    <row r="1123">
      <c r="A1123" s="43" t="inlineStr">
        <is>
          <t>PO100879</t>
        </is>
      </c>
      <c r="B1123" s="43" t="inlineStr">
        <is>
          <t>CMD-0039</t>
        </is>
      </c>
      <c r="C1123" s="43" t="inlineStr">
        <is>
          <t>S07</t>
        </is>
      </c>
      <c r="D1123" s="47" t="n">
        <v>45973</v>
      </c>
      <c r="E1123" s="47" t="n">
        <v>46015</v>
      </c>
      <c r="F1123" s="47" t="n">
        <v>46015</v>
      </c>
      <c r="G1123" s="46" t="n">
        <v>368</v>
      </c>
      <c r="H1123" s="46" t="n">
        <v>368</v>
      </c>
      <c r="I1123" s="46" t="n">
        <v>4</v>
      </c>
      <c r="J1123" s="44" t="n">
        <v>51.99</v>
      </c>
      <c r="K1123" s="43" t="inlineStr">
        <is>
          <t>Received</t>
        </is>
      </c>
      <c r="L1123" s="17">
        <f>INDEX(Items!$C$2:$C$117,MATCH(B1123,Items!$A$2:$A$117,0))</f>
        <v/>
      </c>
      <c r="M1123" s="49">
        <f>INDEX(Items!$E$2:$E$117,MATCH(B1123,Items!$A$2:$A$117,0))</f>
        <v/>
      </c>
      <c r="N1123" s="17">
        <f>TEXT(D1123,"yyyy-mm")</f>
        <v/>
      </c>
      <c r="O1123" s="50">
        <f>G1123*J1123</f>
        <v/>
      </c>
      <c r="P1123" s="50">
        <f>(J1123-M1123)*G1123</f>
        <v/>
      </c>
      <c r="Q1123" s="51">
        <f>IF(K1123="Received",1,0)</f>
        <v/>
      </c>
      <c r="R1123" s="51">
        <f>IF(Q1123=1,F1123-D1123,0)</f>
        <v/>
      </c>
      <c r="S1123" s="51">
        <f>IF(Q1123=1,IF(F1123&lt;=E1123,1,0),0)</f>
        <v/>
      </c>
      <c r="T1123" s="51">
        <f>IF(Q1123=1,IF(H1123&gt;=G1123,1,0),0)</f>
        <v/>
      </c>
      <c r="U1123" s="51">
        <f>S1123*T1123</f>
        <v/>
      </c>
      <c r="V1123" s="51">
        <f>IF(Q1123=1,MAX(0,F1123-E1123),0)</f>
        <v/>
      </c>
    </row>
    <row r="1124">
      <c r="A1124" s="43" t="inlineStr">
        <is>
          <t>PO101289</t>
        </is>
      </c>
      <c r="B1124" s="43" t="inlineStr">
        <is>
          <t>CMD-0062</t>
        </is>
      </c>
      <c r="C1124" s="43" t="inlineStr">
        <is>
          <t>S01</t>
        </is>
      </c>
      <c r="D1124" s="47" t="n">
        <v>45973</v>
      </c>
      <c r="E1124" s="47" t="n">
        <v>45994</v>
      </c>
      <c r="F1124" s="47" t="n">
        <v>45992</v>
      </c>
      <c r="G1124" s="46" t="n">
        <v>69268</v>
      </c>
      <c r="H1124" s="46" t="n">
        <v>69268</v>
      </c>
      <c r="I1124" s="46" t="n">
        <v>129</v>
      </c>
      <c r="J1124" s="44" t="n">
        <v>0.1139</v>
      </c>
      <c r="K1124" s="43" t="inlineStr">
        <is>
          <t>Received</t>
        </is>
      </c>
      <c r="L1124" s="17">
        <f>INDEX(Items!$C$2:$C$117,MATCH(B1124,Items!$A$2:$A$117,0))</f>
        <v/>
      </c>
      <c r="M1124" s="49">
        <f>INDEX(Items!$E$2:$E$117,MATCH(B1124,Items!$A$2:$A$117,0))</f>
        <v/>
      </c>
      <c r="N1124" s="17">
        <f>TEXT(D1124,"yyyy-mm")</f>
        <v/>
      </c>
      <c r="O1124" s="50">
        <f>G1124*J1124</f>
        <v/>
      </c>
      <c r="P1124" s="50">
        <f>(J1124-M1124)*G1124</f>
        <v/>
      </c>
      <c r="Q1124" s="51">
        <f>IF(K1124="Received",1,0)</f>
        <v/>
      </c>
      <c r="R1124" s="51">
        <f>IF(Q1124=1,F1124-D1124,0)</f>
        <v/>
      </c>
      <c r="S1124" s="51">
        <f>IF(Q1124=1,IF(F1124&lt;=E1124,1,0),0)</f>
        <v/>
      </c>
      <c r="T1124" s="51">
        <f>IF(Q1124=1,IF(H1124&gt;=G1124,1,0),0)</f>
        <v/>
      </c>
      <c r="U1124" s="51">
        <f>S1124*T1124</f>
        <v/>
      </c>
      <c r="V1124" s="51">
        <f>IF(Q1124=1,MAX(0,F1124-E1124),0)</f>
        <v/>
      </c>
    </row>
    <row r="1125">
      <c r="A1125" s="43" t="inlineStr">
        <is>
          <t>PO100109</t>
        </is>
      </c>
      <c r="B1125" s="43" t="inlineStr">
        <is>
          <t>CMD-0005</t>
        </is>
      </c>
      <c r="C1125" s="43" t="inlineStr">
        <is>
          <t>S07</t>
        </is>
      </c>
      <c r="D1125" s="47" t="n">
        <v>45973</v>
      </c>
      <c r="E1125" s="47" t="n">
        <v>46064</v>
      </c>
      <c r="F1125" s="47" t="n">
        <v>46064</v>
      </c>
      <c r="G1125" s="46" t="n">
        <v>3985</v>
      </c>
      <c r="H1125" s="46" t="n">
        <v>3985</v>
      </c>
      <c r="I1125" s="46" t="n">
        <v>30</v>
      </c>
      <c r="J1125" s="44" t="n">
        <v>6.6434</v>
      </c>
      <c r="K1125" s="43" t="inlineStr">
        <is>
          <t>Received</t>
        </is>
      </c>
      <c r="L1125" s="17">
        <f>INDEX(Items!$C$2:$C$117,MATCH(B1125,Items!$A$2:$A$117,0))</f>
        <v/>
      </c>
      <c r="M1125" s="49">
        <f>INDEX(Items!$E$2:$E$117,MATCH(B1125,Items!$A$2:$A$117,0))</f>
        <v/>
      </c>
      <c r="N1125" s="17">
        <f>TEXT(D1125,"yyyy-mm")</f>
        <v/>
      </c>
      <c r="O1125" s="50">
        <f>G1125*J1125</f>
        <v/>
      </c>
      <c r="P1125" s="50">
        <f>(J1125-M1125)*G1125</f>
        <v/>
      </c>
      <c r="Q1125" s="51">
        <f>IF(K1125="Received",1,0)</f>
        <v/>
      </c>
      <c r="R1125" s="51">
        <f>IF(Q1125=1,F1125-D1125,0)</f>
        <v/>
      </c>
      <c r="S1125" s="51">
        <f>IF(Q1125=1,IF(F1125&lt;=E1125,1,0),0)</f>
        <v/>
      </c>
      <c r="T1125" s="51">
        <f>IF(Q1125=1,IF(H1125&gt;=G1125,1,0),0)</f>
        <v/>
      </c>
      <c r="U1125" s="51">
        <f>S1125*T1125</f>
        <v/>
      </c>
      <c r="V1125" s="51">
        <f>IF(Q1125=1,MAX(0,F1125-E1125),0)</f>
        <v/>
      </c>
    </row>
    <row r="1126">
      <c r="A1126" s="43" t="inlineStr">
        <is>
          <t>PO101679</t>
        </is>
      </c>
      <c r="B1126" s="43" t="inlineStr">
        <is>
          <t>CMD-0092</t>
        </is>
      </c>
      <c r="C1126" s="43" t="inlineStr">
        <is>
          <t>S08</t>
        </is>
      </c>
      <c r="D1126" s="47" t="n">
        <v>45974</v>
      </c>
      <c r="E1126" s="47" t="n">
        <v>46051</v>
      </c>
      <c r="F1126" s="47" t="n">
        <v>46050</v>
      </c>
      <c r="G1126" s="46" t="n">
        <v>333</v>
      </c>
      <c r="H1126" s="46" t="n">
        <v>333</v>
      </c>
      <c r="I1126" s="46" t="n">
        <v>5</v>
      </c>
      <c r="J1126" s="44" t="n">
        <v>29.47</v>
      </c>
      <c r="K1126" s="43" t="inlineStr">
        <is>
          <t>Received</t>
        </is>
      </c>
      <c r="L1126" s="17">
        <f>INDEX(Items!$C$2:$C$117,MATCH(B1126,Items!$A$2:$A$117,0))</f>
        <v/>
      </c>
      <c r="M1126" s="49">
        <f>INDEX(Items!$E$2:$E$117,MATCH(B1126,Items!$A$2:$A$117,0))</f>
        <v/>
      </c>
      <c r="N1126" s="17">
        <f>TEXT(D1126,"yyyy-mm")</f>
        <v/>
      </c>
      <c r="O1126" s="50">
        <f>G1126*J1126</f>
        <v/>
      </c>
      <c r="P1126" s="50">
        <f>(J1126-M1126)*G1126</f>
        <v/>
      </c>
      <c r="Q1126" s="51">
        <f>IF(K1126="Received",1,0)</f>
        <v/>
      </c>
      <c r="R1126" s="51">
        <f>IF(Q1126=1,F1126-D1126,0)</f>
        <v/>
      </c>
      <c r="S1126" s="51">
        <f>IF(Q1126=1,IF(F1126&lt;=E1126,1,0),0)</f>
        <v/>
      </c>
      <c r="T1126" s="51">
        <f>IF(Q1126=1,IF(H1126&gt;=G1126,1,0),0)</f>
        <v/>
      </c>
      <c r="U1126" s="51">
        <f>S1126*T1126</f>
        <v/>
      </c>
      <c r="V1126" s="51">
        <f>IF(Q1126=1,MAX(0,F1126-E1126),0)</f>
        <v/>
      </c>
    </row>
    <row r="1127">
      <c r="A1127" s="43" t="inlineStr">
        <is>
          <t>PO101019</t>
        </is>
      </c>
      <c r="B1127" s="43" t="inlineStr">
        <is>
          <t>CMD-0046</t>
        </is>
      </c>
      <c r="C1127" s="43" t="inlineStr">
        <is>
          <t>S05</t>
        </is>
      </c>
      <c r="D1127" s="47" t="n">
        <v>45974</v>
      </c>
      <c r="E1127" s="47" t="n">
        <v>46079</v>
      </c>
      <c r="F1127" s="47" t="n">
        <v>46078</v>
      </c>
      <c r="G1127" s="46" t="n">
        <v>9198</v>
      </c>
      <c r="H1127" s="46" t="n">
        <v>9198</v>
      </c>
      <c r="I1127" s="46" t="n">
        <v>159</v>
      </c>
      <c r="J1127" s="44" t="n">
        <v>10.57</v>
      </c>
      <c r="K1127" s="43" t="inlineStr">
        <is>
          <t>Received</t>
        </is>
      </c>
      <c r="L1127" s="17">
        <f>INDEX(Items!$C$2:$C$117,MATCH(B1127,Items!$A$2:$A$117,0))</f>
        <v/>
      </c>
      <c r="M1127" s="49">
        <f>INDEX(Items!$E$2:$E$117,MATCH(B1127,Items!$A$2:$A$117,0))</f>
        <v/>
      </c>
      <c r="N1127" s="17">
        <f>TEXT(D1127,"yyyy-mm")</f>
        <v/>
      </c>
      <c r="O1127" s="50">
        <f>G1127*J1127</f>
        <v/>
      </c>
      <c r="P1127" s="50">
        <f>(J1127-M1127)*G1127</f>
        <v/>
      </c>
      <c r="Q1127" s="51">
        <f>IF(K1127="Received",1,0)</f>
        <v/>
      </c>
      <c r="R1127" s="51">
        <f>IF(Q1127=1,F1127-D1127,0)</f>
        <v/>
      </c>
      <c r="S1127" s="51">
        <f>IF(Q1127=1,IF(F1127&lt;=E1127,1,0),0)</f>
        <v/>
      </c>
      <c r="T1127" s="51">
        <f>IF(Q1127=1,IF(H1127&gt;=G1127,1,0),0)</f>
        <v/>
      </c>
      <c r="U1127" s="51">
        <f>S1127*T1127</f>
        <v/>
      </c>
      <c r="V1127" s="51">
        <f>IF(Q1127=1,MAX(0,F1127-E1127),0)</f>
        <v/>
      </c>
    </row>
    <row r="1128">
      <c r="A1128" s="43" t="inlineStr">
        <is>
          <t>PO101133</t>
        </is>
      </c>
      <c r="B1128" s="43" t="inlineStr">
        <is>
          <t>CMD-0052</t>
        </is>
      </c>
      <c r="C1128" s="43" t="inlineStr">
        <is>
          <t>S01</t>
        </is>
      </c>
      <c r="D1128" s="47" t="n">
        <v>45974</v>
      </c>
      <c r="E1128" s="47" t="n">
        <v>45995</v>
      </c>
      <c r="F1128" s="47" t="n">
        <v>45993</v>
      </c>
      <c r="G1128" s="46" t="n">
        <v>128930</v>
      </c>
      <c r="H1128" s="46" t="n">
        <v>128930</v>
      </c>
      <c r="I1128" s="46" t="n">
        <v>258</v>
      </c>
      <c r="J1128" s="44" t="n">
        <v>0.2016</v>
      </c>
      <c r="K1128" s="43" t="inlineStr">
        <is>
          <t>Received</t>
        </is>
      </c>
      <c r="L1128" s="17">
        <f>INDEX(Items!$C$2:$C$117,MATCH(B1128,Items!$A$2:$A$117,0))</f>
        <v/>
      </c>
      <c r="M1128" s="49">
        <f>INDEX(Items!$E$2:$E$117,MATCH(B1128,Items!$A$2:$A$117,0))</f>
        <v/>
      </c>
      <c r="N1128" s="17">
        <f>TEXT(D1128,"yyyy-mm")</f>
        <v/>
      </c>
      <c r="O1128" s="50">
        <f>G1128*J1128</f>
        <v/>
      </c>
      <c r="P1128" s="50">
        <f>(J1128-M1128)*G1128</f>
        <v/>
      </c>
      <c r="Q1128" s="51">
        <f>IF(K1128="Received",1,0)</f>
        <v/>
      </c>
      <c r="R1128" s="51">
        <f>IF(Q1128=1,F1128-D1128,0)</f>
        <v/>
      </c>
      <c r="S1128" s="51">
        <f>IF(Q1128=1,IF(F1128&lt;=E1128,1,0),0)</f>
        <v/>
      </c>
      <c r="T1128" s="51">
        <f>IF(Q1128=1,IF(H1128&gt;=G1128,1,0),0)</f>
        <v/>
      </c>
      <c r="U1128" s="51">
        <f>S1128*T1128</f>
        <v/>
      </c>
      <c r="V1128" s="51">
        <f>IF(Q1128=1,MAX(0,F1128-E1128),0)</f>
        <v/>
      </c>
    </row>
    <row r="1129">
      <c r="A1129" s="43" t="inlineStr">
        <is>
          <t>PO101945</t>
        </is>
      </c>
      <c r="B1129" s="43" t="inlineStr">
        <is>
          <t>CMD-0107</t>
        </is>
      </c>
      <c r="C1129" s="43" t="inlineStr">
        <is>
          <t>S09</t>
        </is>
      </c>
      <c r="D1129" s="47" t="n">
        <v>45974</v>
      </c>
      <c r="E1129" s="47" t="n">
        <v>45995</v>
      </c>
      <c r="F1129" s="47" t="n">
        <v>45994</v>
      </c>
      <c r="G1129" s="46" t="n">
        <v>1241</v>
      </c>
      <c r="H1129" s="46" t="n">
        <v>1241</v>
      </c>
      <c r="I1129" s="46" t="n">
        <v>4</v>
      </c>
      <c r="J1129" s="44" t="n">
        <v>6.95</v>
      </c>
      <c r="K1129" s="43" t="inlineStr">
        <is>
          <t>Received</t>
        </is>
      </c>
      <c r="L1129" s="17">
        <f>INDEX(Items!$C$2:$C$117,MATCH(B1129,Items!$A$2:$A$117,0))</f>
        <v/>
      </c>
      <c r="M1129" s="49">
        <f>INDEX(Items!$E$2:$E$117,MATCH(B1129,Items!$A$2:$A$117,0))</f>
        <v/>
      </c>
      <c r="N1129" s="17">
        <f>TEXT(D1129,"yyyy-mm")</f>
        <v/>
      </c>
      <c r="O1129" s="50">
        <f>G1129*J1129</f>
        <v/>
      </c>
      <c r="P1129" s="50">
        <f>(J1129-M1129)*G1129</f>
        <v/>
      </c>
      <c r="Q1129" s="51">
        <f>IF(K1129="Received",1,0)</f>
        <v/>
      </c>
      <c r="R1129" s="51">
        <f>IF(Q1129=1,F1129-D1129,0)</f>
        <v/>
      </c>
      <c r="S1129" s="51">
        <f>IF(Q1129=1,IF(F1129&lt;=E1129,1,0),0)</f>
        <v/>
      </c>
      <c r="T1129" s="51">
        <f>IF(Q1129=1,IF(H1129&gt;=G1129,1,0),0)</f>
        <v/>
      </c>
      <c r="U1129" s="51">
        <f>S1129*T1129</f>
        <v/>
      </c>
      <c r="V1129" s="51">
        <f>IF(Q1129=1,MAX(0,F1129-E1129),0)</f>
        <v/>
      </c>
    </row>
    <row r="1130">
      <c r="A1130" s="43" t="inlineStr">
        <is>
          <t>PO101065</t>
        </is>
      </c>
      <c r="B1130" s="43" t="inlineStr">
        <is>
          <t>CMD-0048</t>
        </is>
      </c>
      <c r="C1130" s="43" t="inlineStr">
        <is>
          <t>S10</t>
        </is>
      </c>
      <c r="D1130" s="47" t="n">
        <v>45975</v>
      </c>
      <c r="E1130" s="47" t="n">
        <v>46003</v>
      </c>
      <c r="F1130" s="47" t="n">
        <v>46000</v>
      </c>
      <c r="G1130" s="46" t="n">
        <v>21344</v>
      </c>
      <c r="H1130" s="46" t="n">
        <v>21344</v>
      </c>
      <c r="I1130" s="46" t="n">
        <v>31</v>
      </c>
      <c r="J1130" s="44" t="n">
        <v>0.3231</v>
      </c>
      <c r="K1130" s="43" t="inlineStr">
        <is>
          <t>Received</t>
        </is>
      </c>
      <c r="L1130" s="17">
        <f>INDEX(Items!$C$2:$C$117,MATCH(B1130,Items!$A$2:$A$117,0))</f>
        <v/>
      </c>
      <c r="M1130" s="49">
        <f>INDEX(Items!$E$2:$E$117,MATCH(B1130,Items!$A$2:$A$117,0))</f>
        <v/>
      </c>
      <c r="N1130" s="17">
        <f>TEXT(D1130,"yyyy-mm")</f>
        <v/>
      </c>
      <c r="O1130" s="50">
        <f>G1130*J1130</f>
        <v/>
      </c>
      <c r="P1130" s="50">
        <f>(J1130-M1130)*G1130</f>
        <v/>
      </c>
      <c r="Q1130" s="51">
        <f>IF(K1130="Received",1,0)</f>
        <v/>
      </c>
      <c r="R1130" s="51">
        <f>IF(Q1130=1,F1130-D1130,0)</f>
        <v/>
      </c>
      <c r="S1130" s="51">
        <f>IF(Q1130=1,IF(F1130&lt;=E1130,1,0),0)</f>
        <v/>
      </c>
      <c r="T1130" s="51">
        <f>IF(Q1130=1,IF(H1130&gt;=G1130,1,0),0)</f>
        <v/>
      </c>
      <c r="U1130" s="51">
        <f>S1130*T1130</f>
        <v/>
      </c>
      <c r="V1130" s="51">
        <f>IF(Q1130=1,MAX(0,F1130-E1130),0)</f>
        <v/>
      </c>
    </row>
    <row r="1131">
      <c r="A1131" s="43" t="inlineStr">
        <is>
          <t>PO100353</t>
        </is>
      </c>
      <c r="B1131" s="43" t="inlineStr">
        <is>
          <t>CMD-0016</t>
        </is>
      </c>
      <c r="C1131" s="43" t="inlineStr">
        <is>
          <t>S07</t>
        </is>
      </c>
      <c r="D1131" s="47" t="n">
        <v>45975</v>
      </c>
      <c r="E1131" s="47" t="n">
        <v>46066</v>
      </c>
      <c r="F1131" s="47" t="n">
        <v>46065</v>
      </c>
      <c r="G1131" s="46" t="n">
        <v>8971</v>
      </c>
      <c r="H1131" s="46" t="n">
        <v>8971</v>
      </c>
      <c r="I1131" s="46" t="n">
        <v>73</v>
      </c>
      <c r="J1131" s="44" t="n">
        <v>31.8836</v>
      </c>
      <c r="K1131" s="43" t="inlineStr">
        <is>
          <t>Received</t>
        </is>
      </c>
      <c r="L1131" s="17">
        <f>INDEX(Items!$C$2:$C$117,MATCH(B1131,Items!$A$2:$A$117,0))</f>
        <v/>
      </c>
      <c r="M1131" s="49">
        <f>INDEX(Items!$E$2:$E$117,MATCH(B1131,Items!$A$2:$A$117,0))</f>
        <v/>
      </c>
      <c r="N1131" s="17">
        <f>TEXT(D1131,"yyyy-mm")</f>
        <v/>
      </c>
      <c r="O1131" s="50">
        <f>G1131*J1131</f>
        <v/>
      </c>
      <c r="P1131" s="50">
        <f>(J1131-M1131)*G1131</f>
        <v/>
      </c>
      <c r="Q1131" s="51">
        <f>IF(K1131="Received",1,0)</f>
        <v/>
      </c>
      <c r="R1131" s="51">
        <f>IF(Q1131=1,F1131-D1131,0)</f>
        <v/>
      </c>
      <c r="S1131" s="51">
        <f>IF(Q1131=1,IF(F1131&lt;=E1131,1,0),0)</f>
        <v/>
      </c>
      <c r="T1131" s="51">
        <f>IF(Q1131=1,IF(H1131&gt;=G1131,1,0),0)</f>
        <v/>
      </c>
      <c r="U1131" s="51">
        <f>S1131*T1131</f>
        <v/>
      </c>
      <c r="V1131" s="51">
        <f>IF(Q1131=1,MAX(0,F1131-E1131),0)</f>
        <v/>
      </c>
    </row>
    <row r="1132">
      <c r="A1132" s="43" t="inlineStr">
        <is>
          <t>PO100085</t>
        </is>
      </c>
      <c r="B1132" s="43" t="inlineStr">
        <is>
          <t>CMD-0004</t>
        </is>
      </c>
      <c r="C1132" s="43" t="inlineStr">
        <is>
          <t>S07</t>
        </is>
      </c>
      <c r="D1132" s="47" t="n">
        <v>45975</v>
      </c>
      <c r="E1132" s="47" t="n">
        <v>46066</v>
      </c>
      <c r="F1132" s="47" t="n">
        <v>46063</v>
      </c>
      <c r="G1132" s="46" t="n">
        <v>3294</v>
      </c>
      <c r="H1132" s="46" t="n">
        <v>3294</v>
      </c>
      <c r="I1132" s="46" t="n">
        <v>33</v>
      </c>
      <c r="J1132" s="44" t="n">
        <v>4.779</v>
      </c>
      <c r="K1132" s="43" t="inlineStr">
        <is>
          <t>Received</t>
        </is>
      </c>
      <c r="L1132" s="17">
        <f>INDEX(Items!$C$2:$C$117,MATCH(B1132,Items!$A$2:$A$117,0))</f>
        <v/>
      </c>
      <c r="M1132" s="49">
        <f>INDEX(Items!$E$2:$E$117,MATCH(B1132,Items!$A$2:$A$117,0))</f>
        <v/>
      </c>
      <c r="N1132" s="17">
        <f>TEXT(D1132,"yyyy-mm")</f>
        <v/>
      </c>
      <c r="O1132" s="50">
        <f>G1132*J1132</f>
        <v/>
      </c>
      <c r="P1132" s="50">
        <f>(J1132-M1132)*G1132</f>
        <v/>
      </c>
      <c r="Q1132" s="51">
        <f>IF(K1132="Received",1,0)</f>
        <v/>
      </c>
      <c r="R1132" s="51">
        <f>IF(Q1132=1,F1132-D1132,0)</f>
        <v/>
      </c>
      <c r="S1132" s="51">
        <f>IF(Q1132=1,IF(F1132&lt;=E1132,1,0),0)</f>
        <v/>
      </c>
      <c r="T1132" s="51">
        <f>IF(Q1132=1,IF(H1132&gt;=G1132,1,0),0)</f>
        <v/>
      </c>
      <c r="U1132" s="51">
        <f>S1132*T1132</f>
        <v/>
      </c>
      <c r="V1132" s="51">
        <f>IF(Q1132=1,MAX(0,F1132-E1132),0)</f>
        <v/>
      </c>
    </row>
    <row r="1133">
      <c r="A1133" s="43" t="inlineStr">
        <is>
          <t>PO101321</t>
        </is>
      </c>
      <c r="B1133" s="43" t="inlineStr">
        <is>
          <t>CMD-0065</t>
        </is>
      </c>
      <c r="C1133" s="43" t="inlineStr">
        <is>
          <t>S10</t>
        </is>
      </c>
      <c r="D1133" s="47" t="n">
        <v>45975</v>
      </c>
      <c r="E1133" s="47" t="n">
        <v>46003</v>
      </c>
      <c r="F1133" s="47" t="n">
        <v>46002</v>
      </c>
      <c r="G1133" s="46" t="n">
        <v>110577</v>
      </c>
      <c r="H1133" s="46" t="n">
        <v>110577</v>
      </c>
      <c r="I1133" s="46" t="n">
        <v>113</v>
      </c>
      <c r="J1133" s="44" t="n">
        <v>0.1155</v>
      </c>
      <c r="K1133" s="43" t="inlineStr">
        <is>
          <t>Received</t>
        </is>
      </c>
      <c r="L1133" s="17">
        <f>INDEX(Items!$C$2:$C$117,MATCH(B1133,Items!$A$2:$A$117,0))</f>
        <v/>
      </c>
      <c r="M1133" s="49">
        <f>INDEX(Items!$E$2:$E$117,MATCH(B1133,Items!$A$2:$A$117,0))</f>
        <v/>
      </c>
      <c r="N1133" s="17">
        <f>TEXT(D1133,"yyyy-mm")</f>
        <v/>
      </c>
      <c r="O1133" s="50">
        <f>G1133*J1133</f>
        <v/>
      </c>
      <c r="P1133" s="50">
        <f>(J1133-M1133)*G1133</f>
        <v/>
      </c>
      <c r="Q1133" s="51">
        <f>IF(K1133="Received",1,0)</f>
        <v/>
      </c>
      <c r="R1133" s="51">
        <f>IF(Q1133=1,F1133-D1133,0)</f>
        <v/>
      </c>
      <c r="S1133" s="51">
        <f>IF(Q1133=1,IF(F1133&lt;=E1133,1,0),0)</f>
        <v/>
      </c>
      <c r="T1133" s="51">
        <f>IF(Q1133=1,IF(H1133&gt;=G1133,1,0),0)</f>
        <v/>
      </c>
      <c r="U1133" s="51">
        <f>S1133*T1133</f>
        <v/>
      </c>
      <c r="V1133" s="51">
        <f>IF(Q1133=1,MAX(0,F1133-E1133),0)</f>
        <v/>
      </c>
    </row>
    <row r="1134">
      <c r="A1134" s="43" t="inlineStr">
        <is>
          <t>PO101517</t>
        </is>
      </c>
      <c r="B1134" s="43" t="inlineStr">
        <is>
          <t>CMD-0080</t>
        </is>
      </c>
      <c r="C1134" s="43" t="inlineStr">
        <is>
          <t>S06</t>
        </is>
      </c>
      <c r="D1134" s="47" t="n">
        <v>45975</v>
      </c>
      <c r="E1134" s="47" t="n">
        <v>45996</v>
      </c>
      <c r="F1134" s="47" t="n">
        <v>45995</v>
      </c>
      <c r="G1134" s="46" t="n">
        <v>3940</v>
      </c>
      <c r="H1134" s="46" t="n">
        <v>3940</v>
      </c>
      <c r="I1134" s="46" t="n">
        <v>17</v>
      </c>
      <c r="J1134" s="44" t="n">
        <v>5.53</v>
      </c>
      <c r="K1134" s="43" t="inlineStr">
        <is>
          <t>Received</t>
        </is>
      </c>
      <c r="L1134" s="17">
        <f>INDEX(Items!$C$2:$C$117,MATCH(B1134,Items!$A$2:$A$117,0))</f>
        <v/>
      </c>
      <c r="M1134" s="49">
        <f>INDEX(Items!$E$2:$E$117,MATCH(B1134,Items!$A$2:$A$117,0))</f>
        <v/>
      </c>
      <c r="N1134" s="17">
        <f>TEXT(D1134,"yyyy-mm")</f>
        <v/>
      </c>
      <c r="O1134" s="50">
        <f>G1134*J1134</f>
        <v/>
      </c>
      <c r="P1134" s="50">
        <f>(J1134-M1134)*G1134</f>
        <v/>
      </c>
      <c r="Q1134" s="51">
        <f>IF(K1134="Received",1,0)</f>
        <v/>
      </c>
      <c r="R1134" s="51">
        <f>IF(Q1134=1,F1134-D1134,0)</f>
        <v/>
      </c>
      <c r="S1134" s="51">
        <f>IF(Q1134=1,IF(F1134&lt;=E1134,1,0),0)</f>
        <v/>
      </c>
      <c r="T1134" s="51">
        <f>IF(Q1134=1,IF(H1134&gt;=G1134,1,0),0)</f>
        <v/>
      </c>
      <c r="U1134" s="51">
        <f>S1134*T1134</f>
        <v/>
      </c>
      <c r="V1134" s="51">
        <f>IF(Q1134=1,MAX(0,F1134-E1134),0)</f>
        <v/>
      </c>
    </row>
    <row r="1135">
      <c r="A1135" s="43" t="inlineStr">
        <is>
          <t>PO100995</t>
        </is>
      </c>
      <c r="B1135" s="43" t="inlineStr">
        <is>
          <t>CMD-0045</t>
        </is>
      </c>
      <c r="C1135" s="43" t="inlineStr">
        <is>
          <t>S05</t>
        </is>
      </c>
      <c r="D1135" s="47" t="n">
        <v>45975</v>
      </c>
      <c r="E1135" s="47" t="n">
        <v>46080</v>
      </c>
      <c r="F1135" s="47" t="n">
        <v>46078</v>
      </c>
      <c r="G1135" s="46" t="n">
        <v>4053</v>
      </c>
      <c r="H1135" s="46" t="n">
        <v>4053</v>
      </c>
      <c r="I1135" s="46" t="n">
        <v>74</v>
      </c>
      <c r="J1135" s="44" t="n">
        <v>8.99</v>
      </c>
      <c r="K1135" s="43" t="inlineStr">
        <is>
          <t>Received</t>
        </is>
      </c>
      <c r="L1135" s="17">
        <f>INDEX(Items!$C$2:$C$117,MATCH(B1135,Items!$A$2:$A$117,0))</f>
        <v/>
      </c>
      <c r="M1135" s="49">
        <f>INDEX(Items!$E$2:$E$117,MATCH(B1135,Items!$A$2:$A$117,0))</f>
        <v/>
      </c>
      <c r="N1135" s="17">
        <f>TEXT(D1135,"yyyy-mm")</f>
        <v/>
      </c>
      <c r="O1135" s="50">
        <f>G1135*J1135</f>
        <v/>
      </c>
      <c r="P1135" s="50">
        <f>(J1135-M1135)*G1135</f>
        <v/>
      </c>
      <c r="Q1135" s="51">
        <f>IF(K1135="Received",1,0)</f>
        <v/>
      </c>
      <c r="R1135" s="51">
        <f>IF(Q1135=1,F1135-D1135,0)</f>
        <v/>
      </c>
      <c r="S1135" s="51">
        <f>IF(Q1135=1,IF(F1135&lt;=E1135,1,0),0)</f>
        <v/>
      </c>
      <c r="T1135" s="51">
        <f>IF(Q1135=1,IF(H1135&gt;=G1135,1,0),0)</f>
        <v/>
      </c>
      <c r="U1135" s="51">
        <f>S1135*T1135</f>
        <v/>
      </c>
      <c r="V1135" s="51">
        <f>IF(Q1135=1,MAX(0,F1135-E1135),0)</f>
        <v/>
      </c>
    </row>
    <row r="1136">
      <c r="A1136" s="43" t="inlineStr">
        <is>
          <t>PO100037</t>
        </is>
      </c>
      <c r="B1136" s="43" t="inlineStr">
        <is>
          <t>CMD-0002</t>
        </is>
      </c>
      <c r="C1136" s="43" t="inlineStr">
        <is>
          <t>S11</t>
        </is>
      </c>
      <c r="D1136" s="47" t="n">
        <v>45976</v>
      </c>
      <c r="E1136" s="47" t="n">
        <v>46095</v>
      </c>
      <c r="F1136" s="47" t="n">
        <v>46093</v>
      </c>
      <c r="G1136" s="46" t="n">
        <v>6836</v>
      </c>
      <c r="H1136" s="46" t="n">
        <v>6836</v>
      </c>
      <c r="I1136" s="46" t="n">
        <v>10</v>
      </c>
      <c r="J1136" s="44" t="n">
        <v>8.083</v>
      </c>
      <c r="K1136" s="43" t="inlineStr">
        <is>
          <t>Received</t>
        </is>
      </c>
      <c r="L1136" s="17">
        <f>INDEX(Items!$C$2:$C$117,MATCH(B1136,Items!$A$2:$A$117,0))</f>
        <v/>
      </c>
      <c r="M1136" s="49">
        <f>INDEX(Items!$E$2:$E$117,MATCH(B1136,Items!$A$2:$A$117,0))</f>
        <v/>
      </c>
      <c r="N1136" s="17">
        <f>TEXT(D1136,"yyyy-mm")</f>
        <v/>
      </c>
      <c r="O1136" s="50">
        <f>G1136*J1136</f>
        <v/>
      </c>
      <c r="P1136" s="50">
        <f>(J1136-M1136)*G1136</f>
        <v/>
      </c>
      <c r="Q1136" s="51">
        <f>IF(K1136="Received",1,0)</f>
        <v/>
      </c>
      <c r="R1136" s="51">
        <f>IF(Q1136=1,F1136-D1136,0)</f>
        <v/>
      </c>
      <c r="S1136" s="51">
        <f>IF(Q1136=1,IF(F1136&lt;=E1136,1,0),0)</f>
        <v/>
      </c>
      <c r="T1136" s="51">
        <f>IF(Q1136=1,IF(H1136&gt;=G1136,1,0),0)</f>
        <v/>
      </c>
      <c r="U1136" s="51">
        <f>S1136*T1136</f>
        <v/>
      </c>
      <c r="V1136" s="51">
        <f>IF(Q1136=1,MAX(0,F1136-E1136),0)</f>
        <v/>
      </c>
    </row>
    <row r="1137">
      <c r="A1137" s="43" t="inlineStr">
        <is>
          <t>PO100783</t>
        </is>
      </c>
      <c r="B1137" s="43" t="inlineStr">
        <is>
          <t>CMD-0035</t>
        </is>
      </c>
      <c r="C1137" s="43" t="inlineStr">
        <is>
          <t>S01</t>
        </is>
      </c>
      <c r="D1137" s="47" t="n">
        <v>45976</v>
      </c>
      <c r="E1137" s="47" t="n">
        <v>46004</v>
      </c>
      <c r="F1137" s="47" t="n">
        <v>46004</v>
      </c>
      <c r="G1137" s="46" t="n">
        <v>608</v>
      </c>
      <c r="H1137" s="46" t="n">
        <v>608</v>
      </c>
      <c r="I1137" s="46" t="n">
        <v>0</v>
      </c>
      <c r="J1137" s="44" t="n">
        <v>9.369999999999999</v>
      </c>
      <c r="K1137" s="43" t="inlineStr">
        <is>
          <t>Received</t>
        </is>
      </c>
      <c r="L1137" s="17">
        <f>INDEX(Items!$C$2:$C$117,MATCH(B1137,Items!$A$2:$A$117,0))</f>
        <v/>
      </c>
      <c r="M1137" s="49">
        <f>INDEX(Items!$E$2:$E$117,MATCH(B1137,Items!$A$2:$A$117,0))</f>
        <v/>
      </c>
      <c r="N1137" s="17">
        <f>TEXT(D1137,"yyyy-mm")</f>
        <v/>
      </c>
      <c r="O1137" s="50">
        <f>G1137*J1137</f>
        <v/>
      </c>
      <c r="P1137" s="50">
        <f>(J1137-M1137)*G1137</f>
        <v/>
      </c>
      <c r="Q1137" s="51">
        <f>IF(K1137="Received",1,0)</f>
        <v/>
      </c>
      <c r="R1137" s="51">
        <f>IF(Q1137=1,F1137-D1137,0)</f>
        <v/>
      </c>
      <c r="S1137" s="51">
        <f>IF(Q1137=1,IF(F1137&lt;=E1137,1,0),0)</f>
        <v/>
      </c>
      <c r="T1137" s="51">
        <f>IF(Q1137=1,IF(H1137&gt;=G1137,1,0),0)</f>
        <v/>
      </c>
      <c r="U1137" s="51">
        <f>S1137*T1137</f>
        <v/>
      </c>
      <c r="V1137" s="51">
        <f>IF(Q1137=1,MAX(0,F1137-E1137),0)</f>
        <v/>
      </c>
    </row>
    <row r="1138">
      <c r="A1138" s="43" t="inlineStr">
        <is>
          <t>PO101042</t>
        </is>
      </c>
      <c r="B1138" s="43" t="inlineStr">
        <is>
          <t>CMD-0047</t>
        </is>
      </c>
      <c r="C1138" s="43" t="inlineStr">
        <is>
          <t>S04</t>
        </is>
      </c>
      <c r="D1138" s="47" t="n">
        <v>45976</v>
      </c>
      <c r="E1138" s="47" t="n">
        <v>46011</v>
      </c>
      <c r="F1138" s="47" t="n">
        <v>46008</v>
      </c>
      <c r="G1138" s="46" t="n">
        <v>19318</v>
      </c>
      <c r="H1138" s="46" t="n">
        <v>19318</v>
      </c>
      <c r="I1138" s="46" t="n">
        <v>186</v>
      </c>
      <c r="J1138" s="44" t="n">
        <v>0.296</v>
      </c>
      <c r="K1138" s="43" t="inlineStr">
        <is>
          <t>Received</t>
        </is>
      </c>
      <c r="L1138" s="17">
        <f>INDEX(Items!$C$2:$C$117,MATCH(B1138,Items!$A$2:$A$117,0))</f>
        <v/>
      </c>
      <c r="M1138" s="49">
        <f>INDEX(Items!$E$2:$E$117,MATCH(B1138,Items!$A$2:$A$117,0))</f>
        <v/>
      </c>
      <c r="N1138" s="17">
        <f>TEXT(D1138,"yyyy-mm")</f>
        <v/>
      </c>
      <c r="O1138" s="50">
        <f>G1138*J1138</f>
        <v/>
      </c>
      <c r="P1138" s="50">
        <f>(J1138-M1138)*G1138</f>
        <v/>
      </c>
      <c r="Q1138" s="51">
        <f>IF(K1138="Received",1,0)</f>
        <v/>
      </c>
      <c r="R1138" s="51">
        <f>IF(Q1138=1,F1138-D1138,0)</f>
        <v/>
      </c>
      <c r="S1138" s="51">
        <f>IF(Q1138=1,IF(F1138&lt;=E1138,1,0),0)</f>
        <v/>
      </c>
      <c r="T1138" s="51">
        <f>IF(Q1138=1,IF(H1138&gt;=G1138,1,0),0)</f>
        <v/>
      </c>
      <c r="U1138" s="51">
        <f>S1138*T1138</f>
        <v/>
      </c>
      <c r="V1138" s="51">
        <f>IF(Q1138=1,MAX(0,F1138-E1138),0)</f>
        <v/>
      </c>
    </row>
    <row r="1139">
      <c r="A1139" s="43" t="inlineStr">
        <is>
          <t>PO101881</t>
        </is>
      </c>
      <c r="B1139" s="43" t="inlineStr">
        <is>
          <t>CMD-0102</t>
        </is>
      </c>
      <c r="C1139" s="43" t="inlineStr">
        <is>
          <t>S09</t>
        </is>
      </c>
      <c r="D1139" s="47" t="n">
        <v>45976</v>
      </c>
      <c r="E1139" s="47" t="n">
        <v>45997</v>
      </c>
      <c r="F1139" s="47" t="n">
        <v>45995</v>
      </c>
      <c r="G1139" s="46" t="n">
        <v>2468</v>
      </c>
      <c r="H1139" s="46" t="n">
        <v>2468</v>
      </c>
      <c r="I1139" s="46" t="n">
        <v>7</v>
      </c>
      <c r="J1139" s="44" t="n">
        <v>6.71</v>
      </c>
      <c r="K1139" s="43" t="inlineStr">
        <is>
          <t>Received</t>
        </is>
      </c>
      <c r="L1139" s="17">
        <f>INDEX(Items!$C$2:$C$117,MATCH(B1139,Items!$A$2:$A$117,0))</f>
        <v/>
      </c>
      <c r="M1139" s="49">
        <f>INDEX(Items!$E$2:$E$117,MATCH(B1139,Items!$A$2:$A$117,0))</f>
        <v/>
      </c>
      <c r="N1139" s="17">
        <f>TEXT(D1139,"yyyy-mm")</f>
        <v/>
      </c>
      <c r="O1139" s="50">
        <f>G1139*J1139</f>
        <v/>
      </c>
      <c r="P1139" s="50">
        <f>(J1139-M1139)*G1139</f>
        <v/>
      </c>
      <c r="Q1139" s="51">
        <f>IF(K1139="Received",1,0)</f>
        <v/>
      </c>
      <c r="R1139" s="51">
        <f>IF(Q1139=1,F1139-D1139,0)</f>
        <v/>
      </c>
      <c r="S1139" s="51">
        <f>IF(Q1139=1,IF(F1139&lt;=E1139,1,0),0)</f>
        <v/>
      </c>
      <c r="T1139" s="51">
        <f>IF(Q1139=1,IF(H1139&gt;=G1139,1,0),0)</f>
        <v/>
      </c>
      <c r="U1139" s="51">
        <f>S1139*T1139</f>
        <v/>
      </c>
      <c r="V1139" s="51">
        <f>IF(Q1139=1,MAX(0,F1139-E1139),0)</f>
        <v/>
      </c>
    </row>
    <row r="1140">
      <c r="A1140" s="43" t="inlineStr">
        <is>
          <t>PO100831</t>
        </is>
      </c>
      <c r="B1140" s="43" t="inlineStr">
        <is>
          <t>CMD-0037</t>
        </is>
      </c>
      <c r="C1140" s="43" t="inlineStr">
        <is>
          <t>S07</t>
        </is>
      </c>
      <c r="D1140" s="47" t="n">
        <v>45976</v>
      </c>
      <c r="E1140" s="47" t="n">
        <v>46018</v>
      </c>
      <c r="F1140" s="47" t="n">
        <v>46015</v>
      </c>
      <c r="G1140" s="46" t="n">
        <v>405</v>
      </c>
      <c r="H1140" s="46" t="n">
        <v>405</v>
      </c>
      <c r="I1140" s="46" t="n">
        <v>4</v>
      </c>
      <c r="J1140" s="44" t="n">
        <v>53.62</v>
      </c>
      <c r="K1140" s="43" t="inlineStr">
        <is>
          <t>Received</t>
        </is>
      </c>
      <c r="L1140" s="17">
        <f>INDEX(Items!$C$2:$C$117,MATCH(B1140,Items!$A$2:$A$117,0))</f>
        <v/>
      </c>
      <c r="M1140" s="49">
        <f>INDEX(Items!$E$2:$E$117,MATCH(B1140,Items!$A$2:$A$117,0))</f>
        <v/>
      </c>
      <c r="N1140" s="17">
        <f>TEXT(D1140,"yyyy-mm")</f>
        <v/>
      </c>
      <c r="O1140" s="50">
        <f>G1140*J1140</f>
        <v/>
      </c>
      <c r="P1140" s="50">
        <f>(J1140-M1140)*G1140</f>
        <v/>
      </c>
      <c r="Q1140" s="51">
        <f>IF(K1140="Received",1,0)</f>
        <v/>
      </c>
      <c r="R1140" s="51">
        <f>IF(Q1140=1,F1140-D1140,0)</f>
        <v/>
      </c>
      <c r="S1140" s="51">
        <f>IF(Q1140=1,IF(F1140&lt;=E1140,1,0),0)</f>
        <v/>
      </c>
      <c r="T1140" s="51">
        <f>IF(Q1140=1,IF(H1140&gt;=G1140,1,0),0)</f>
        <v/>
      </c>
      <c r="U1140" s="51">
        <f>S1140*T1140</f>
        <v/>
      </c>
      <c r="V1140" s="51">
        <f>IF(Q1140=1,MAX(0,F1140-E1140),0)</f>
        <v/>
      </c>
    </row>
    <row r="1141">
      <c r="A1141" s="43" t="inlineStr">
        <is>
          <t>PO100013</t>
        </is>
      </c>
      <c r="B1141" s="43" t="inlineStr">
        <is>
          <t>CMD-0001</t>
        </is>
      </c>
      <c r="C1141" s="43" t="inlineStr">
        <is>
          <t>S07</t>
        </is>
      </c>
      <c r="D1141" s="47" t="n">
        <v>45976</v>
      </c>
      <c r="E1141" s="47" t="n">
        <v>46067</v>
      </c>
      <c r="F1141" s="47" t="n">
        <v>46067</v>
      </c>
      <c r="G1141" s="46" t="n">
        <v>7734</v>
      </c>
      <c r="H1141" s="46" t="n">
        <v>7734</v>
      </c>
      <c r="I1141" s="46" t="n">
        <v>58</v>
      </c>
      <c r="J1141" s="44" t="n">
        <v>16.8268</v>
      </c>
      <c r="K1141" s="43" t="inlineStr">
        <is>
          <t>Received</t>
        </is>
      </c>
      <c r="L1141" s="17">
        <f>INDEX(Items!$C$2:$C$117,MATCH(B1141,Items!$A$2:$A$117,0))</f>
        <v/>
      </c>
      <c r="M1141" s="49">
        <f>INDEX(Items!$E$2:$E$117,MATCH(B1141,Items!$A$2:$A$117,0))</f>
        <v/>
      </c>
      <c r="N1141" s="17">
        <f>TEXT(D1141,"yyyy-mm")</f>
        <v/>
      </c>
      <c r="O1141" s="50">
        <f>G1141*J1141</f>
        <v/>
      </c>
      <c r="P1141" s="50">
        <f>(J1141-M1141)*G1141</f>
        <v/>
      </c>
      <c r="Q1141" s="51">
        <f>IF(K1141="Received",1,0)</f>
        <v/>
      </c>
      <c r="R1141" s="51">
        <f>IF(Q1141=1,F1141-D1141,0)</f>
        <v/>
      </c>
      <c r="S1141" s="51">
        <f>IF(Q1141=1,IF(F1141&lt;=E1141,1,0),0)</f>
        <v/>
      </c>
      <c r="T1141" s="51">
        <f>IF(Q1141=1,IF(H1141&gt;=G1141,1,0),0)</f>
        <v/>
      </c>
      <c r="U1141" s="51">
        <f>S1141*T1141</f>
        <v/>
      </c>
      <c r="V1141" s="51">
        <f>IF(Q1141=1,MAX(0,F1141-E1141),0)</f>
        <v/>
      </c>
    </row>
    <row r="1142">
      <c r="A1142" s="43" t="inlineStr">
        <is>
          <t>PO101445</t>
        </is>
      </c>
      <c r="B1142" s="43" t="inlineStr">
        <is>
          <t>CMD-0077</t>
        </is>
      </c>
      <c r="C1142" s="43" t="inlineStr">
        <is>
          <t>S01</t>
        </is>
      </c>
      <c r="D1142" s="47" t="n">
        <v>45976</v>
      </c>
      <c r="E1142" s="47" t="n">
        <v>45990</v>
      </c>
      <c r="F1142" s="47" t="n">
        <v>45989</v>
      </c>
      <c r="G1142" s="46" t="n">
        <v>3578</v>
      </c>
      <c r="H1142" s="46" t="n">
        <v>2158</v>
      </c>
      <c r="I1142" s="46" t="n">
        <v>5</v>
      </c>
      <c r="J1142" s="44" t="n">
        <v>8.75</v>
      </c>
      <c r="K1142" s="43" t="inlineStr">
        <is>
          <t>Received</t>
        </is>
      </c>
      <c r="L1142" s="17">
        <f>INDEX(Items!$C$2:$C$117,MATCH(B1142,Items!$A$2:$A$117,0))</f>
        <v/>
      </c>
      <c r="M1142" s="49">
        <f>INDEX(Items!$E$2:$E$117,MATCH(B1142,Items!$A$2:$A$117,0))</f>
        <v/>
      </c>
      <c r="N1142" s="17">
        <f>TEXT(D1142,"yyyy-mm")</f>
        <v/>
      </c>
      <c r="O1142" s="50">
        <f>G1142*J1142</f>
        <v/>
      </c>
      <c r="P1142" s="50">
        <f>(J1142-M1142)*G1142</f>
        <v/>
      </c>
      <c r="Q1142" s="51">
        <f>IF(K1142="Received",1,0)</f>
        <v/>
      </c>
      <c r="R1142" s="51">
        <f>IF(Q1142=1,F1142-D1142,0)</f>
        <v/>
      </c>
      <c r="S1142" s="51">
        <f>IF(Q1142=1,IF(F1142&lt;=E1142,1,0),0)</f>
        <v/>
      </c>
      <c r="T1142" s="51">
        <f>IF(Q1142=1,IF(H1142&gt;=G1142,1,0),0)</f>
        <v/>
      </c>
      <c r="U1142" s="51">
        <f>S1142*T1142</f>
        <v/>
      </c>
      <c r="V1142" s="51">
        <f>IF(Q1142=1,MAX(0,F1142-E1142),0)</f>
        <v/>
      </c>
    </row>
    <row r="1143">
      <c r="A1143" s="43" t="inlineStr">
        <is>
          <t>PO100533</t>
        </is>
      </c>
      <c r="B1143" s="43" t="inlineStr">
        <is>
          <t>CMD-0024</t>
        </is>
      </c>
      <c r="C1143" s="43" t="inlineStr">
        <is>
          <t>S04</t>
        </is>
      </c>
      <c r="D1143" s="47" t="n">
        <v>45976</v>
      </c>
      <c r="E1143" s="47" t="n">
        <v>46046</v>
      </c>
      <c r="F1143" s="47" t="n">
        <v>46044</v>
      </c>
      <c r="G1143" s="46" t="n">
        <v>4913</v>
      </c>
      <c r="H1143" s="46" t="n">
        <v>4913</v>
      </c>
      <c r="I1143" s="46" t="n">
        <v>61</v>
      </c>
      <c r="J1143" s="44" t="n">
        <v>3.31</v>
      </c>
      <c r="K1143" s="43" t="inlineStr">
        <is>
          <t>Received</t>
        </is>
      </c>
      <c r="L1143" s="17">
        <f>INDEX(Items!$C$2:$C$117,MATCH(B1143,Items!$A$2:$A$117,0))</f>
        <v/>
      </c>
      <c r="M1143" s="49">
        <f>INDEX(Items!$E$2:$E$117,MATCH(B1143,Items!$A$2:$A$117,0))</f>
        <v/>
      </c>
      <c r="N1143" s="17">
        <f>TEXT(D1143,"yyyy-mm")</f>
        <v/>
      </c>
      <c r="O1143" s="50">
        <f>G1143*J1143</f>
        <v/>
      </c>
      <c r="P1143" s="50">
        <f>(J1143-M1143)*G1143</f>
        <v/>
      </c>
      <c r="Q1143" s="51">
        <f>IF(K1143="Received",1,0)</f>
        <v/>
      </c>
      <c r="R1143" s="51">
        <f>IF(Q1143=1,F1143-D1143,0)</f>
        <v/>
      </c>
      <c r="S1143" s="51">
        <f>IF(Q1143=1,IF(F1143&lt;=E1143,1,0),0)</f>
        <v/>
      </c>
      <c r="T1143" s="51">
        <f>IF(Q1143=1,IF(H1143&gt;=G1143,1,0),0)</f>
        <v/>
      </c>
      <c r="U1143" s="51">
        <f>S1143*T1143</f>
        <v/>
      </c>
      <c r="V1143" s="51">
        <f>IF(Q1143=1,MAX(0,F1143-E1143),0)</f>
        <v/>
      </c>
    </row>
    <row r="1144">
      <c r="A1144" s="43" t="inlineStr">
        <is>
          <t>PO100605</t>
        </is>
      </c>
      <c r="B1144" s="43" t="inlineStr">
        <is>
          <t>CMD-0027</t>
        </is>
      </c>
      <c r="C1144" s="43" t="inlineStr">
        <is>
          <t>S04</t>
        </is>
      </c>
      <c r="D1144" s="47" t="n">
        <v>45976</v>
      </c>
      <c r="E1144" s="47" t="n">
        <v>46046</v>
      </c>
      <c r="F1144" s="47" t="n">
        <v>46044</v>
      </c>
      <c r="G1144" s="46" t="n">
        <v>7744</v>
      </c>
      <c r="H1144" s="46" t="n">
        <v>7744</v>
      </c>
      <c r="I1144" s="46" t="n">
        <v>90</v>
      </c>
      <c r="J1144" s="44" t="n">
        <v>8.85</v>
      </c>
      <c r="K1144" s="43" t="inlineStr">
        <is>
          <t>Received</t>
        </is>
      </c>
      <c r="L1144" s="17">
        <f>INDEX(Items!$C$2:$C$117,MATCH(B1144,Items!$A$2:$A$117,0))</f>
        <v/>
      </c>
      <c r="M1144" s="49">
        <f>INDEX(Items!$E$2:$E$117,MATCH(B1144,Items!$A$2:$A$117,0))</f>
        <v/>
      </c>
      <c r="N1144" s="17">
        <f>TEXT(D1144,"yyyy-mm")</f>
        <v/>
      </c>
      <c r="O1144" s="50">
        <f>G1144*J1144</f>
        <v/>
      </c>
      <c r="P1144" s="50">
        <f>(J1144-M1144)*G1144</f>
        <v/>
      </c>
      <c r="Q1144" s="51">
        <f>IF(K1144="Received",1,0)</f>
        <v/>
      </c>
      <c r="R1144" s="51">
        <f>IF(Q1144=1,F1144-D1144,0)</f>
        <v/>
      </c>
      <c r="S1144" s="51">
        <f>IF(Q1144=1,IF(F1144&lt;=E1144,1,0),0)</f>
        <v/>
      </c>
      <c r="T1144" s="51">
        <f>IF(Q1144=1,IF(H1144&gt;=G1144,1,0),0)</f>
        <v/>
      </c>
      <c r="U1144" s="51">
        <f>S1144*T1144</f>
        <v/>
      </c>
      <c r="V1144" s="51">
        <f>IF(Q1144=1,MAX(0,F1144-E1144),0)</f>
        <v/>
      </c>
    </row>
    <row r="1145">
      <c r="A1145" s="43" t="inlineStr">
        <is>
          <t>PO101171</t>
        </is>
      </c>
      <c r="B1145" s="43" t="inlineStr">
        <is>
          <t>CMD-0054</t>
        </is>
      </c>
      <c r="C1145" s="43" t="inlineStr">
        <is>
          <t>S10</t>
        </is>
      </c>
      <c r="D1145" s="47" t="n">
        <v>45976</v>
      </c>
      <c r="E1145" s="47" t="n">
        <v>46004</v>
      </c>
      <c r="F1145" s="47" t="n">
        <v>46002</v>
      </c>
      <c r="G1145" s="46" t="n">
        <v>51432</v>
      </c>
      <c r="H1145" s="46" t="n">
        <v>51432</v>
      </c>
      <c r="I1145" s="46" t="n">
        <v>40</v>
      </c>
      <c r="J1145" s="44" t="n">
        <v>0.1687</v>
      </c>
      <c r="K1145" s="43" t="inlineStr">
        <is>
          <t>Received</t>
        </is>
      </c>
      <c r="L1145" s="17">
        <f>INDEX(Items!$C$2:$C$117,MATCH(B1145,Items!$A$2:$A$117,0))</f>
        <v/>
      </c>
      <c r="M1145" s="49">
        <f>INDEX(Items!$E$2:$E$117,MATCH(B1145,Items!$A$2:$A$117,0))</f>
        <v/>
      </c>
      <c r="N1145" s="17">
        <f>TEXT(D1145,"yyyy-mm")</f>
        <v/>
      </c>
      <c r="O1145" s="50">
        <f>G1145*J1145</f>
        <v/>
      </c>
      <c r="P1145" s="50">
        <f>(J1145-M1145)*G1145</f>
        <v/>
      </c>
      <c r="Q1145" s="51">
        <f>IF(K1145="Received",1,0)</f>
        <v/>
      </c>
      <c r="R1145" s="51">
        <f>IF(Q1145=1,F1145-D1145,0)</f>
        <v/>
      </c>
      <c r="S1145" s="51">
        <f>IF(Q1145=1,IF(F1145&lt;=E1145,1,0),0)</f>
        <v/>
      </c>
      <c r="T1145" s="51">
        <f>IF(Q1145=1,IF(H1145&gt;=G1145,1,0),0)</f>
        <v/>
      </c>
      <c r="U1145" s="51">
        <f>S1145*T1145</f>
        <v/>
      </c>
      <c r="V1145" s="51">
        <f>IF(Q1145=1,MAX(0,F1145-E1145),0)</f>
        <v/>
      </c>
    </row>
    <row r="1146">
      <c r="A1146" s="43" t="inlineStr">
        <is>
          <t>PO101577</t>
        </is>
      </c>
      <c r="B1146" s="43" t="inlineStr">
        <is>
          <t>CMD-0085</t>
        </is>
      </c>
      <c r="C1146" s="43" t="inlineStr">
        <is>
          <t>S06</t>
        </is>
      </c>
      <c r="D1146" s="47" t="n">
        <v>45977</v>
      </c>
      <c r="E1146" s="47" t="n">
        <v>45998</v>
      </c>
      <c r="F1146" s="47" t="n">
        <v>45996</v>
      </c>
      <c r="G1146" s="46" t="n">
        <v>949</v>
      </c>
      <c r="H1146" s="46" t="n">
        <v>949</v>
      </c>
      <c r="I1146" s="46" t="n">
        <v>5</v>
      </c>
      <c r="J1146" s="44" t="n">
        <v>10.56</v>
      </c>
      <c r="K1146" s="43" t="inlineStr">
        <is>
          <t>Received</t>
        </is>
      </c>
      <c r="L1146" s="17">
        <f>INDEX(Items!$C$2:$C$117,MATCH(B1146,Items!$A$2:$A$117,0))</f>
        <v/>
      </c>
      <c r="M1146" s="49">
        <f>INDEX(Items!$E$2:$E$117,MATCH(B1146,Items!$A$2:$A$117,0))</f>
        <v/>
      </c>
      <c r="N1146" s="17">
        <f>TEXT(D1146,"yyyy-mm")</f>
        <v/>
      </c>
      <c r="O1146" s="50">
        <f>G1146*J1146</f>
        <v/>
      </c>
      <c r="P1146" s="50">
        <f>(J1146-M1146)*G1146</f>
        <v/>
      </c>
      <c r="Q1146" s="51">
        <f>IF(K1146="Received",1,0)</f>
        <v/>
      </c>
      <c r="R1146" s="51">
        <f>IF(Q1146=1,F1146-D1146,0)</f>
        <v/>
      </c>
      <c r="S1146" s="51">
        <f>IF(Q1146=1,IF(F1146&lt;=E1146,1,0),0)</f>
        <v/>
      </c>
      <c r="T1146" s="51">
        <f>IF(Q1146=1,IF(H1146&gt;=G1146,1,0),0)</f>
        <v/>
      </c>
      <c r="U1146" s="51">
        <f>S1146*T1146</f>
        <v/>
      </c>
      <c r="V1146" s="51">
        <f>IF(Q1146=1,MAX(0,F1146-E1146),0)</f>
        <v/>
      </c>
    </row>
    <row r="1147">
      <c r="A1147" s="43" t="inlineStr">
        <is>
          <t>PO100855</t>
        </is>
      </c>
      <c r="B1147" s="43" t="inlineStr">
        <is>
          <t>CMD-0038</t>
        </is>
      </c>
      <c r="C1147" s="43" t="inlineStr">
        <is>
          <t>S01</t>
        </is>
      </c>
      <c r="D1147" s="47" t="n">
        <v>45977</v>
      </c>
      <c r="E1147" s="47" t="n">
        <v>46005</v>
      </c>
      <c r="F1147" s="47" t="n">
        <v>46005</v>
      </c>
      <c r="G1147" s="46" t="n">
        <v>819</v>
      </c>
      <c r="H1147" s="46" t="n">
        <v>819</v>
      </c>
      <c r="I1147" s="46" t="n">
        <v>2</v>
      </c>
      <c r="J1147" s="44" t="n">
        <v>21.49</v>
      </c>
      <c r="K1147" s="43" t="inlineStr">
        <is>
          <t>Received</t>
        </is>
      </c>
      <c r="L1147" s="17">
        <f>INDEX(Items!$C$2:$C$117,MATCH(B1147,Items!$A$2:$A$117,0))</f>
        <v/>
      </c>
      <c r="M1147" s="49">
        <f>INDEX(Items!$E$2:$E$117,MATCH(B1147,Items!$A$2:$A$117,0))</f>
        <v/>
      </c>
      <c r="N1147" s="17">
        <f>TEXT(D1147,"yyyy-mm")</f>
        <v/>
      </c>
      <c r="O1147" s="50">
        <f>G1147*J1147</f>
        <v/>
      </c>
      <c r="P1147" s="50">
        <f>(J1147-M1147)*G1147</f>
        <v/>
      </c>
      <c r="Q1147" s="51">
        <f>IF(K1147="Received",1,0)</f>
        <v/>
      </c>
      <c r="R1147" s="51">
        <f>IF(Q1147=1,F1147-D1147,0)</f>
        <v/>
      </c>
      <c r="S1147" s="51">
        <f>IF(Q1147=1,IF(F1147&lt;=E1147,1,0),0)</f>
        <v/>
      </c>
      <c r="T1147" s="51">
        <f>IF(Q1147=1,IF(H1147&gt;=G1147,1,0),0)</f>
        <v/>
      </c>
      <c r="U1147" s="51">
        <f>S1147*T1147</f>
        <v/>
      </c>
      <c r="V1147" s="51">
        <f>IF(Q1147=1,MAX(0,F1147-E1147),0)</f>
        <v/>
      </c>
    </row>
    <row r="1148">
      <c r="A1148" s="43" t="inlineStr">
        <is>
          <t>PO101751</t>
        </is>
      </c>
      <c r="B1148" s="43" t="inlineStr">
        <is>
          <t>CMD-0095</t>
        </is>
      </c>
      <c r="C1148" s="43" t="inlineStr">
        <is>
          <t>S08</t>
        </is>
      </c>
      <c r="D1148" s="47" t="n">
        <v>45977</v>
      </c>
      <c r="E1148" s="47" t="n">
        <v>46054</v>
      </c>
      <c r="F1148" s="47" t="n">
        <v>46051</v>
      </c>
      <c r="G1148" s="46" t="n">
        <v>311</v>
      </c>
      <c r="H1148" s="46" t="n">
        <v>311</v>
      </c>
      <c r="I1148" s="46" t="n">
        <v>5</v>
      </c>
      <c r="J1148" s="44" t="n">
        <v>91.83</v>
      </c>
      <c r="K1148" s="43" t="inlineStr">
        <is>
          <t>Received</t>
        </is>
      </c>
      <c r="L1148" s="17">
        <f>INDEX(Items!$C$2:$C$117,MATCH(B1148,Items!$A$2:$A$117,0))</f>
        <v/>
      </c>
      <c r="M1148" s="49">
        <f>INDEX(Items!$E$2:$E$117,MATCH(B1148,Items!$A$2:$A$117,0))</f>
        <v/>
      </c>
      <c r="N1148" s="17">
        <f>TEXT(D1148,"yyyy-mm")</f>
        <v/>
      </c>
      <c r="O1148" s="50">
        <f>G1148*J1148</f>
        <v/>
      </c>
      <c r="P1148" s="50">
        <f>(J1148-M1148)*G1148</f>
        <v/>
      </c>
      <c r="Q1148" s="51">
        <f>IF(K1148="Received",1,0)</f>
        <v/>
      </c>
      <c r="R1148" s="51">
        <f>IF(Q1148=1,F1148-D1148,0)</f>
        <v/>
      </c>
      <c r="S1148" s="51">
        <f>IF(Q1148=1,IF(F1148&lt;=E1148,1,0),0)</f>
        <v/>
      </c>
      <c r="T1148" s="51">
        <f>IF(Q1148=1,IF(H1148&gt;=G1148,1,0),0)</f>
        <v/>
      </c>
      <c r="U1148" s="51">
        <f>S1148*T1148</f>
        <v/>
      </c>
      <c r="V1148" s="51">
        <f>IF(Q1148=1,MAX(0,F1148-E1148),0)</f>
        <v/>
      </c>
    </row>
    <row r="1149">
      <c r="A1149" s="43" t="inlineStr">
        <is>
          <t>PO100329</t>
        </is>
      </c>
      <c r="B1149" s="43" t="inlineStr">
        <is>
          <t>CMD-0015</t>
        </is>
      </c>
      <c r="C1149" s="43" t="inlineStr">
        <is>
          <t>S03</t>
        </is>
      </c>
      <c r="D1149" s="47" t="n">
        <v>45977</v>
      </c>
      <c r="E1149" s="47" t="n">
        <v>46110</v>
      </c>
      <c r="F1149" s="47" t="n">
        <v>46109</v>
      </c>
      <c r="G1149" s="46" t="n">
        <v>3747</v>
      </c>
      <c r="H1149" s="46" t="n">
        <v>3747</v>
      </c>
      <c r="I1149" s="46" t="n">
        <v>23</v>
      </c>
      <c r="J1149" s="44" t="n">
        <v>6.6788</v>
      </c>
      <c r="K1149" s="43" t="inlineStr">
        <is>
          <t>Received</t>
        </is>
      </c>
      <c r="L1149" s="17">
        <f>INDEX(Items!$C$2:$C$117,MATCH(B1149,Items!$A$2:$A$117,0))</f>
        <v/>
      </c>
      <c r="M1149" s="49">
        <f>INDEX(Items!$E$2:$E$117,MATCH(B1149,Items!$A$2:$A$117,0))</f>
        <v/>
      </c>
      <c r="N1149" s="17">
        <f>TEXT(D1149,"yyyy-mm")</f>
        <v/>
      </c>
      <c r="O1149" s="50">
        <f>G1149*J1149</f>
        <v/>
      </c>
      <c r="P1149" s="50">
        <f>(J1149-M1149)*G1149</f>
        <v/>
      </c>
      <c r="Q1149" s="51">
        <f>IF(K1149="Received",1,0)</f>
        <v/>
      </c>
      <c r="R1149" s="51">
        <f>IF(Q1149=1,F1149-D1149,0)</f>
        <v/>
      </c>
      <c r="S1149" s="51">
        <f>IF(Q1149=1,IF(F1149&lt;=E1149,1,0),0)</f>
        <v/>
      </c>
      <c r="T1149" s="51">
        <f>IF(Q1149=1,IF(H1149&gt;=G1149,1,0),0)</f>
        <v/>
      </c>
      <c r="U1149" s="51">
        <f>S1149*T1149</f>
        <v/>
      </c>
      <c r="V1149" s="51">
        <f>IF(Q1149=1,MAX(0,F1149-E1149),0)</f>
        <v/>
      </c>
    </row>
    <row r="1150">
      <c r="A1150" s="43" t="inlineStr">
        <is>
          <t>PO100629</t>
        </is>
      </c>
      <c r="B1150" s="43" t="inlineStr">
        <is>
          <t>CMD-0028</t>
        </is>
      </c>
      <c r="C1150" s="43" t="inlineStr">
        <is>
          <t>S11</t>
        </is>
      </c>
      <c r="D1150" s="47" t="n">
        <v>45977</v>
      </c>
      <c r="E1150" s="47" t="n">
        <v>46054</v>
      </c>
      <c r="F1150" s="47" t="n">
        <v>46076</v>
      </c>
      <c r="G1150" s="46" t="n">
        <v>2848</v>
      </c>
      <c r="H1150" s="46" t="n">
        <v>2848</v>
      </c>
      <c r="I1150" s="46" t="n">
        <v>7</v>
      </c>
      <c r="J1150" s="44" t="n">
        <v>15.84</v>
      </c>
      <c r="K1150" s="43" t="inlineStr">
        <is>
          <t>Received</t>
        </is>
      </c>
      <c r="L1150" s="17">
        <f>INDEX(Items!$C$2:$C$117,MATCH(B1150,Items!$A$2:$A$117,0))</f>
        <v/>
      </c>
      <c r="M1150" s="49">
        <f>INDEX(Items!$E$2:$E$117,MATCH(B1150,Items!$A$2:$A$117,0))</f>
        <v/>
      </c>
      <c r="N1150" s="17">
        <f>TEXT(D1150,"yyyy-mm")</f>
        <v/>
      </c>
      <c r="O1150" s="50">
        <f>G1150*J1150</f>
        <v/>
      </c>
      <c r="P1150" s="50">
        <f>(J1150-M1150)*G1150</f>
        <v/>
      </c>
      <c r="Q1150" s="51">
        <f>IF(K1150="Received",1,0)</f>
        <v/>
      </c>
      <c r="R1150" s="51">
        <f>IF(Q1150=1,F1150-D1150,0)</f>
        <v/>
      </c>
      <c r="S1150" s="51">
        <f>IF(Q1150=1,IF(F1150&lt;=E1150,1,0),0)</f>
        <v/>
      </c>
      <c r="T1150" s="51">
        <f>IF(Q1150=1,IF(H1150&gt;=G1150,1,0),0)</f>
        <v/>
      </c>
      <c r="U1150" s="51">
        <f>S1150*T1150</f>
        <v/>
      </c>
      <c r="V1150" s="51">
        <f>IF(Q1150=1,MAX(0,F1150-E1150),0)</f>
        <v/>
      </c>
    </row>
    <row r="1151">
      <c r="A1151" s="43" t="inlineStr">
        <is>
          <t>PO100677</t>
        </is>
      </c>
      <c r="B1151" s="43" t="inlineStr">
        <is>
          <t>CMD-0030</t>
        </is>
      </c>
      <c r="C1151" s="43" t="inlineStr">
        <is>
          <t>S11</t>
        </is>
      </c>
      <c r="D1151" s="47" t="n">
        <v>45977</v>
      </c>
      <c r="E1151" s="47" t="n">
        <v>46054</v>
      </c>
      <c r="F1151" s="47" t="n">
        <v>46051</v>
      </c>
      <c r="G1151" s="46" t="n">
        <v>7896</v>
      </c>
      <c r="H1151" s="46" t="n">
        <v>7896</v>
      </c>
      <c r="I1151" s="46" t="n">
        <v>12</v>
      </c>
      <c r="J1151" s="44" t="n">
        <v>23.19</v>
      </c>
      <c r="K1151" s="43" t="inlineStr">
        <is>
          <t>Received</t>
        </is>
      </c>
      <c r="L1151" s="17">
        <f>INDEX(Items!$C$2:$C$117,MATCH(B1151,Items!$A$2:$A$117,0))</f>
        <v/>
      </c>
      <c r="M1151" s="49">
        <f>INDEX(Items!$E$2:$E$117,MATCH(B1151,Items!$A$2:$A$117,0))</f>
        <v/>
      </c>
      <c r="N1151" s="17">
        <f>TEXT(D1151,"yyyy-mm")</f>
        <v/>
      </c>
      <c r="O1151" s="50">
        <f>G1151*J1151</f>
        <v/>
      </c>
      <c r="P1151" s="50">
        <f>(J1151-M1151)*G1151</f>
        <v/>
      </c>
      <c r="Q1151" s="51">
        <f>IF(K1151="Received",1,0)</f>
        <v/>
      </c>
      <c r="R1151" s="51">
        <f>IF(Q1151=1,F1151-D1151,0)</f>
        <v/>
      </c>
      <c r="S1151" s="51">
        <f>IF(Q1151=1,IF(F1151&lt;=E1151,1,0),0)</f>
        <v/>
      </c>
      <c r="T1151" s="51">
        <f>IF(Q1151=1,IF(H1151&gt;=G1151,1,0),0)</f>
        <v/>
      </c>
      <c r="U1151" s="51">
        <f>S1151*T1151</f>
        <v/>
      </c>
      <c r="V1151" s="51">
        <f>IF(Q1151=1,MAX(0,F1151-E1151),0)</f>
        <v/>
      </c>
    </row>
    <row r="1152">
      <c r="A1152" s="43" t="inlineStr">
        <is>
          <t>PO100205</t>
        </is>
      </c>
      <c r="B1152" s="43" t="inlineStr">
        <is>
          <t>CMD-0009</t>
        </is>
      </c>
      <c r="C1152" s="43" t="inlineStr">
        <is>
          <t>S11</t>
        </is>
      </c>
      <c r="D1152" s="47" t="n">
        <v>45977</v>
      </c>
      <c r="E1152" s="47" t="n">
        <v>46096</v>
      </c>
      <c r="F1152" s="47" t="n">
        <v>46093</v>
      </c>
      <c r="G1152" s="46" t="n">
        <v>6959</v>
      </c>
      <c r="H1152" s="46" t="n">
        <v>6959</v>
      </c>
      <c r="I1152" s="46" t="n">
        <v>13</v>
      </c>
      <c r="J1152" s="44" t="n">
        <v>7.4222</v>
      </c>
      <c r="K1152" s="43" t="inlineStr">
        <is>
          <t>Received</t>
        </is>
      </c>
      <c r="L1152" s="17">
        <f>INDEX(Items!$C$2:$C$117,MATCH(B1152,Items!$A$2:$A$117,0))</f>
        <v/>
      </c>
      <c r="M1152" s="49">
        <f>INDEX(Items!$E$2:$E$117,MATCH(B1152,Items!$A$2:$A$117,0))</f>
        <v/>
      </c>
      <c r="N1152" s="17">
        <f>TEXT(D1152,"yyyy-mm")</f>
        <v/>
      </c>
      <c r="O1152" s="50">
        <f>G1152*J1152</f>
        <v/>
      </c>
      <c r="P1152" s="50">
        <f>(J1152-M1152)*G1152</f>
        <v/>
      </c>
      <c r="Q1152" s="51">
        <f>IF(K1152="Received",1,0)</f>
        <v/>
      </c>
      <c r="R1152" s="51">
        <f>IF(Q1152=1,F1152-D1152,0)</f>
        <v/>
      </c>
      <c r="S1152" s="51">
        <f>IF(Q1152=1,IF(F1152&lt;=E1152,1,0),0)</f>
        <v/>
      </c>
      <c r="T1152" s="51">
        <f>IF(Q1152=1,IF(H1152&gt;=G1152,1,0),0)</f>
        <v/>
      </c>
      <c r="U1152" s="51">
        <f>S1152*T1152</f>
        <v/>
      </c>
      <c r="V1152" s="51">
        <f>IF(Q1152=1,MAX(0,F1152-E1152),0)</f>
        <v/>
      </c>
    </row>
    <row r="1153">
      <c r="A1153" s="43" t="inlineStr">
        <is>
          <t>PO101631</t>
        </is>
      </c>
      <c r="B1153" s="43" t="inlineStr">
        <is>
          <t>CMD-0090</t>
        </is>
      </c>
      <c r="C1153" s="43" t="inlineStr">
        <is>
          <t>S01</t>
        </is>
      </c>
      <c r="D1153" s="47" t="n">
        <v>45977</v>
      </c>
      <c r="E1153" s="47" t="n">
        <v>45991</v>
      </c>
      <c r="F1153" s="47" t="n">
        <v>45991</v>
      </c>
      <c r="G1153" s="46" t="n">
        <v>4045</v>
      </c>
      <c r="H1153" s="46" t="n">
        <v>4045</v>
      </c>
      <c r="I1153" s="46" t="n">
        <v>4</v>
      </c>
      <c r="J1153" s="44" t="n">
        <v>6.99</v>
      </c>
      <c r="K1153" s="43" t="inlineStr">
        <is>
          <t>Received</t>
        </is>
      </c>
      <c r="L1153" s="17">
        <f>INDEX(Items!$C$2:$C$117,MATCH(B1153,Items!$A$2:$A$117,0))</f>
        <v/>
      </c>
      <c r="M1153" s="49">
        <f>INDEX(Items!$E$2:$E$117,MATCH(B1153,Items!$A$2:$A$117,0))</f>
        <v/>
      </c>
      <c r="N1153" s="17">
        <f>TEXT(D1153,"yyyy-mm")</f>
        <v/>
      </c>
      <c r="O1153" s="50">
        <f>G1153*J1153</f>
        <v/>
      </c>
      <c r="P1153" s="50">
        <f>(J1153-M1153)*G1153</f>
        <v/>
      </c>
      <c r="Q1153" s="51">
        <f>IF(K1153="Received",1,0)</f>
        <v/>
      </c>
      <c r="R1153" s="51">
        <f>IF(Q1153=1,F1153-D1153,0)</f>
        <v/>
      </c>
      <c r="S1153" s="51">
        <f>IF(Q1153=1,IF(F1153&lt;=E1153,1,0),0)</f>
        <v/>
      </c>
      <c r="T1153" s="51">
        <f>IF(Q1153=1,IF(H1153&gt;=G1153,1,0),0)</f>
        <v/>
      </c>
      <c r="U1153" s="51">
        <f>S1153*T1153</f>
        <v/>
      </c>
      <c r="V1153" s="51">
        <f>IF(Q1153=1,MAX(0,F1153-E1153),0)</f>
        <v/>
      </c>
    </row>
    <row r="1154">
      <c r="A1154" s="43" t="inlineStr">
        <is>
          <t>PO101857</t>
        </is>
      </c>
      <c r="B1154" s="43" t="inlineStr">
        <is>
          <t>CMD-0101</t>
        </is>
      </c>
      <c r="C1154" s="43" t="inlineStr">
        <is>
          <t>S09</t>
        </is>
      </c>
      <c r="D1154" s="47" t="n">
        <v>45978</v>
      </c>
      <c r="E1154" s="47" t="n">
        <v>45999</v>
      </c>
      <c r="F1154" s="47" t="n">
        <v>45998</v>
      </c>
      <c r="G1154" s="46" t="n">
        <v>4315</v>
      </c>
      <c r="H1154" s="46" t="n">
        <v>4315</v>
      </c>
      <c r="I1154" s="46" t="n">
        <v>9</v>
      </c>
      <c r="J1154" s="44" t="n">
        <v>3.7</v>
      </c>
      <c r="K1154" s="43" t="inlineStr">
        <is>
          <t>Received</t>
        </is>
      </c>
      <c r="L1154" s="17">
        <f>INDEX(Items!$C$2:$C$117,MATCH(B1154,Items!$A$2:$A$117,0))</f>
        <v/>
      </c>
      <c r="M1154" s="49">
        <f>INDEX(Items!$E$2:$E$117,MATCH(B1154,Items!$A$2:$A$117,0))</f>
        <v/>
      </c>
      <c r="N1154" s="17">
        <f>TEXT(D1154,"yyyy-mm")</f>
        <v/>
      </c>
      <c r="O1154" s="50">
        <f>G1154*J1154</f>
        <v/>
      </c>
      <c r="P1154" s="50">
        <f>(J1154-M1154)*G1154</f>
        <v/>
      </c>
      <c r="Q1154" s="51">
        <f>IF(K1154="Received",1,0)</f>
        <v/>
      </c>
      <c r="R1154" s="51">
        <f>IF(Q1154=1,F1154-D1154,0)</f>
        <v/>
      </c>
      <c r="S1154" s="51">
        <f>IF(Q1154=1,IF(F1154&lt;=E1154,1,0),0)</f>
        <v/>
      </c>
      <c r="T1154" s="51">
        <f>IF(Q1154=1,IF(H1154&gt;=G1154,1,0),0)</f>
        <v/>
      </c>
      <c r="U1154" s="51">
        <f>S1154*T1154</f>
        <v/>
      </c>
      <c r="V1154" s="51">
        <f>IF(Q1154=1,MAX(0,F1154-E1154),0)</f>
        <v/>
      </c>
    </row>
    <row r="1155">
      <c r="A1155" s="43" t="inlineStr">
        <is>
          <t>PO101469</t>
        </is>
      </c>
      <c r="B1155" s="43" t="inlineStr">
        <is>
          <t>CMD-0078</t>
        </is>
      </c>
      <c r="C1155" s="43" t="inlineStr">
        <is>
          <t>S06</t>
        </is>
      </c>
      <c r="D1155" s="47" t="n">
        <v>45978</v>
      </c>
      <c r="E1155" s="47" t="n">
        <v>45999</v>
      </c>
      <c r="F1155" s="47" t="n">
        <v>45997</v>
      </c>
      <c r="G1155" s="46" t="n">
        <v>5243</v>
      </c>
      <c r="H1155" s="46" t="n">
        <v>5243</v>
      </c>
      <c r="I1155" s="46" t="n">
        <v>23</v>
      </c>
      <c r="J1155" s="44" t="n">
        <v>2.6</v>
      </c>
      <c r="K1155" s="43" t="inlineStr">
        <is>
          <t>Received</t>
        </is>
      </c>
      <c r="L1155" s="17">
        <f>INDEX(Items!$C$2:$C$117,MATCH(B1155,Items!$A$2:$A$117,0))</f>
        <v/>
      </c>
      <c r="M1155" s="49">
        <f>INDEX(Items!$E$2:$E$117,MATCH(B1155,Items!$A$2:$A$117,0))</f>
        <v/>
      </c>
      <c r="N1155" s="17">
        <f>TEXT(D1155,"yyyy-mm")</f>
        <v/>
      </c>
      <c r="O1155" s="50">
        <f>G1155*J1155</f>
        <v/>
      </c>
      <c r="P1155" s="50">
        <f>(J1155-M1155)*G1155</f>
        <v/>
      </c>
      <c r="Q1155" s="51">
        <f>IF(K1155="Received",1,0)</f>
        <v/>
      </c>
      <c r="R1155" s="51">
        <f>IF(Q1155=1,F1155-D1155,0)</f>
        <v/>
      </c>
      <c r="S1155" s="51">
        <f>IF(Q1155=1,IF(F1155&lt;=E1155,1,0),0)</f>
        <v/>
      </c>
      <c r="T1155" s="51">
        <f>IF(Q1155=1,IF(H1155&gt;=G1155,1,0),0)</f>
        <v/>
      </c>
      <c r="U1155" s="51">
        <f>S1155*T1155</f>
        <v/>
      </c>
      <c r="V1155" s="51">
        <f>IF(Q1155=1,MAX(0,F1155-E1155),0)</f>
        <v/>
      </c>
    </row>
    <row r="1156">
      <c r="A1156" s="43" t="inlineStr">
        <is>
          <t>PO100581</t>
        </is>
      </c>
      <c r="B1156" s="43" t="inlineStr">
        <is>
          <t>CMD-0026</t>
        </is>
      </c>
      <c r="C1156" s="43" t="inlineStr">
        <is>
          <t>S04</t>
        </is>
      </c>
      <c r="D1156" s="47" t="n">
        <v>45978</v>
      </c>
      <c r="E1156" s="47" t="n">
        <v>46048</v>
      </c>
      <c r="F1156" s="47" t="n">
        <v>46045</v>
      </c>
      <c r="G1156" s="46" t="n">
        <v>7650</v>
      </c>
      <c r="H1156" s="46" t="n">
        <v>7650</v>
      </c>
      <c r="I1156" s="46" t="n">
        <v>74</v>
      </c>
      <c r="J1156" s="44" t="n">
        <v>5.96</v>
      </c>
      <c r="K1156" s="43" t="inlineStr">
        <is>
          <t>Received</t>
        </is>
      </c>
      <c r="L1156" s="17">
        <f>INDEX(Items!$C$2:$C$117,MATCH(B1156,Items!$A$2:$A$117,0))</f>
        <v/>
      </c>
      <c r="M1156" s="49">
        <f>INDEX(Items!$E$2:$E$117,MATCH(B1156,Items!$A$2:$A$117,0))</f>
        <v/>
      </c>
      <c r="N1156" s="17">
        <f>TEXT(D1156,"yyyy-mm")</f>
        <v/>
      </c>
      <c r="O1156" s="50">
        <f>G1156*J1156</f>
        <v/>
      </c>
      <c r="P1156" s="50">
        <f>(J1156-M1156)*G1156</f>
        <v/>
      </c>
      <c r="Q1156" s="51">
        <f>IF(K1156="Received",1,0)</f>
        <v/>
      </c>
      <c r="R1156" s="51">
        <f>IF(Q1156=1,F1156-D1156,0)</f>
        <v/>
      </c>
      <c r="S1156" s="51">
        <f>IF(Q1156=1,IF(F1156&lt;=E1156,1,0),0)</f>
        <v/>
      </c>
      <c r="T1156" s="51">
        <f>IF(Q1156=1,IF(H1156&gt;=G1156,1,0),0)</f>
        <v/>
      </c>
      <c r="U1156" s="51">
        <f>S1156*T1156</f>
        <v/>
      </c>
      <c r="V1156" s="51">
        <f>IF(Q1156=1,MAX(0,F1156-E1156),0)</f>
        <v/>
      </c>
    </row>
    <row r="1157">
      <c r="A1157" s="43" t="inlineStr">
        <is>
          <t>PO100807</t>
        </is>
      </c>
      <c r="B1157" s="43" t="inlineStr">
        <is>
          <t>CMD-0036</t>
        </is>
      </c>
      <c r="C1157" s="43" t="inlineStr">
        <is>
          <t>S04</t>
        </is>
      </c>
      <c r="D1157" s="47" t="n">
        <v>45978</v>
      </c>
      <c r="E1157" s="47" t="n">
        <v>46020</v>
      </c>
      <c r="F1157" s="47" t="n">
        <v>46030</v>
      </c>
      <c r="G1157" s="46" t="n">
        <v>486</v>
      </c>
      <c r="H1157" s="46" t="n">
        <v>486</v>
      </c>
      <c r="I1157" s="46" t="n">
        <v>4</v>
      </c>
      <c r="J1157" s="44" t="n">
        <v>12.36</v>
      </c>
      <c r="K1157" s="43" t="inlineStr">
        <is>
          <t>Received</t>
        </is>
      </c>
      <c r="L1157" s="17">
        <f>INDEX(Items!$C$2:$C$117,MATCH(B1157,Items!$A$2:$A$117,0))</f>
        <v/>
      </c>
      <c r="M1157" s="49">
        <f>INDEX(Items!$E$2:$E$117,MATCH(B1157,Items!$A$2:$A$117,0))</f>
        <v/>
      </c>
      <c r="N1157" s="17">
        <f>TEXT(D1157,"yyyy-mm")</f>
        <v/>
      </c>
      <c r="O1157" s="50">
        <f>G1157*J1157</f>
        <v/>
      </c>
      <c r="P1157" s="50">
        <f>(J1157-M1157)*G1157</f>
        <v/>
      </c>
      <c r="Q1157" s="51">
        <f>IF(K1157="Received",1,0)</f>
        <v/>
      </c>
      <c r="R1157" s="51">
        <f>IF(Q1157=1,F1157-D1157,0)</f>
        <v/>
      </c>
      <c r="S1157" s="51">
        <f>IF(Q1157=1,IF(F1157&lt;=E1157,1,0),0)</f>
        <v/>
      </c>
      <c r="T1157" s="51">
        <f>IF(Q1157=1,IF(H1157&gt;=G1157,1,0),0)</f>
        <v/>
      </c>
      <c r="U1157" s="51">
        <f>S1157*T1157</f>
        <v/>
      </c>
      <c r="V1157" s="51">
        <f>IF(Q1157=1,MAX(0,F1157-E1157),0)</f>
        <v/>
      </c>
    </row>
    <row r="1158">
      <c r="A1158" s="43" t="inlineStr">
        <is>
          <t>PO101727</t>
        </is>
      </c>
      <c r="B1158" s="43" t="inlineStr">
        <is>
          <t>CMD-0094</t>
        </is>
      </c>
      <c r="C1158" s="43" t="inlineStr">
        <is>
          <t>S08</t>
        </is>
      </c>
      <c r="D1158" s="47" t="n">
        <v>45978</v>
      </c>
      <c r="E1158" s="47" t="n">
        <v>46055</v>
      </c>
      <c r="F1158" s="47" t="n">
        <v>46052</v>
      </c>
      <c r="G1158" s="46" t="n">
        <v>413</v>
      </c>
      <c r="H1158" s="46" t="n">
        <v>413</v>
      </c>
      <c r="I1158" s="46" t="n">
        <v>6</v>
      </c>
      <c r="J1158" s="44" t="n">
        <v>74.09</v>
      </c>
      <c r="K1158" s="43" t="inlineStr">
        <is>
          <t>Received</t>
        </is>
      </c>
      <c r="L1158" s="17">
        <f>INDEX(Items!$C$2:$C$117,MATCH(B1158,Items!$A$2:$A$117,0))</f>
        <v/>
      </c>
      <c r="M1158" s="49">
        <f>INDEX(Items!$E$2:$E$117,MATCH(B1158,Items!$A$2:$A$117,0))</f>
        <v/>
      </c>
      <c r="N1158" s="17">
        <f>TEXT(D1158,"yyyy-mm")</f>
        <v/>
      </c>
      <c r="O1158" s="50">
        <f>G1158*J1158</f>
        <v/>
      </c>
      <c r="P1158" s="50">
        <f>(J1158-M1158)*G1158</f>
        <v/>
      </c>
      <c r="Q1158" s="51">
        <f>IF(K1158="Received",1,0)</f>
        <v/>
      </c>
      <c r="R1158" s="51">
        <f>IF(Q1158=1,F1158-D1158,0)</f>
        <v/>
      </c>
      <c r="S1158" s="51">
        <f>IF(Q1158=1,IF(F1158&lt;=E1158,1,0),0)</f>
        <v/>
      </c>
      <c r="T1158" s="51">
        <f>IF(Q1158=1,IF(H1158&gt;=G1158,1,0),0)</f>
        <v/>
      </c>
      <c r="U1158" s="51">
        <f>S1158*T1158</f>
        <v/>
      </c>
      <c r="V1158" s="51">
        <f>IF(Q1158=1,MAX(0,F1158-E1158),0)</f>
        <v/>
      </c>
    </row>
    <row r="1159">
      <c r="A1159" s="43" t="inlineStr">
        <is>
          <t>PO100133</t>
        </is>
      </c>
      <c r="B1159" s="43" t="inlineStr">
        <is>
          <t>CMD-0006</t>
        </is>
      </c>
      <c r="C1159" s="43" t="inlineStr">
        <is>
          <t>S03</t>
        </is>
      </c>
      <c r="D1159" s="47" t="n">
        <v>45978</v>
      </c>
      <c r="E1159" s="47" t="n">
        <v>46111</v>
      </c>
      <c r="F1159" s="47" t="n">
        <v>46109</v>
      </c>
      <c r="G1159" s="46" t="n">
        <v>648</v>
      </c>
      <c r="H1159" s="46" t="n">
        <v>648</v>
      </c>
      <c r="I1159" s="46" t="n">
        <v>7</v>
      </c>
      <c r="J1159" s="44" t="n">
        <v>36.049</v>
      </c>
      <c r="K1159" s="43" t="inlineStr">
        <is>
          <t>Received</t>
        </is>
      </c>
      <c r="L1159" s="17">
        <f>INDEX(Items!$C$2:$C$117,MATCH(B1159,Items!$A$2:$A$117,0))</f>
        <v/>
      </c>
      <c r="M1159" s="49">
        <f>INDEX(Items!$E$2:$E$117,MATCH(B1159,Items!$A$2:$A$117,0))</f>
        <v/>
      </c>
      <c r="N1159" s="17">
        <f>TEXT(D1159,"yyyy-mm")</f>
        <v/>
      </c>
      <c r="O1159" s="50">
        <f>G1159*J1159</f>
        <v/>
      </c>
      <c r="P1159" s="50">
        <f>(J1159-M1159)*G1159</f>
        <v/>
      </c>
      <c r="Q1159" s="51">
        <f>IF(K1159="Received",1,0)</f>
        <v/>
      </c>
      <c r="R1159" s="51">
        <f>IF(Q1159=1,F1159-D1159,0)</f>
        <v/>
      </c>
      <c r="S1159" s="51">
        <f>IF(Q1159=1,IF(F1159&lt;=E1159,1,0),0)</f>
        <v/>
      </c>
      <c r="T1159" s="51">
        <f>IF(Q1159=1,IF(H1159&gt;=G1159,1,0),0)</f>
        <v/>
      </c>
      <c r="U1159" s="51">
        <f>S1159*T1159</f>
        <v/>
      </c>
      <c r="V1159" s="51">
        <f>IF(Q1159=1,MAX(0,F1159-E1159),0)</f>
        <v/>
      </c>
    </row>
    <row r="1160">
      <c r="A1160" s="43" t="inlineStr">
        <is>
          <t>PO100653</t>
        </is>
      </c>
      <c r="B1160" s="43" t="inlineStr">
        <is>
          <t>CMD-0029</t>
        </is>
      </c>
      <c r="C1160" s="43" t="inlineStr">
        <is>
          <t>S11</t>
        </is>
      </c>
      <c r="D1160" s="47" t="n">
        <v>45978</v>
      </c>
      <c r="E1160" s="47" t="n">
        <v>46055</v>
      </c>
      <c r="F1160" s="47" t="n">
        <v>46055</v>
      </c>
      <c r="G1160" s="46" t="n">
        <v>4549</v>
      </c>
      <c r="H1160" s="46" t="n">
        <v>4549</v>
      </c>
      <c r="I1160" s="46" t="n">
        <v>7</v>
      </c>
      <c r="J1160" s="44" t="n">
        <v>6.87</v>
      </c>
      <c r="K1160" s="43" t="inlineStr">
        <is>
          <t>Received</t>
        </is>
      </c>
      <c r="L1160" s="17">
        <f>INDEX(Items!$C$2:$C$117,MATCH(B1160,Items!$A$2:$A$117,0))</f>
        <v/>
      </c>
      <c r="M1160" s="49">
        <f>INDEX(Items!$E$2:$E$117,MATCH(B1160,Items!$A$2:$A$117,0))</f>
        <v/>
      </c>
      <c r="N1160" s="17">
        <f>TEXT(D1160,"yyyy-mm")</f>
        <v/>
      </c>
      <c r="O1160" s="50">
        <f>G1160*J1160</f>
        <v/>
      </c>
      <c r="P1160" s="50">
        <f>(J1160-M1160)*G1160</f>
        <v/>
      </c>
      <c r="Q1160" s="51">
        <f>IF(K1160="Received",1,0)</f>
        <v/>
      </c>
      <c r="R1160" s="51">
        <f>IF(Q1160=1,F1160-D1160,0)</f>
        <v/>
      </c>
      <c r="S1160" s="51">
        <f>IF(Q1160=1,IF(F1160&lt;=E1160,1,0),0)</f>
        <v/>
      </c>
      <c r="T1160" s="51">
        <f>IF(Q1160=1,IF(H1160&gt;=G1160,1,0),0)</f>
        <v/>
      </c>
      <c r="U1160" s="51">
        <f>S1160*T1160</f>
        <v/>
      </c>
      <c r="V1160" s="51">
        <f>IF(Q1160=1,MAX(0,F1160-E1160),0)</f>
        <v/>
      </c>
    </row>
    <row r="1161">
      <c r="A1161" s="43" t="inlineStr">
        <is>
          <t>PO101241</t>
        </is>
      </c>
      <c r="B1161" s="43" t="inlineStr">
        <is>
          <t>CMD-0058</t>
        </is>
      </c>
      <c r="C1161" s="43" t="inlineStr">
        <is>
          <t>S04</t>
        </is>
      </c>
      <c r="D1161" s="47" t="n">
        <v>45978</v>
      </c>
      <c r="E1161" s="47" t="n">
        <v>46013</v>
      </c>
      <c r="F1161" s="47" t="n">
        <v>46012</v>
      </c>
      <c r="G1161" s="46" t="n">
        <v>64727</v>
      </c>
      <c r="H1161" s="46" t="n">
        <v>64727</v>
      </c>
      <c r="I1161" s="46" t="n">
        <v>587</v>
      </c>
      <c r="J1161" s="44" t="n">
        <v>0.1178</v>
      </c>
      <c r="K1161" s="43" t="inlineStr">
        <is>
          <t>Received</t>
        </is>
      </c>
      <c r="L1161" s="17">
        <f>INDEX(Items!$C$2:$C$117,MATCH(B1161,Items!$A$2:$A$117,0))</f>
        <v/>
      </c>
      <c r="M1161" s="49">
        <f>INDEX(Items!$E$2:$E$117,MATCH(B1161,Items!$A$2:$A$117,0))</f>
        <v/>
      </c>
      <c r="N1161" s="17">
        <f>TEXT(D1161,"yyyy-mm")</f>
        <v/>
      </c>
      <c r="O1161" s="50">
        <f>G1161*J1161</f>
        <v/>
      </c>
      <c r="P1161" s="50">
        <f>(J1161-M1161)*G1161</f>
        <v/>
      </c>
      <c r="Q1161" s="51">
        <f>IF(K1161="Received",1,0)</f>
        <v/>
      </c>
      <c r="R1161" s="51">
        <f>IF(Q1161=1,F1161-D1161,0)</f>
        <v/>
      </c>
      <c r="S1161" s="51">
        <f>IF(Q1161=1,IF(F1161&lt;=E1161,1,0),0)</f>
        <v/>
      </c>
      <c r="T1161" s="51">
        <f>IF(Q1161=1,IF(H1161&gt;=G1161,1,0),0)</f>
        <v/>
      </c>
      <c r="U1161" s="51">
        <f>S1161*T1161</f>
        <v/>
      </c>
      <c r="V1161" s="51">
        <f>IF(Q1161=1,MAX(0,F1161-E1161),0)</f>
        <v/>
      </c>
    </row>
    <row r="1162">
      <c r="A1162" s="43" t="inlineStr">
        <is>
          <t>PO100253</t>
        </is>
      </c>
      <c r="B1162" s="43" t="inlineStr">
        <is>
          <t>CMD-0011</t>
        </is>
      </c>
      <c r="C1162" s="43" t="inlineStr">
        <is>
          <t>S07</t>
        </is>
      </c>
      <c r="D1162" s="47" t="n">
        <v>45978</v>
      </c>
      <c r="E1162" s="47" t="n">
        <v>46069</v>
      </c>
      <c r="F1162" s="47" t="n">
        <v>46066</v>
      </c>
      <c r="G1162" s="46" t="n">
        <v>3421</v>
      </c>
      <c r="H1162" s="46" t="n">
        <v>3421</v>
      </c>
      <c r="I1162" s="46" t="n">
        <v>21</v>
      </c>
      <c r="J1162" s="44" t="n">
        <v>9.5344</v>
      </c>
      <c r="K1162" s="43" t="inlineStr">
        <is>
          <t>Received</t>
        </is>
      </c>
      <c r="L1162" s="17">
        <f>INDEX(Items!$C$2:$C$117,MATCH(B1162,Items!$A$2:$A$117,0))</f>
        <v/>
      </c>
      <c r="M1162" s="49">
        <f>INDEX(Items!$E$2:$E$117,MATCH(B1162,Items!$A$2:$A$117,0))</f>
        <v/>
      </c>
      <c r="N1162" s="17">
        <f>TEXT(D1162,"yyyy-mm")</f>
        <v/>
      </c>
      <c r="O1162" s="50">
        <f>G1162*J1162</f>
        <v/>
      </c>
      <c r="P1162" s="50">
        <f>(J1162-M1162)*G1162</f>
        <v/>
      </c>
      <c r="Q1162" s="51">
        <f>IF(K1162="Received",1,0)</f>
        <v/>
      </c>
      <c r="R1162" s="51">
        <f>IF(Q1162=1,F1162-D1162,0)</f>
        <v/>
      </c>
      <c r="S1162" s="51">
        <f>IF(Q1162=1,IF(F1162&lt;=E1162,1,0),0)</f>
        <v/>
      </c>
      <c r="T1162" s="51">
        <f>IF(Q1162=1,IF(H1162&gt;=G1162,1,0),0)</f>
        <v/>
      </c>
      <c r="U1162" s="51">
        <f>S1162*T1162</f>
        <v/>
      </c>
      <c r="V1162" s="51">
        <f>IF(Q1162=1,MAX(0,F1162-E1162),0)</f>
        <v/>
      </c>
    </row>
    <row r="1163">
      <c r="A1163" s="43" t="inlineStr">
        <is>
          <t>PO100181</t>
        </is>
      </c>
      <c r="B1163" s="43" t="inlineStr">
        <is>
          <t>CMD-0008</t>
        </is>
      </c>
      <c r="C1163" s="43" t="inlineStr">
        <is>
          <t>S03</t>
        </is>
      </c>
      <c r="D1163" s="47" t="n">
        <v>45978</v>
      </c>
      <c r="E1163" s="47" t="n">
        <v>46111</v>
      </c>
      <c r="F1163" s="47" t="n">
        <v>46119</v>
      </c>
      <c r="G1163" s="46" t="n">
        <v>1326</v>
      </c>
      <c r="H1163" s="46" t="n">
        <v>1326</v>
      </c>
      <c r="I1163" s="46" t="n">
        <v>13</v>
      </c>
      <c r="J1163" s="44" t="n">
        <v>27.9188</v>
      </c>
      <c r="K1163" s="43" t="inlineStr">
        <is>
          <t>Received</t>
        </is>
      </c>
      <c r="L1163" s="17">
        <f>INDEX(Items!$C$2:$C$117,MATCH(B1163,Items!$A$2:$A$117,0))</f>
        <v/>
      </c>
      <c r="M1163" s="49">
        <f>INDEX(Items!$E$2:$E$117,MATCH(B1163,Items!$A$2:$A$117,0))</f>
        <v/>
      </c>
      <c r="N1163" s="17">
        <f>TEXT(D1163,"yyyy-mm")</f>
        <v/>
      </c>
      <c r="O1163" s="50">
        <f>G1163*J1163</f>
        <v/>
      </c>
      <c r="P1163" s="50">
        <f>(J1163-M1163)*G1163</f>
        <v/>
      </c>
      <c r="Q1163" s="51">
        <f>IF(K1163="Received",1,0)</f>
        <v/>
      </c>
      <c r="R1163" s="51">
        <f>IF(Q1163=1,F1163-D1163,0)</f>
        <v/>
      </c>
      <c r="S1163" s="51">
        <f>IF(Q1163=1,IF(F1163&lt;=E1163,1,0),0)</f>
        <v/>
      </c>
      <c r="T1163" s="51">
        <f>IF(Q1163=1,IF(H1163&gt;=G1163,1,0),0)</f>
        <v/>
      </c>
      <c r="U1163" s="51">
        <f>S1163*T1163</f>
        <v/>
      </c>
      <c r="V1163" s="51">
        <f>IF(Q1163=1,MAX(0,F1163-E1163),0)</f>
        <v/>
      </c>
    </row>
    <row r="1164">
      <c r="A1164" s="43" t="inlineStr">
        <is>
          <t>PO100377</t>
        </is>
      </c>
      <c r="B1164" s="43" t="inlineStr">
        <is>
          <t>CMD-0017</t>
        </is>
      </c>
      <c r="C1164" s="43" t="inlineStr">
        <is>
          <t>S11</t>
        </is>
      </c>
      <c r="D1164" s="47" t="n">
        <v>45978</v>
      </c>
      <c r="E1164" s="47" t="n">
        <v>46055</v>
      </c>
      <c r="F1164" s="47" t="n">
        <v>46055</v>
      </c>
      <c r="G1164" s="46" t="n">
        <v>6886</v>
      </c>
      <c r="H1164" s="46" t="n">
        <v>6886</v>
      </c>
      <c r="I1164" s="46" t="n">
        <v>16</v>
      </c>
      <c r="J1164" s="44" t="n">
        <v>12.69</v>
      </c>
      <c r="K1164" s="43" t="inlineStr">
        <is>
          <t>Received</t>
        </is>
      </c>
      <c r="L1164" s="17">
        <f>INDEX(Items!$C$2:$C$117,MATCH(B1164,Items!$A$2:$A$117,0))</f>
        <v/>
      </c>
      <c r="M1164" s="49">
        <f>INDEX(Items!$E$2:$E$117,MATCH(B1164,Items!$A$2:$A$117,0))</f>
        <v/>
      </c>
      <c r="N1164" s="17">
        <f>TEXT(D1164,"yyyy-mm")</f>
        <v/>
      </c>
      <c r="O1164" s="50">
        <f>G1164*J1164</f>
        <v/>
      </c>
      <c r="P1164" s="50">
        <f>(J1164-M1164)*G1164</f>
        <v/>
      </c>
      <c r="Q1164" s="51">
        <f>IF(K1164="Received",1,0)</f>
        <v/>
      </c>
      <c r="R1164" s="51">
        <f>IF(Q1164=1,F1164-D1164,0)</f>
        <v/>
      </c>
      <c r="S1164" s="51">
        <f>IF(Q1164=1,IF(F1164&lt;=E1164,1,0),0)</f>
        <v/>
      </c>
      <c r="T1164" s="51">
        <f>IF(Q1164=1,IF(H1164&gt;=G1164,1,0),0)</f>
        <v/>
      </c>
      <c r="U1164" s="51">
        <f>S1164*T1164</f>
        <v/>
      </c>
      <c r="V1164" s="51">
        <f>IF(Q1164=1,MAX(0,F1164-E1164),0)</f>
        <v/>
      </c>
    </row>
    <row r="1165">
      <c r="A1165" s="43" t="inlineStr">
        <is>
          <t>PO100157</t>
        </is>
      </c>
      <c r="B1165" s="43" t="inlineStr">
        <is>
          <t>CMD-0007</t>
        </is>
      </c>
      <c r="C1165" s="43" t="inlineStr">
        <is>
          <t>S03</t>
        </is>
      </c>
      <c r="D1165" s="47" t="n">
        <v>45978</v>
      </c>
      <c r="E1165" s="47" t="n">
        <v>46111</v>
      </c>
      <c r="F1165" s="47" t="n">
        <v>46112</v>
      </c>
      <c r="G1165" s="46" t="n">
        <v>3874</v>
      </c>
      <c r="H1165" s="46" t="n">
        <v>3874</v>
      </c>
      <c r="I1165" s="46" t="n">
        <v>14</v>
      </c>
      <c r="J1165" s="44" t="n">
        <v>22.8802</v>
      </c>
      <c r="K1165" s="43" t="inlineStr">
        <is>
          <t>Received</t>
        </is>
      </c>
      <c r="L1165" s="17">
        <f>INDEX(Items!$C$2:$C$117,MATCH(B1165,Items!$A$2:$A$117,0))</f>
        <v/>
      </c>
      <c r="M1165" s="49">
        <f>INDEX(Items!$E$2:$E$117,MATCH(B1165,Items!$A$2:$A$117,0))</f>
        <v/>
      </c>
      <c r="N1165" s="17">
        <f>TEXT(D1165,"yyyy-mm")</f>
        <v/>
      </c>
      <c r="O1165" s="50">
        <f>G1165*J1165</f>
        <v/>
      </c>
      <c r="P1165" s="50">
        <f>(J1165-M1165)*G1165</f>
        <v/>
      </c>
      <c r="Q1165" s="51">
        <f>IF(K1165="Received",1,0)</f>
        <v/>
      </c>
      <c r="R1165" s="51">
        <f>IF(Q1165=1,F1165-D1165,0)</f>
        <v/>
      </c>
      <c r="S1165" s="51">
        <f>IF(Q1165=1,IF(F1165&lt;=E1165,1,0),0)</f>
        <v/>
      </c>
      <c r="T1165" s="51">
        <f>IF(Q1165=1,IF(H1165&gt;=G1165,1,0),0)</f>
        <v/>
      </c>
      <c r="U1165" s="51">
        <f>S1165*T1165</f>
        <v/>
      </c>
      <c r="V1165" s="51">
        <f>IF(Q1165=1,MAX(0,F1165-E1165),0)</f>
        <v/>
      </c>
    </row>
    <row r="1166">
      <c r="A1166" s="43" t="inlineStr">
        <is>
          <t>PO101353</t>
        </is>
      </c>
      <c r="B1166" s="43" t="inlineStr">
        <is>
          <t>CMD-0068</t>
        </is>
      </c>
      <c r="C1166" s="43" t="inlineStr">
        <is>
          <t>S01</t>
        </is>
      </c>
      <c r="D1166" s="47" t="n">
        <v>45980</v>
      </c>
      <c r="E1166" s="47" t="n">
        <v>46001</v>
      </c>
      <c r="F1166" s="47" t="n">
        <v>45998</v>
      </c>
      <c r="G1166" s="46" t="n">
        <v>43812</v>
      </c>
      <c r="H1166" s="46" t="n">
        <v>43812</v>
      </c>
      <c r="I1166" s="46" t="n">
        <v>93</v>
      </c>
      <c r="J1166" s="44" t="n">
        <v>0.1562</v>
      </c>
      <c r="K1166" s="43" t="inlineStr">
        <is>
          <t>Received</t>
        </is>
      </c>
      <c r="L1166" s="17">
        <f>INDEX(Items!$C$2:$C$117,MATCH(B1166,Items!$A$2:$A$117,0))</f>
        <v/>
      </c>
      <c r="M1166" s="49">
        <f>INDEX(Items!$E$2:$E$117,MATCH(B1166,Items!$A$2:$A$117,0))</f>
        <v/>
      </c>
      <c r="N1166" s="17">
        <f>TEXT(D1166,"yyyy-mm")</f>
        <v/>
      </c>
      <c r="O1166" s="50">
        <f>G1166*J1166</f>
        <v/>
      </c>
      <c r="P1166" s="50">
        <f>(J1166-M1166)*G1166</f>
        <v/>
      </c>
      <c r="Q1166" s="51">
        <f>IF(K1166="Received",1,0)</f>
        <v/>
      </c>
      <c r="R1166" s="51">
        <f>IF(Q1166=1,F1166-D1166,0)</f>
        <v/>
      </c>
      <c r="S1166" s="51">
        <f>IF(Q1166=1,IF(F1166&lt;=E1166,1,0),0)</f>
        <v/>
      </c>
      <c r="T1166" s="51">
        <f>IF(Q1166=1,IF(H1166&gt;=G1166,1,0),0)</f>
        <v/>
      </c>
      <c r="U1166" s="51">
        <f>S1166*T1166</f>
        <v/>
      </c>
      <c r="V1166" s="51">
        <f>IF(Q1166=1,MAX(0,F1166-E1166),0)</f>
        <v/>
      </c>
    </row>
    <row r="1167">
      <c r="A1167" s="43" t="inlineStr">
        <is>
          <t>PO101224</t>
        </is>
      </c>
      <c r="B1167" s="43" t="inlineStr">
        <is>
          <t>CMD-0057</t>
        </is>
      </c>
      <c r="C1167" s="43" t="inlineStr">
        <is>
          <t>S01</t>
        </is>
      </c>
      <c r="D1167" s="47" t="n">
        <v>45982</v>
      </c>
      <c r="E1167" s="47" t="n">
        <v>46003</v>
      </c>
      <c r="F1167" s="47" t="n">
        <v>46000</v>
      </c>
      <c r="G1167" s="46" t="n">
        <v>53841</v>
      </c>
      <c r="H1167" s="46" t="n">
        <v>53841</v>
      </c>
      <c r="I1167" s="46" t="n">
        <v>106</v>
      </c>
      <c r="J1167" s="44" t="n">
        <v>0.1124</v>
      </c>
      <c r="K1167" s="43" t="inlineStr">
        <is>
          <t>Received</t>
        </is>
      </c>
      <c r="L1167" s="17">
        <f>INDEX(Items!$C$2:$C$117,MATCH(B1167,Items!$A$2:$A$117,0))</f>
        <v/>
      </c>
      <c r="M1167" s="49">
        <f>INDEX(Items!$E$2:$E$117,MATCH(B1167,Items!$A$2:$A$117,0))</f>
        <v/>
      </c>
      <c r="N1167" s="17">
        <f>TEXT(D1167,"yyyy-mm")</f>
        <v/>
      </c>
      <c r="O1167" s="50">
        <f>G1167*J1167</f>
        <v/>
      </c>
      <c r="P1167" s="50">
        <f>(J1167-M1167)*G1167</f>
        <v/>
      </c>
      <c r="Q1167" s="51">
        <f>IF(K1167="Received",1,0)</f>
        <v/>
      </c>
      <c r="R1167" s="51">
        <f>IF(Q1167=1,F1167-D1167,0)</f>
        <v/>
      </c>
      <c r="S1167" s="51">
        <f>IF(Q1167=1,IF(F1167&lt;=E1167,1,0),0)</f>
        <v/>
      </c>
      <c r="T1167" s="51">
        <f>IF(Q1167=1,IF(H1167&gt;=G1167,1,0),0)</f>
        <v/>
      </c>
      <c r="U1167" s="51">
        <f>S1167*T1167</f>
        <v/>
      </c>
      <c r="V1167" s="51">
        <f>IF(Q1167=1,MAX(0,F1167-E1167),0)</f>
        <v/>
      </c>
    </row>
    <row r="1168">
      <c r="A1168" s="43" t="inlineStr">
        <is>
          <t>PO100698</t>
        </is>
      </c>
      <c r="B1168" s="43" t="inlineStr">
        <is>
          <t>CMD-0031</t>
        </is>
      </c>
      <c r="C1168" s="43" t="inlineStr">
        <is>
          <t>S01</t>
        </is>
      </c>
      <c r="D1168" s="47" t="n">
        <v>45987</v>
      </c>
      <c r="E1168" s="47" t="n">
        <v>46015</v>
      </c>
      <c r="F1168" s="47" t="n">
        <v>46014</v>
      </c>
      <c r="G1168" s="46" t="n">
        <v>572</v>
      </c>
      <c r="H1168" s="46" t="n">
        <v>572</v>
      </c>
      <c r="I1168" s="46" t="n">
        <v>2</v>
      </c>
      <c r="J1168" s="44" t="n">
        <v>9.69</v>
      </c>
      <c r="K1168" s="43" t="inlineStr">
        <is>
          <t>Received</t>
        </is>
      </c>
      <c r="L1168" s="17">
        <f>INDEX(Items!$C$2:$C$117,MATCH(B1168,Items!$A$2:$A$117,0))</f>
        <v/>
      </c>
      <c r="M1168" s="49">
        <f>INDEX(Items!$E$2:$E$117,MATCH(B1168,Items!$A$2:$A$117,0))</f>
        <v/>
      </c>
      <c r="N1168" s="17">
        <f>TEXT(D1168,"yyyy-mm")</f>
        <v/>
      </c>
      <c r="O1168" s="50">
        <f>G1168*J1168</f>
        <v/>
      </c>
      <c r="P1168" s="50">
        <f>(J1168-M1168)*G1168</f>
        <v/>
      </c>
      <c r="Q1168" s="51">
        <f>IF(K1168="Received",1,0)</f>
        <v/>
      </c>
      <c r="R1168" s="51">
        <f>IF(Q1168=1,F1168-D1168,0)</f>
        <v/>
      </c>
      <c r="S1168" s="51">
        <f>IF(Q1168=1,IF(F1168&lt;=E1168,1,0),0)</f>
        <v/>
      </c>
      <c r="T1168" s="51">
        <f>IF(Q1168=1,IF(H1168&gt;=G1168,1,0),0)</f>
        <v/>
      </c>
      <c r="U1168" s="51">
        <f>S1168*T1168</f>
        <v/>
      </c>
      <c r="V1168" s="51">
        <f>IF(Q1168=1,MAX(0,F1168-E1168),0)</f>
        <v/>
      </c>
    </row>
    <row r="1169">
      <c r="A1169" s="43" t="inlineStr">
        <is>
          <t>PO101796</t>
        </is>
      </c>
      <c r="B1169" s="43" t="inlineStr">
        <is>
          <t>CMD-0097</t>
        </is>
      </c>
      <c r="C1169" s="43" t="inlineStr">
        <is>
          <t>S09</t>
        </is>
      </c>
      <c r="D1169" s="47" t="n">
        <v>45987</v>
      </c>
      <c r="E1169" s="47" t="n">
        <v>46008</v>
      </c>
      <c r="F1169" s="47" t="n">
        <v>46008</v>
      </c>
      <c r="G1169" s="46" t="n">
        <v>499</v>
      </c>
      <c r="H1169" s="46" t="n">
        <v>499</v>
      </c>
      <c r="I1169" s="46" t="n">
        <v>4</v>
      </c>
      <c r="J1169" s="44" t="n">
        <v>9.27</v>
      </c>
      <c r="K1169" s="43" t="inlineStr">
        <is>
          <t>Received</t>
        </is>
      </c>
      <c r="L1169" s="17">
        <f>INDEX(Items!$C$2:$C$117,MATCH(B1169,Items!$A$2:$A$117,0))</f>
        <v/>
      </c>
      <c r="M1169" s="49">
        <f>INDEX(Items!$E$2:$E$117,MATCH(B1169,Items!$A$2:$A$117,0))</f>
        <v/>
      </c>
      <c r="N1169" s="17">
        <f>TEXT(D1169,"yyyy-mm")</f>
        <v/>
      </c>
      <c r="O1169" s="50">
        <f>G1169*J1169</f>
        <v/>
      </c>
      <c r="P1169" s="50">
        <f>(J1169-M1169)*G1169</f>
        <v/>
      </c>
      <c r="Q1169" s="51">
        <f>IF(K1169="Received",1,0)</f>
        <v/>
      </c>
      <c r="R1169" s="51">
        <f>IF(Q1169=1,F1169-D1169,0)</f>
        <v/>
      </c>
      <c r="S1169" s="51">
        <f>IF(Q1169=1,IF(F1169&lt;=E1169,1,0),0)</f>
        <v/>
      </c>
      <c r="T1169" s="51">
        <f>IF(Q1169=1,IF(H1169&gt;=G1169,1,0),0)</f>
        <v/>
      </c>
      <c r="U1169" s="51">
        <f>S1169*T1169</f>
        <v/>
      </c>
      <c r="V1169" s="51">
        <f>IF(Q1169=1,MAX(0,F1169-E1169),0)</f>
        <v/>
      </c>
    </row>
    <row r="1170">
      <c r="A1170" s="43" t="inlineStr">
        <is>
          <t>PO100464</t>
        </is>
      </c>
      <c r="B1170" s="43" t="inlineStr">
        <is>
          <t>CMD-0021</t>
        </is>
      </c>
      <c r="C1170" s="43" t="inlineStr">
        <is>
          <t>S04</t>
        </is>
      </c>
      <c r="D1170" s="47" t="n">
        <v>45988</v>
      </c>
      <c r="E1170" s="47" t="n">
        <v>46058</v>
      </c>
      <c r="F1170" s="47" t="n">
        <v>46057</v>
      </c>
      <c r="G1170" s="46" t="n">
        <v>1081</v>
      </c>
      <c r="H1170" s="46" t="n">
        <v>1081</v>
      </c>
      <c r="I1170" s="46" t="n">
        <v>13</v>
      </c>
      <c r="J1170" s="44" t="n">
        <v>4.94</v>
      </c>
      <c r="K1170" s="43" t="inlineStr">
        <is>
          <t>Received</t>
        </is>
      </c>
      <c r="L1170" s="17">
        <f>INDEX(Items!$C$2:$C$117,MATCH(B1170,Items!$A$2:$A$117,0))</f>
        <v/>
      </c>
      <c r="M1170" s="49">
        <f>INDEX(Items!$E$2:$E$117,MATCH(B1170,Items!$A$2:$A$117,0))</f>
        <v/>
      </c>
      <c r="N1170" s="17">
        <f>TEXT(D1170,"yyyy-mm")</f>
        <v/>
      </c>
      <c r="O1170" s="50">
        <f>G1170*J1170</f>
        <v/>
      </c>
      <c r="P1170" s="50">
        <f>(J1170-M1170)*G1170</f>
        <v/>
      </c>
      <c r="Q1170" s="51">
        <f>IF(K1170="Received",1,0)</f>
        <v/>
      </c>
      <c r="R1170" s="51">
        <f>IF(Q1170=1,F1170-D1170,0)</f>
        <v/>
      </c>
      <c r="S1170" s="51">
        <f>IF(Q1170=1,IF(F1170&lt;=E1170,1,0),0)</f>
        <v/>
      </c>
      <c r="T1170" s="51">
        <f>IF(Q1170=1,IF(H1170&gt;=G1170,1,0),0)</f>
        <v/>
      </c>
      <c r="U1170" s="51">
        <f>S1170*T1170</f>
        <v/>
      </c>
      <c r="V1170" s="51">
        <f>IF(Q1170=1,MAX(0,F1170-E1170),0)</f>
        <v/>
      </c>
    </row>
    <row r="1171">
      <c r="A1171" s="43" t="inlineStr">
        <is>
          <t>PO100422</t>
        </is>
      </c>
      <c r="B1171" s="43" t="inlineStr">
        <is>
          <t>CMD-0019</t>
        </is>
      </c>
      <c r="C1171" s="43" t="inlineStr">
        <is>
          <t>S11</t>
        </is>
      </c>
      <c r="D1171" s="47" t="n">
        <v>45991</v>
      </c>
      <c r="E1171" s="47" t="n">
        <v>46068</v>
      </c>
      <c r="F1171" s="47" t="n">
        <v>46066</v>
      </c>
      <c r="G1171" s="46" t="n">
        <v>989</v>
      </c>
      <c r="H1171" s="46" t="n">
        <v>989</v>
      </c>
      <c r="I1171" s="46" t="n">
        <v>1</v>
      </c>
      <c r="J1171" s="44" t="n">
        <v>7.25</v>
      </c>
      <c r="K1171" s="43" t="inlineStr">
        <is>
          <t>Received</t>
        </is>
      </c>
      <c r="L1171" s="17">
        <f>INDEX(Items!$C$2:$C$117,MATCH(B1171,Items!$A$2:$A$117,0))</f>
        <v/>
      </c>
      <c r="M1171" s="49">
        <f>INDEX(Items!$E$2:$E$117,MATCH(B1171,Items!$A$2:$A$117,0))</f>
        <v/>
      </c>
      <c r="N1171" s="17">
        <f>TEXT(D1171,"yyyy-mm")</f>
        <v/>
      </c>
      <c r="O1171" s="50">
        <f>G1171*J1171</f>
        <v/>
      </c>
      <c r="P1171" s="50">
        <f>(J1171-M1171)*G1171</f>
        <v/>
      </c>
      <c r="Q1171" s="51">
        <f>IF(K1171="Received",1,0)</f>
        <v/>
      </c>
      <c r="R1171" s="51">
        <f>IF(Q1171=1,F1171-D1171,0)</f>
        <v/>
      </c>
      <c r="S1171" s="51">
        <f>IF(Q1171=1,IF(F1171&lt;=E1171,1,0),0)</f>
        <v/>
      </c>
      <c r="T1171" s="51">
        <f>IF(Q1171=1,IF(H1171&gt;=G1171,1,0),0)</f>
        <v/>
      </c>
      <c r="U1171" s="51">
        <f>S1171*T1171</f>
        <v/>
      </c>
      <c r="V1171" s="51">
        <f>IF(Q1171=1,MAX(0,F1171-E1171),0)</f>
        <v/>
      </c>
    </row>
    <row r="1172">
      <c r="A1172" s="43" t="inlineStr">
        <is>
          <t>PO101376</t>
        </is>
      </c>
      <c r="B1172" s="43" t="inlineStr">
        <is>
          <t>CMD-0070</t>
        </is>
      </c>
      <c r="C1172" s="43" t="inlineStr">
        <is>
          <t>S04</t>
        </is>
      </c>
      <c r="D1172" s="47" t="n">
        <v>45993</v>
      </c>
      <c r="E1172" s="47" t="n">
        <v>46028</v>
      </c>
      <c r="F1172" s="47" t="n">
        <v>46027</v>
      </c>
      <c r="G1172" s="46" t="n">
        <v>38793</v>
      </c>
      <c r="H1172" s="46" t="n">
        <v>38793</v>
      </c>
      <c r="I1172" s="46" t="n">
        <v>372</v>
      </c>
      <c r="J1172" s="44" t="n">
        <v>0.141</v>
      </c>
      <c r="K1172" s="43" t="inlineStr">
        <is>
          <t>Received</t>
        </is>
      </c>
      <c r="L1172" s="17">
        <f>INDEX(Items!$C$2:$C$117,MATCH(B1172,Items!$A$2:$A$117,0))</f>
        <v/>
      </c>
      <c r="M1172" s="49">
        <f>INDEX(Items!$E$2:$E$117,MATCH(B1172,Items!$A$2:$A$117,0))</f>
        <v/>
      </c>
      <c r="N1172" s="17">
        <f>TEXT(D1172,"yyyy-mm")</f>
        <v/>
      </c>
      <c r="O1172" s="50">
        <f>G1172*J1172</f>
        <v/>
      </c>
      <c r="P1172" s="50">
        <f>(J1172-M1172)*G1172</f>
        <v/>
      </c>
      <c r="Q1172" s="51">
        <f>IF(K1172="Received",1,0)</f>
        <v/>
      </c>
      <c r="R1172" s="51">
        <f>IF(Q1172=1,F1172-D1172,0)</f>
        <v/>
      </c>
      <c r="S1172" s="51">
        <f>IF(Q1172=1,IF(F1172&lt;=E1172,1,0),0)</f>
        <v/>
      </c>
      <c r="T1172" s="51">
        <f>IF(Q1172=1,IF(H1172&gt;=G1172,1,0),0)</f>
        <v/>
      </c>
      <c r="U1172" s="51">
        <f>S1172*T1172</f>
        <v/>
      </c>
      <c r="V1172" s="51">
        <f>IF(Q1172=1,MAX(0,F1172-E1172),0)</f>
        <v/>
      </c>
    </row>
    <row r="1173">
      <c r="A1173" s="43" t="inlineStr">
        <is>
          <t>PO101610</t>
        </is>
      </c>
      <c r="B1173" s="43" t="inlineStr">
        <is>
          <t>CMD-0089</t>
        </is>
      </c>
      <c r="C1173" s="43" t="inlineStr">
        <is>
          <t>S01</t>
        </is>
      </c>
      <c r="D1173" s="47" t="n">
        <v>45994</v>
      </c>
      <c r="E1173" s="47" t="n">
        <v>46008</v>
      </c>
      <c r="F1173" s="47" t="n">
        <v>46005</v>
      </c>
      <c r="G1173" s="46" t="n">
        <v>668</v>
      </c>
      <c r="H1173" s="46" t="n">
        <v>668</v>
      </c>
      <c r="I1173" s="46" t="n">
        <v>0</v>
      </c>
      <c r="J1173" s="44" t="n">
        <v>9.49</v>
      </c>
      <c r="K1173" s="43" t="inlineStr">
        <is>
          <t>Received</t>
        </is>
      </c>
      <c r="L1173" s="17">
        <f>INDEX(Items!$C$2:$C$117,MATCH(B1173,Items!$A$2:$A$117,0))</f>
        <v/>
      </c>
      <c r="M1173" s="49">
        <f>INDEX(Items!$E$2:$E$117,MATCH(B1173,Items!$A$2:$A$117,0))</f>
        <v/>
      </c>
      <c r="N1173" s="17">
        <f>TEXT(D1173,"yyyy-mm")</f>
        <v/>
      </c>
      <c r="O1173" s="50">
        <f>G1173*J1173</f>
        <v/>
      </c>
      <c r="P1173" s="50">
        <f>(J1173-M1173)*G1173</f>
        <v/>
      </c>
      <c r="Q1173" s="51">
        <f>IF(K1173="Received",1,0)</f>
        <v/>
      </c>
      <c r="R1173" s="51">
        <f>IF(Q1173=1,F1173-D1173,0)</f>
        <v/>
      </c>
      <c r="S1173" s="51">
        <f>IF(Q1173=1,IF(F1173&lt;=E1173,1,0),0)</f>
        <v/>
      </c>
      <c r="T1173" s="51">
        <f>IF(Q1173=1,IF(H1173&gt;=G1173,1,0),0)</f>
        <v/>
      </c>
      <c r="U1173" s="51">
        <f>S1173*T1173</f>
        <v/>
      </c>
      <c r="V1173" s="51">
        <f>IF(Q1173=1,MAX(0,F1173-E1173),0)</f>
        <v/>
      </c>
    </row>
    <row r="1174">
      <c r="A1174" s="43" t="inlineStr">
        <is>
          <t>PO101423</t>
        </is>
      </c>
      <c r="B1174" s="43" t="inlineStr">
        <is>
          <t>CMD-0075</t>
        </is>
      </c>
      <c r="C1174" s="43" t="inlineStr">
        <is>
          <t>S10</t>
        </is>
      </c>
      <c r="D1174" s="47" t="n">
        <v>45995</v>
      </c>
      <c r="E1174" s="47" t="n">
        <v>46023</v>
      </c>
      <c r="F1174" s="47" t="n">
        <v>46021</v>
      </c>
      <c r="G1174" s="46" t="n">
        <v>437148</v>
      </c>
      <c r="H1174" s="46" t="n">
        <v>437148</v>
      </c>
      <c r="I1174" s="46" t="n">
        <v>425</v>
      </c>
      <c r="J1174" s="44" t="n">
        <v>0.0152</v>
      </c>
      <c r="K1174" s="43" t="inlineStr">
        <is>
          <t>Received</t>
        </is>
      </c>
      <c r="L1174" s="17">
        <f>INDEX(Items!$C$2:$C$117,MATCH(B1174,Items!$A$2:$A$117,0))</f>
        <v/>
      </c>
      <c r="M1174" s="49">
        <f>INDEX(Items!$E$2:$E$117,MATCH(B1174,Items!$A$2:$A$117,0))</f>
        <v/>
      </c>
      <c r="N1174" s="17">
        <f>TEXT(D1174,"yyyy-mm")</f>
        <v/>
      </c>
      <c r="O1174" s="50">
        <f>G1174*J1174</f>
        <v/>
      </c>
      <c r="P1174" s="50">
        <f>(J1174-M1174)*G1174</f>
        <v/>
      </c>
      <c r="Q1174" s="51">
        <f>IF(K1174="Received",1,0)</f>
        <v/>
      </c>
      <c r="R1174" s="51">
        <f>IF(Q1174=1,F1174-D1174,0)</f>
        <v/>
      </c>
      <c r="S1174" s="51">
        <f>IF(Q1174=1,IF(F1174&lt;=E1174,1,0),0)</f>
        <v/>
      </c>
      <c r="T1174" s="51">
        <f>IF(Q1174=1,IF(H1174&gt;=G1174,1,0),0)</f>
        <v/>
      </c>
      <c r="U1174" s="51">
        <f>S1174*T1174</f>
        <v/>
      </c>
      <c r="V1174" s="51">
        <f>IF(Q1174=1,MAX(0,F1174-E1174),0)</f>
        <v/>
      </c>
    </row>
    <row r="1175">
      <c r="A1175" s="43" t="inlineStr">
        <is>
          <t>PO100715</t>
        </is>
      </c>
      <c r="B1175" s="43" t="inlineStr">
        <is>
          <t>CMD-0032</t>
        </is>
      </c>
      <c r="C1175" s="43" t="inlineStr">
        <is>
          <t>S01</t>
        </is>
      </c>
      <c r="D1175" s="47" t="n">
        <v>45995</v>
      </c>
      <c r="E1175" s="47" t="n">
        <v>46023</v>
      </c>
      <c r="F1175" s="47" t="n">
        <v>46021</v>
      </c>
      <c r="G1175" s="46" t="n">
        <v>1388</v>
      </c>
      <c r="H1175" s="46" t="n">
        <v>1388</v>
      </c>
      <c r="I1175" s="46" t="n">
        <v>4</v>
      </c>
      <c r="J1175" s="44" t="n">
        <v>5.15</v>
      </c>
      <c r="K1175" s="43" t="inlineStr">
        <is>
          <t>Received</t>
        </is>
      </c>
      <c r="L1175" s="17">
        <f>INDEX(Items!$C$2:$C$117,MATCH(B1175,Items!$A$2:$A$117,0))</f>
        <v/>
      </c>
      <c r="M1175" s="49">
        <f>INDEX(Items!$E$2:$E$117,MATCH(B1175,Items!$A$2:$A$117,0))</f>
        <v/>
      </c>
      <c r="N1175" s="17">
        <f>TEXT(D1175,"yyyy-mm")</f>
        <v/>
      </c>
      <c r="O1175" s="50">
        <f>G1175*J1175</f>
        <v/>
      </c>
      <c r="P1175" s="50">
        <f>(J1175-M1175)*G1175</f>
        <v/>
      </c>
      <c r="Q1175" s="51">
        <f>IF(K1175="Received",1,0)</f>
        <v/>
      </c>
      <c r="R1175" s="51">
        <f>IF(Q1175=1,F1175-D1175,0)</f>
        <v/>
      </c>
      <c r="S1175" s="51">
        <f>IF(Q1175=1,IF(F1175&lt;=E1175,1,0),0)</f>
        <v/>
      </c>
      <c r="T1175" s="51">
        <f>IF(Q1175=1,IF(H1175&gt;=G1175,1,0),0)</f>
        <v/>
      </c>
      <c r="U1175" s="51">
        <f>S1175*T1175</f>
        <v/>
      </c>
      <c r="V1175" s="51">
        <f>IF(Q1175=1,MAX(0,F1175-E1175),0)</f>
        <v/>
      </c>
    </row>
    <row r="1176">
      <c r="A1176" s="43" t="inlineStr">
        <is>
          <t>PO101911</t>
        </is>
      </c>
      <c r="B1176" s="43" t="inlineStr">
        <is>
          <t>CMD-0104</t>
        </is>
      </c>
      <c r="C1176" s="43" t="inlineStr">
        <is>
          <t>S09</t>
        </is>
      </c>
      <c r="D1176" s="47" t="n">
        <v>45996</v>
      </c>
      <c r="E1176" s="47" t="n">
        <v>46017</v>
      </c>
      <c r="F1176" s="47" t="n">
        <v>46017</v>
      </c>
      <c r="G1176" s="46" t="n">
        <v>3479</v>
      </c>
      <c r="H1176" s="46" t="n">
        <v>3479</v>
      </c>
      <c r="I1176" s="46" t="n">
        <v>12</v>
      </c>
      <c r="J1176" s="44" t="n">
        <v>1.44</v>
      </c>
      <c r="K1176" s="43" t="inlineStr">
        <is>
          <t>Received</t>
        </is>
      </c>
      <c r="L1176" s="17">
        <f>INDEX(Items!$C$2:$C$117,MATCH(B1176,Items!$A$2:$A$117,0))</f>
        <v/>
      </c>
      <c r="M1176" s="49">
        <f>INDEX(Items!$E$2:$E$117,MATCH(B1176,Items!$A$2:$A$117,0))</f>
        <v/>
      </c>
      <c r="N1176" s="17">
        <f>TEXT(D1176,"yyyy-mm")</f>
        <v/>
      </c>
      <c r="O1176" s="50">
        <f>G1176*J1176</f>
        <v/>
      </c>
      <c r="P1176" s="50">
        <f>(J1176-M1176)*G1176</f>
        <v/>
      </c>
      <c r="Q1176" s="51">
        <f>IF(K1176="Received",1,0)</f>
        <v/>
      </c>
      <c r="R1176" s="51">
        <f>IF(Q1176=1,F1176-D1176,0)</f>
        <v/>
      </c>
      <c r="S1176" s="51">
        <f>IF(Q1176=1,IF(F1176&lt;=E1176,1,0),0)</f>
        <v/>
      </c>
      <c r="T1176" s="51">
        <f>IF(Q1176=1,IF(H1176&gt;=G1176,1,0),0)</f>
        <v/>
      </c>
      <c r="U1176" s="51">
        <f>S1176*T1176</f>
        <v/>
      </c>
      <c r="V1176" s="51">
        <f>IF(Q1176=1,MAX(0,F1176-E1176),0)</f>
        <v/>
      </c>
    </row>
    <row r="1177">
      <c r="A1177" s="43" t="inlineStr">
        <is>
          <t>PO101987</t>
        </is>
      </c>
      <c r="B1177" s="43" t="inlineStr">
        <is>
          <t>CMD-0110</t>
        </is>
      </c>
      <c r="C1177" s="43" t="inlineStr">
        <is>
          <t>S12</t>
        </is>
      </c>
      <c r="D1177" s="47" t="n">
        <v>45997</v>
      </c>
      <c r="E1177" s="47" t="n">
        <v>46004</v>
      </c>
      <c r="F1177" s="47" t="n">
        <v>46004</v>
      </c>
      <c r="G1177" s="46" t="n">
        <v>25199</v>
      </c>
      <c r="H1177" s="46" t="n">
        <v>25199</v>
      </c>
      <c r="I1177" s="46" t="n">
        <v>33</v>
      </c>
      <c r="J1177" s="44" t="n">
        <v>0.192</v>
      </c>
      <c r="K1177" s="43" t="inlineStr">
        <is>
          <t>Received</t>
        </is>
      </c>
      <c r="L1177" s="17">
        <f>INDEX(Items!$C$2:$C$117,MATCH(B1177,Items!$A$2:$A$117,0))</f>
        <v/>
      </c>
      <c r="M1177" s="49">
        <f>INDEX(Items!$E$2:$E$117,MATCH(B1177,Items!$A$2:$A$117,0))</f>
        <v/>
      </c>
      <c r="N1177" s="17">
        <f>TEXT(D1177,"yyyy-mm")</f>
        <v/>
      </c>
      <c r="O1177" s="50">
        <f>G1177*J1177</f>
        <v/>
      </c>
      <c r="P1177" s="50">
        <f>(J1177-M1177)*G1177</f>
        <v/>
      </c>
      <c r="Q1177" s="51">
        <f>IF(K1177="Received",1,0)</f>
        <v/>
      </c>
      <c r="R1177" s="51">
        <f>IF(Q1177=1,F1177-D1177,0)</f>
        <v/>
      </c>
      <c r="S1177" s="51">
        <f>IF(Q1177=1,IF(F1177&lt;=E1177,1,0),0)</f>
        <v/>
      </c>
      <c r="T1177" s="51">
        <f>IF(Q1177=1,IF(H1177&gt;=G1177,1,0),0)</f>
        <v/>
      </c>
      <c r="U1177" s="51">
        <f>S1177*T1177</f>
        <v/>
      </c>
      <c r="V1177" s="51">
        <f>IF(Q1177=1,MAX(0,F1177-E1177),0)</f>
        <v/>
      </c>
    </row>
    <row r="1178">
      <c r="A1178" s="43" t="inlineStr">
        <is>
          <t>PO101339</t>
        </is>
      </c>
      <c r="B1178" s="43" t="inlineStr">
        <is>
          <t>CMD-0067</t>
        </is>
      </c>
      <c r="C1178" s="43" t="inlineStr">
        <is>
          <t>S04</t>
        </is>
      </c>
      <c r="D1178" s="47" t="n">
        <v>45999</v>
      </c>
      <c r="E1178" s="47" t="n">
        <v>46034</v>
      </c>
      <c r="F1178" s="47" t="n">
        <v>46032</v>
      </c>
      <c r="G1178" s="46" t="n">
        <v>16842</v>
      </c>
      <c r="H1178" s="46" t="n">
        <v>16842</v>
      </c>
      <c r="I1178" s="46" t="n">
        <v>193</v>
      </c>
      <c r="J1178" s="44" t="n">
        <v>0.3432</v>
      </c>
      <c r="K1178" s="43" t="inlineStr">
        <is>
          <t>Received</t>
        </is>
      </c>
      <c r="L1178" s="17">
        <f>INDEX(Items!$C$2:$C$117,MATCH(B1178,Items!$A$2:$A$117,0))</f>
        <v/>
      </c>
      <c r="M1178" s="49">
        <f>INDEX(Items!$E$2:$E$117,MATCH(B1178,Items!$A$2:$A$117,0))</f>
        <v/>
      </c>
      <c r="N1178" s="17">
        <f>TEXT(D1178,"yyyy-mm")</f>
        <v/>
      </c>
      <c r="O1178" s="50">
        <f>G1178*J1178</f>
        <v/>
      </c>
      <c r="P1178" s="50">
        <f>(J1178-M1178)*G1178</f>
        <v/>
      </c>
      <c r="Q1178" s="51">
        <f>IF(K1178="Received",1,0)</f>
        <v/>
      </c>
      <c r="R1178" s="51">
        <f>IF(Q1178=1,F1178-D1178,0)</f>
        <v/>
      </c>
      <c r="S1178" s="51">
        <f>IF(Q1178=1,IF(F1178&lt;=E1178,1,0),0)</f>
        <v/>
      </c>
      <c r="T1178" s="51">
        <f>IF(Q1178=1,IF(H1178&gt;=G1178,1,0),0)</f>
        <v/>
      </c>
      <c r="U1178" s="51">
        <f>S1178*T1178</f>
        <v/>
      </c>
      <c r="V1178" s="51">
        <f>IF(Q1178=1,MAX(0,F1178-E1178),0)</f>
        <v/>
      </c>
    </row>
    <row r="1179">
      <c r="A1179" s="43" t="inlineStr">
        <is>
          <t>PO101901</t>
        </is>
      </c>
      <c r="B1179" s="43" t="inlineStr">
        <is>
          <t>CMD-0103</t>
        </is>
      </c>
      <c r="C1179" s="43" t="inlineStr">
        <is>
          <t>S09</t>
        </is>
      </c>
      <c r="D1179" s="47" t="n">
        <v>45999</v>
      </c>
      <c r="E1179" s="47" t="n">
        <v>46020</v>
      </c>
      <c r="F1179" s="47" t="n">
        <v>46018</v>
      </c>
      <c r="G1179" s="46" t="n">
        <v>1373</v>
      </c>
      <c r="H1179" s="46" t="n">
        <v>1373</v>
      </c>
      <c r="I1179" s="46" t="n">
        <v>5</v>
      </c>
      <c r="J1179" s="44" t="n">
        <v>4.18</v>
      </c>
      <c r="K1179" s="43" t="inlineStr">
        <is>
          <t>Received</t>
        </is>
      </c>
      <c r="L1179" s="17">
        <f>INDEX(Items!$C$2:$C$117,MATCH(B1179,Items!$A$2:$A$117,0))</f>
        <v/>
      </c>
      <c r="M1179" s="49">
        <f>INDEX(Items!$E$2:$E$117,MATCH(B1179,Items!$A$2:$A$117,0))</f>
        <v/>
      </c>
      <c r="N1179" s="17">
        <f>TEXT(D1179,"yyyy-mm")</f>
        <v/>
      </c>
      <c r="O1179" s="50">
        <f>G1179*J1179</f>
        <v/>
      </c>
      <c r="P1179" s="50">
        <f>(J1179-M1179)*G1179</f>
        <v/>
      </c>
      <c r="Q1179" s="51">
        <f>IF(K1179="Received",1,0)</f>
        <v/>
      </c>
      <c r="R1179" s="51">
        <f>IF(Q1179=1,F1179-D1179,0)</f>
        <v/>
      </c>
      <c r="S1179" s="51">
        <f>IF(Q1179=1,IF(F1179&lt;=E1179,1,0),0)</f>
        <v/>
      </c>
      <c r="T1179" s="51">
        <f>IF(Q1179=1,IF(H1179&gt;=G1179,1,0),0)</f>
        <v/>
      </c>
      <c r="U1179" s="51">
        <f>S1179*T1179</f>
        <v/>
      </c>
      <c r="V1179" s="51">
        <f>IF(Q1179=1,MAX(0,F1179-E1179),0)</f>
        <v/>
      </c>
    </row>
    <row r="1180">
      <c r="A1180" s="43" t="inlineStr">
        <is>
          <t>PO101429</t>
        </is>
      </c>
      <c r="B1180" s="43" t="inlineStr">
        <is>
          <t>CMD-0076</t>
        </is>
      </c>
      <c r="C1180" s="43" t="inlineStr">
        <is>
          <t>S04</t>
        </is>
      </c>
      <c r="D1180" s="47" t="n">
        <v>46000</v>
      </c>
      <c r="E1180" s="47" t="n">
        <v>46035</v>
      </c>
      <c r="F1180" s="47" t="n">
        <v>46032</v>
      </c>
      <c r="G1180" s="46" t="n">
        <v>421500</v>
      </c>
      <c r="H1180" s="46" t="n">
        <v>421500</v>
      </c>
      <c r="I1180" s="46" t="n">
        <v>4361</v>
      </c>
      <c r="J1180" s="44" t="n">
        <v>0.0145</v>
      </c>
      <c r="K1180" s="43" t="inlineStr">
        <is>
          <t>Received</t>
        </is>
      </c>
      <c r="L1180" s="17">
        <f>INDEX(Items!$C$2:$C$117,MATCH(B1180,Items!$A$2:$A$117,0))</f>
        <v/>
      </c>
      <c r="M1180" s="49">
        <f>INDEX(Items!$E$2:$E$117,MATCH(B1180,Items!$A$2:$A$117,0))</f>
        <v/>
      </c>
      <c r="N1180" s="17">
        <f>TEXT(D1180,"yyyy-mm")</f>
        <v/>
      </c>
      <c r="O1180" s="50">
        <f>G1180*J1180</f>
        <v/>
      </c>
      <c r="P1180" s="50">
        <f>(J1180-M1180)*G1180</f>
        <v/>
      </c>
      <c r="Q1180" s="51">
        <f>IF(K1180="Received",1,0)</f>
        <v/>
      </c>
      <c r="R1180" s="51">
        <f>IF(Q1180=1,F1180-D1180,0)</f>
        <v/>
      </c>
      <c r="S1180" s="51">
        <f>IF(Q1180=1,IF(F1180&lt;=E1180,1,0),0)</f>
        <v/>
      </c>
      <c r="T1180" s="51">
        <f>IF(Q1180=1,IF(H1180&gt;=G1180,1,0),0)</f>
        <v/>
      </c>
      <c r="U1180" s="51">
        <f>S1180*T1180</f>
        <v/>
      </c>
      <c r="V1180" s="51">
        <f>IF(Q1180=1,MAX(0,F1180-E1180),0)</f>
        <v/>
      </c>
    </row>
    <row r="1181">
      <c r="A1181" s="43" t="inlineStr">
        <is>
          <t>PO101817</t>
        </is>
      </c>
      <c r="B1181" s="43" t="inlineStr">
        <is>
          <t>CMD-0099</t>
        </is>
      </c>
      <c r="C1181" s="43" t="inlineStr">
        <is>
          <t>S09</t>
        </is>
      </c>
      <c r="D1181" s="47" t="n">
        <v>46000</v>
      </c>
      <c r="E1181" s="47" t="n">
        <v>46021</v>
      </c>
      <c r="F1181" s="47" t="n">
        <v>46021</v>
      </c>
      <c r="G1181" s="46" t="n">
        <v>2218</v>
      </c>
      <c r="H1181" s="46" t="n">
        <v>2218</v>
      </c>
      <c r="I1181" s="46" t="n">
        <v>10</v>
      </c>
      <c r="J1181" s="44" t="n">
        <v>2.32</v>
      </c>
      <c r="K1181" s="43" t="inlineStr">
        <is>
          <t>Received</t>
        </is>
      </c>
      <c r="L1181" s="17">
        <f>INDEX(Items!$C$2:$C$117,MATCH(B1181,Items!$A$2:$A$117,0))</f>
        <v/>
      </c>
      <c r="M1181" s="49">
        <f>INDEX(Items!$E$2:$E$117,MATCH(B1181,Items!$A$2:$A$117,0))</f>
        <v/>
      </c>
      <c r="N1181" s="17">
        <f>TEXT(D1181,"yyyy-mm")</f>
        <v/>
      </c>
      <c r="O1181" s="50">
        <f>G1181*J1181</f>
        <v/>
      </c>
      <c r="P1181" s="50">
        <f>(J1181-M1181)*G1181</f>
        <v/>
      </c>
      <c r="Q1181" s="51">
        <f>IF(K1181="Received",1,0)</f>
        <v/>
      </c>
      <c r="R1181" s="51">
        <f>IF(Q1181=1,F1181-D1181,0)</f>
        <v/>
      </c>
      <c r="S1181" s="51">
        <f>IF(Q1181=1,IF(F1181&lt;=E1181,1,0),0)</f>
        <v/>
      </c>
      <c r="T1181" s="51">
        <f>IF(Q1181=1,IF(H1181&gt;=G1181,1,0),0)</f>
        <v/>
      </c>
      <c r="U1181" s="51">
        <f>S1181*T1181</f>
        <v/>
      </c>
      <c r="V1181" s="51">
        <f>IF(Q1181=1,MAX(0,F1181-E1181),0)</f>
        <v/>
      </c>
    </row>
    <row r="1182">
      <c r="A1182" s="43" t="inlineStr">
        <is>
          <t>PO101079</t>
        </is>
      </c>
      <c r="B1182" s="43" t="inlineStr">
        <is>
          <t>CMD-0049</t>
        </is>
      </c>
      <c r="C1182" s="43" t="inlineStr">
        <is>
          <t>S10</t>
        </is>
      </c>
      <c r="D1182" s="47" t="n">
        <v>46000</v>
      </c>
      <c r="E1182" s="47" t="n">
        <v>46028</v>
      </c>
      <c r="F1182" s="47" t="n">
        <v>46027</v>
      </c>
      <c r="G1182" s="46" t="n">
        <v>44506</v>
      </c>
      <c r="H1182" s="46" t="n">
        <v>44506</v>
      </c>
      <c r="I1182" s="46" t="n">
        <v>42</v>
      </c>
      <c r="J1182" s="44" t="n">
        <v>0.1056</v>
      </c>
      <c r="K1182" s="43" t="inlineStr">
        <is>
          <t>Received</t>
        </is>
      </c>
      <c r="L1182" s="17">
        <f>INDEX(Items!$C$2:$C$117,MATCH(B1182,Items!$A$2:$A$117,0))</f>
        <v/>
      </c>
      <c r="M1182" s="49">
        <f>INDEX(Items!$E$2:$E$117,MATCH(B1182,Items!$A$2:$A$117,0))</f>
        <v/>
      </c>
      <c r="N1182" s="17">
        <f>TEXT(D1182,"yyyy-mm")</f>
        <v/>
      </c>
      <c r="O1182" s="50">
        <f>G1182*J1182</f>
        <v/>
      </c>
      <c r="P1182" s="50">
        <f>(J1182-M1182)*G1182</f>
        <v/>
      </c>
      <c r="Q1182" s="51">
        <f>IF(K1182="Received",1,0)</f>
        <v/>
      </c>
      <c r="R1182" s="51">
        <f>IF(Q1182=1,F1182-D1182,0)</f>
        <v/>
      </c>
      <c r="S1182" s="51">
        <f>IF(Q1182=1,IF(F1182&lt;=E1182,1,0),0)</f>
        <v/>
      </c>
      <c r="T1182" s="51">
        <f>IF(Q1182=1,IF(H1182&gt;=G1182,1,0),0)</f>
        <v/>
      </c>
      <c r="U1182" s="51">
        <f>S1182*T1182</f>
        <v/>
      </c>
      <c r="V1182" s="51">
        <f>IF(Q1182=1,MAX(0,F1182-E1182),0)</f>
        <v/>
      </c>
    </row>
    <row r="1183">
      <c r="A1183" s="43" t="inlineStr">
        <is>
          <t>PO101997</t>
        </is>
      </c>
      <c r="B1183" s="43" t="inlineStr">
        <is>
          <t>CMD-0112</t>
        </is>
      </c>
      <c r="C1183" s="43" t="inlineStr">
        <is>
          <t>S12</t>
        </is>
      </c>
      <c r="D1183" s="47" t="n">
        <v>46000</v>
      </c>
      <c r="E1183" s="47" t="n">
        <v>46007</v>
      </c>
      <c r="F1183" s="47" t="n">
        <v>46007</v>
      </c>
      <c r="G1183" s="46" t="n">
        <v>2714</v>
      </c>
      <c r="H1183" s="46" t="n">
        <v>2714</v>
      </c>
      <c r="I1183" s="46" t="n">
        <v>5</v>
      </c>
      <c r="J1183" s="44" t="n">
        <v>2.39</v>
      </c>
      <c r="K1183" s="43" t="inlineStr">
        <is>
          <t>Received</t>
        </is>
      </c>
      <c r="L1183" s="17">
        <f>INDEX(Items!$C$2:$C$117,MATCH(B1183,Items!$A$2:$A$117,0))</f>
        <v/>
      </c>
      <c r="M1183" s="49">
        <f>INDEX(Items!$E$2:$E$117,MATCH(B1183,Items!$A$2:$A$117,0))</f>
        <v/>
      </c>
      <c r="N1183" s="17">
        <f>TEXT(D1183,"yyyy-mm")</f>
        <v/>
      </c>
      <c r="O1183" s="50">
        <f>G1183*J1183</f>
        <v/>
      </c>
      <c r="P1183" s="50">
        <f>(J1183-M1183)*G1183</f>
        <v/>
      </c>
      <c r="Q1183" s="51">
        <f>IF(K1183="Received",1,0)</f>
        <v/>
      </c>
      <c r="R1183" s="51">
        <f>IF(Q1183=1,F1183-D1183,0)</f>
        <v/>
      </c>
      <c r="S1183" s="51">
        <f>IF(Q1183=1,IF(F1183&lt;=E1183,1,0),0)</f>
        <v/>
      </c>
      <c r="T1183" s="51">
        <f>IF(Q1183=1,IF(H1183&gt;=G1183,1,0),0)</f>
        <v/>
      </c>
      <c r="U1183" s="51">
        <f>S1183*T1183</f>
        <v/>
      </c>
      <c r="V1183" s="51">
        <f>IF(Q1183=1,MAX(0,F1183-E1183),0)</f>
        <v/>
      </c>
    </row>
    <row r="1184">
      <c r="A1184" s="43" t="inlineStr">
        <is>
          <t>PO101242</t>
        </is>
      </c>
      <c r="B1184" s="43" t="inlineStr">
        <is>
          <t>CMD-0058</t>
        </is>
      </c>
      <c r="C1184" s="43" t="inlineStr">
        <is>
          <t>S04</t>
        </is>
      </c>
      <c r="D1184" s="47" t="n">
        <v>46001</v>
      </c>
      <c r="E1184" s="47" t="n">
        <v>46036</v>
      </c>
      <c r="F1184" s="47" t="n">
        <v>46042</v>
      </c>
      <c r="G1184" s="46" t="n">
        <v>73224</v>
      </c>
      <c r="H1184" s="46" t="n">
        <v>73224</v>
      </c>
      <c r="I1184" s="46" t="n">
        <v>743</v>
      </c>
      <c r="J1184" s="44" t="n">
        <v>0.1178</v>
      </c>
      <c r="K1184" s="43" t="inlineStr">
        <is>
          <t>Received</t>
        </is>
      </c>
      <c r="L1184" s="17">
        <f>INDEX(Items!$C$2:$C$117,MATCH(B1184,Items!$A$2:$A$117,0))</f>
        <v/>
      </c>
      <c r="M1184" s="49">
        <f>INDEX(Items!$E$2:$E$117,MATCH(B1184,Items!$A$2:$A$117,0))</f>
        <v/>
      </c>
      <c r="N1184" s="17">
        <f>TEXT(D1184,"yyyy-mm")</f>
        <v/>
      </c>
      <c r="O1184" s="50">
        <f>G1184*J1184</f>
        <v/>
      </c>
      <c r="P1184" s="50">
        <f>(J1184-M1184)*G1184</f>
        <v/>
      </c>
      <c r="Q1184" s="51">
        <f>IF(K1184="Received",1,0)</f>
        <v/>
      </c>
      <c r="R1184" s="51">
        <f>IF(Q1184=1,F1184-D1184,0)</f>
        <v/>
      </c>
      <c r="S1184" s="51">
        <f>IF(Q1184=1,IF(F1184&lt;=E1184,1,0),0)</f>
        <v/>
      </c>
      <c r="T1184" s="51">
        <f>IF(Q1184=1,IF(H1184&gt;=G1184,1,0),0)</f>
        <v/>
      </c>
      <c r="U1184" s="51">
        <f>S1184*T1184</f>
        <v/>
      </c>
      <c r="V1184" s="51">
        <f>IF(Q1184=1,MAX(0,F1184-E1184),0)</f>
        <v/>
      </c>
    </row>
    <row r="1185">
      <c r="A1185" s="43" t="inlineStr">
        <is>
          <t>PO100134</t>
        </is>
      </c>
      <c r="B1185" s="43" t="inlineStr">
        <is>
          <t>CMD-0006</t>
        </is>
      </c>
      <c r="C1185" s="43" t="inlineStr">
        <is>
          <t>S03</t>
        </is>
      </c>
      <c r="D1185" s="47" t="n">
        <v>46001</v>
      </c>
      <c r="E1185" s="47" t="n">
        <v>46134</v>
      </c>
      <c r="F1185" s="47" t="n">
        <v>46134</v>
      </c>
      <c r="G1185" s="46" t="n">
        <v>619</v>
      </c>
      <c r="H1185" s="46" t="n">
        <v>619</v>
      </c>
      <c r="I1185" s="46" t="n">
        <v>7</v>
      </c>
      <c r="J1185" s="44" t="n">
        <v>36.049</v>
      </c>
      <c r="K1185" s="43" t="inlineStr">
        <is>
          <t>Received</t>
        </is>
      </c>
      <c r="L1185" s="17">
        <f>INDEX(Items!$C$2:$C$117,MATCH(B1185,Items!$A$2:$A$117,0))</f>
        <v/>
      </c>
      <c r="M1185" s="49">
        <f>INDEX(Items!$E$2:$E$117,MATCH(B1185,Items!$A$2:$A$117,0))</f>
        <v/>
      </c>
      <c r="N1185" s="17">
        <f>TEXT(D1185,"yyyy-mm")</f>
        <v/>
      </c>
      <c r="O1185" s="50">
        <f>G1185*J1185</f>
        <v/>
      </c>
      <c r="P1185" s="50">
        <f>(J1185-M1185)*G1185</f>
        <v/>
      </c>
      <c r="Q1185" s="51">
        <f>IF(K1185="Received",1,0)</f>
        <v/>
      </c>
      <c r="R1185" s="51">
        <f>IF(Q1185=1,F1185-D1185,0)</f>
        <v/>
      </c>
      <c r="S1185" s="51">
        <f>IF(Q1185=1,IF(F1185&lt;=E1185,1,0),0)</f>
        <v/>
      </c>
      <c r="T1185" s="51">
        <f>IF(Q1185=1,IF(H1185&gt;=G1185,1,0),0)</f>
        <v/>
      </c>
      <c r="U1185" s="51">
        <f>S1185*T1185</f>
        <v/>
      </c>
      <c r="V1185" s="51">
        <f>IF(Q1185=1,MAX(0,F1185-E1185),0)</f>
        <v/>
      </c>
    </row>
    <row r="1186">
      <c r="A1186" s="43" t="inlineStr">
        <is>
          <t>PO101269</t>
        </is>
      </c>
      <c r="B1186" s="43" t="inlineStr">
        <is>
          <t>CMD-0060</t>
        </is>
      </c>
      <c r="C1186" s="43" t="inlineStr">
        <is>
          <t>S04</t>
        </is>
      </c>
      <c r="D1186" s="47" t="n">
        <v>46001</v>
      </c>
      <c r="E1186" s="47" t="n">
        <v>46036</v>
      </c>
      <c r="F1186" s="47" t="n">
        <v>46091</v>
      </c>
      <c r="G1186" s="46" t="n">
        <v>329135</v>
      </c>
      <c r="H1186" s="46" t="n">
        <v>329135</v>
      </c>
      <c r="I1186" s="46" t="n">
        <v>3356</v>
      </c>
      <c r="J1186" s="44" t="n">
        <v>0.0136</v>
      </c>
      <c r="K1186" s="43" t="inlineStr">
        <is>
          <t>Received</t>
        </is>
      </c>
      <c r="L1186" s="17">
        <f>INDEX(Items!$C$2:$C$117,MATCH(B1186,Items!$A$2:$A$117,0))</f>
        <v/>
      </c>
      <c r="M1186" s="49">
        <f>INDEX(Items!$E$2:$E$117,MATCH(B1186,Items!$A$2:$A$117,0))</f>
        <v/>
      </c>
      <c r="N1186" s="17">
        <f>TEXT(D1186,"yyyy-mm")</f>
        <v/>
      </c>
      <c r="O1186" s="50">
        <f>G1186*J1186</f>
        <v/>
      </c>
      <c r="P1186" s="50">
        <f>(J1186-M1186)*G1186</f>
        <v/>
      </c>
      <c r="Q1186" s="51">
        <f>IF(K1186="Received",1,0)</f>
        <v/>
      </c>
      <c r="R1186" s="51">
        <f>IF(Q1186=1,F1186-D1186,0)</f>
        <v/>
      </c>
      <c r="S1186" s="51">
        <f>IF(Q1186=1,IF(F1186&lt;=E1186,1,0),0)</f>
        <v/>
      </c>
      <c r="T1186" s="51">
        <f>IF(Q1186=1,IF(H1186&gt;=G1186,1,0),0)</f>
        <v/>
      </c>
      <c r="U1186" s="51">
        <f>S1186*T1186</f>
        <v/>
      </c>
      <c r="V1186" s="51">
        <f>IF(Q1186=1,MAX(0,F1186-E1186),0)</f>
        <v/>
      </c>
    </row>
    <row r="1187">
      <c r="A1187" s="43" t="inlineStr">
        <is>
          <t>PO101704</t>
        </is>
      </c>
      <c r="B1187" s="43" t="inlineStr">
        <is>
          <t>CMD-0093</t>
        </is>
      </c>
      <c r="C1187" s="43" t="inlineStr">
        <is>
          <t>S08</t>
        </is>
      </c>
      <c r="D1187" s="47" t="n">
        <v>46001</v>
      </c>
      <c r="E1187" s="47" t="n">
        <v>46078</v>
      </c>
      <c r="F1187" s="47" t="n">
        <v>46077</v>
      </c>
      <c r="G1187" s="46" t="n">
        <v>698</v>
      </c>
      <c r="H1187" s="46" t="n">
        <v>698</v>
      </c>
      <c r="I1187" s="46" t="n">
        <v>12</v>
      </c>
      <c r="J1187" s="44" t="n">
        <v>59.41</v>
      </c>
      <c r="K1187" s="43" t="inlineStr">
        <is>
          <t>Received</t>
        </is>
      </c>
      <c r="L1187" s="17">
        <f>INDEX(Items!$C$2:$C$117,MATCH(B1187,Items!$A$2:$A$117,0))</f>
        <v/>
      </c>
      <c r="M1187" s="49">
        <f>INDEX(Items!$E$2:$E$117,MATCH(B1187,Items!$A$2:$A$117,0))</f>
        <v/>
      </c>
      <c r="N1187" s="17">
        <f>TEXT(D1187,"yyyy-mm")</f>
        <v/>
      </c>
      <c r="O1187" s="50">
        <f>G1187*J1187</f>
        <v/>
      </c>
      <c r="P1187" s="50">
        <f>(J1187-M1187)*G1187</f>
        <v/>
      </c>
      <c r="Q1187" s="51">
        <f>IF(K1187="Received",1,0)</f>
        <v/>
      </c>
      <c r="R1187" s="51">
        <f>IF(Q1187=1,F1187-D1187,0)</f>
        <v/>
      </c>
      <c r="S1187" s="51">
        <f>IF(Q1187=1,IF(F1187&lt;=E1187,1,0),0)</f>
        <v/>
      </c>
      <c r="T1187" s="51">
        <f>IF(Q1187=1,IF(H1187&gt;=G1187,1,0),0)</f>
        <v/>
      </c>
      <c r="U1187" s="51">
        <f>S1187*T1187</f>
        <v/>
      </c>
      <c r="V1187" s="51">
        <f>IF(Q1187=1,MAX(0,F1187-E1187),0)</f>
        <v/>
      </c>
    </row>
    <row r="1188">
      <c r="A1188" s="43" t="inlineStr">
        <is>
          <t>PO100736</t>
        </is>
      </c>
      <c r="B1188" s="43" t="inlineStr">
        <is>
          <t>CMD-0033</t>
        </is>
      </c>
      <c r="C1188" s="43" t="inlineStr">
        <is>
          <t>S07</t>
        </is>
      </c>
      <c r="D1188" s="47" t="n">
        <v>46001</v>
      </c>
      <c r="E1188" s="47" t="n">
        <v>46043</v>
      </c>
      <c r="F1188" s="47" t="n">
        <v>46042</v>
      </c>
      <c r="G1188" s="46" t="n">
        <v>3668</v>
      </c>
      <c r="H1188" s="46" t="n">
        <v>3668</v>
      </c>
      <c r="I1188" s="46" t="n">
        <v>33</v>
      </c>
      <c r="J1188" s="44" t="n">
        <v>58.36</v>
      </c>
      <c r="K1188" s="43" t="inlineStr">
        <is>
          <t>Received</t>
        </is>
      </c>
      <c r="L1188" s="17">
        <f>INDEX(Items!$C$2:$C$117,MATCH(B1188,Items!$A$2:$A$117,0))</f>
        <v/>
      </c>
      <c r="M1188" s="49">
        <f>INDEX(Items!$E$2:$E$117,MATCH(B1188,Items!$A$2:$A$117,0))</f>
        <v/>
      </c>
      <c r="N1188" s="17">
        <f>TEXT(D1188,"yyyy-mm")</f>
        <v/>
      </c>
      <c r="O1188" s="50">
        <f>G1188*J1188</f>
        <v/>
      </c>
      <c r="P1188" s="50">
        <f>(J1188-M1188)*G1188</f>
        <v/>
      </c>
      <c r="Q1188" s="51">
        <f>IF(K1188="Received",1,0)</f>
        <v/>
      </c>
      <c r="R1188" s="51">
        <f>IF(Q1188=1,F1188-D1188,0)</f>
        <v/>
      </c>
      <c r="S1188" s="51">
        <f>IF(Q1188=1,IF(F1188&lt;=E1188,1,0),0)</f>
        <v/>
      </c>
      <c r="T1188" s="51">
        <f>IF(Q1188=1,IF(H1188&gt;=G1188,1,0),0)</f>
        <v/>
      </c>
      <c r="U1188" s="51">
        <f>S1188*T1188</f>
        <v/>
      </c>
      <c r="V1188" s="51">
        <f>IF(Q1188=1,MAX(0,F1188-E1188),0)</f>
        <v/>
      </c>
    </row>
    <row r="1189">
      <c r="A1189" s="43" t="inlineStr">
        <is>
          <t>PO100378</t>
        </is>
      </c>
      <c r="B1189" s="43" t="inlineStr">
        <is>
          <t>CMD-0017</t>
        </is>
      </c>
      <c r="C1189" s="43" t="inlineStr">
        <is>
          <t>S11</t>
        </is>
      </c>
      <c r="D1189" s="47" t="n">
        <v>46001</v>
      </c>
      <c r="E1189" s="47" t="n">
        <v>46078</v>
      </c>
      <c r="F1189" s="47" t="n">
        <v>46078</v>
      </c>
      <c r="G1189" s="46" t="n">
        <v>6257</v>
      </c>
      <c r="H1189" s="46" t="n">
        <v>6257</v>
      </c>
      <c r="I1189" s="46" t="n">
        <v>13</v>
      </c>
      <c r="J1189" s="44" t="n">
        <v>12.69</v>
      </c>
      <c r="K1189" s="43" t="inlineStr">
        <is>
          <t>Received</t>
        </is>
      </c>
      <c r="L1189" s="17">
        <f>INDEX(Items!$C$2:$C$117,MATCH(B1189,Items!$A$2:$A$117,0))</f>
        <v/>
      </c>
      <c r="M1189" s="49">
        <f>INDEX(Items!$E$2:$E$117,MATCH(B1189,Items!$A$2:$A$117,0))</f>
        <v/>
      </c>
      <c r="N1189" s="17">
        <f>TEXT(D1189,"yyyy-mm")</f>
        <v/>
      </c>
      <c r="O1189" s="50">
        <f>G1189*J1189</f>
        <v/>
      </c>
      <c r="P1189" s="50">
        <f>(J1189-M1189)*G1189</f>
        <v/>
      </c>
      <c r="Q1189" s="51">
        <f>IF(K1189="Received",1,0)</f>
        <v/>
      </c>
      <c r="R1189" s="51">
        <f>IF(Q1189=1,F1189-D1189,0)</f>
        <v/>
      </c>
      <c r="S1189" s="51">
        <f>IF(Q1189=1,IF(F1189&lt;=E1189,1,0),0)</f>
        <v/>
      </c>
      <c r="T1189" s="51">
        <f>IF(Q1189=1,IF(H1189&gt;=G1189,1,0),0)</f>
        <v/>
      </c>
      <c r="U1189" s="51">
        <f>S1189*T1189</f>
        <v/>
      </c>
      <c r="V1189" s="51">
        <f>IF(Q1189=1,MAX(0,F1189-E1189),0)</f>
        <v/>
      </c>
    </row>
    <row r="1190">
      <c r="A1190" s="43" t="inlineStr">
        <is>
          <t>PO100534</t>
        </is>
      </c>
      <c r="B1190" s="43" t="inlineStr">
        <is>
          <t>CMD-0024</t>
        </is>
      </c>
      <c r="C1190" s="43" t="inlineStr">
        <is>
          <t>S04</t>
        </is>
      </c>
      <c r="D1190" s="47" t="n">
        <v>46001</v>
      </c>
      <c r="E1190" s="47" t="n">
        <v>46071</v>
      </c>
      <c r="F1190" s="47" t="n">
        <v>46076</v>
      </c>
      <c r="G1190" s="46" t="n">
        <v>5211</v>
      </c>
      <c r="H1190" s="46" t="n">
        <v>5211</v>
      </c>
      <c r="I1190" s="46" t="n">
        <v>56</v>
      </c>
      <c r="J1190" s="44" t="n">
        <v>3.31</v>
      </c>
      <c r="K1190" s="43" t="inlineStr">
        <is>
          <t>Received</t>
        </is>
      </c>
      <c r="L1190" s="17">
        <f>INDEX(Items!$C$2:$C$117,MATCH(B1190,Items!$A$2:$A$117,0))</f>
        <v/>
      </c>
      <c r="M1190" s="49">
        <f>INDEX(Items!$E$2:$E$117,MATCH(B1190,Items!$A$2:$A$117,0))</f>
        <v/>
      </c>
      <c r="N1190" s="17">
        <f>TEXT(D1190,"yyyy-mm")</f>
        <v/>
      </c>
      <c r="O1190" s="50">
        <f>G1190*J1190</f>
        <v/>
      </c>
      <c r="P1190" s="50">
        <f>(J1190-M1190)*G1190</f>
        <v/>
      </c>
      <c r="Q1190" s="51">
        <f>IF(K1190="Received",1,0)</f>
        <v/>
      </c>
      <c r="R1190" s="51">
        <f>IF(Q1190=1,F1190-D1190,0)</f>
        <v/>
      </c>
      <c r="S1190" s="51">
        <f>IF(Q1190=1,IF(F1190&lt;=E1190,1,0),0)</f>
        <v/>
      </c>
      <c r="T1190" s="51">
        <f>IF(Q1190=1,IF(H1190&gt;=G1190,1,0),0)</f>
        <v/>
      </c>
      <c r="U1190" s="51">
        <f>S1190*T1190</f>
        <v/>
      </c>
      <c r="V1190" s="51">
        <f>IF(Q1190=1,MAX(0,F1190-E1190),0)</f>
        <v/>
      </c>
    </row>
    <row r="1191">
      <c r="A1191" s="43" t="inlineStr">
        <is>
          <t>PO100486</t>
        </is>
      </c>
      <c r="B1191" s="43" t="inlineStr">
        <is>
          <t>CMD-0022</t>
        </is>
      </c>
      <c r="C1191" s="43" t="inlineStr">
        <is>
          <t>S02</t>
        </is>
      </c>
      <c r="D1191" s="47" t="n">
        <v>46001</v>
      </c>
      <c r="E1191" s="47" t="n">
        <v>46057</v>
      </c>
      <c r="F1191" s="47" t="n">
        <v>46056</v>
      </c>
      <c r="G1191" s="46" t="n">
        <v>3973</v>
      </c>
      <c r="H1191" s="46" t="n">
        <v>3973</v>
      </c>
      <c r="I1191" s="46" t="n">
        <v>17</v>
      </c>
      <c r="J1191" s="44" t="n">
        <v>17.18</v>
      </c>
      <c r="K1191" s="43" t="inlineStr">
        <is>
          <t>Received</t>
        </is>
      </c>
      <c r="L1191" s="17">
        <f>INDEX(Items!$C$2:$C$117,MATCH(B1191,Items!$A$2:$A$117,0))</f>
        <v/>
      </c>
      <c r="M1191" s="49">
        <f>INDEX(Items!$E$2:$E$117,MATCH(B1191,Items!$A$2:$A$117,0))</f>
        <v/>
      </c>
      <c r="N1191" s="17">
        <f>TEXT(D1191,"yyyy-mm")</f>
        <v/>
      </c>
      <c r="O1191" s="50">
        <f>G1191*J1191</f>
        <v/>
      </c>
      <c r="P1191" s="50">
        <f>(J1191-M1191)*G1191</f>
        <v/>
      </c>
      <c r="Q1191" s="51">
        <f>IF(K1191="Received",1,0)</f>
        <v/>
      </c>
      <c r="R1191" s="51">
        <f>IF(Q1191=1,F1191-D1191,0)</f>
        <v/>
      </c>
      <c r="S1191" s="51">
        <f>IF(Q1191=1,IF(F1191&lt;=E1191,1,0),0)</f>
        <v/>
      </c>
      <c r="T1191" s="51">
        <f>IF(Q1191=1,IF(H1191&gt;=G1191,1,0),0)</f>
        <v/>
      </c>
      <c r="U1191" s="51">
        <f>S1191*T1191</f>
        <v/>
      </c>
      <c r="V1191" s="51">
        <f>IF(Q1191=1,MAX(0,F1191-E1191),0)</f>
        <v/>
      </c>
    </row>
    <row r="1192">
      <c r="A1192" s="43" t="inlineStr">
        <is>
          <t>PO100254</t>
        </is>
      </c>
      <c r="B1192" s="43" t="inlineStr">
        <is>
          <t>CMD-0011</t>
        </is>
      </c>
      <c r="C1192" s="43" t="inlineStr">
        <is>
          <t>S07</t>
        </is>
      </c>
      <c r="D1192" s="47" t="n">
        <v>46001</v>
      </c>
      <c r="E1192" s="47" t="n">
        <v>46092</v>
      </c>
      <c r="F1192" s="47" t="n">
        <v>46089</v>
      </c>
      <c r="G1192" s="46" t="n">
        <v>3867</v>
      </c>
      <c r="H1192" s="46" t="n">
        <v>3867</v>
      </c>
      <c r="I1192" s="46" t="n">
        <v>32</v>
      </c>
      <c r="J1192" s="44" t="n">
        <v>9.5344</v>
      </c>
      <c r="K1192" s="43" t="inlineStr">
        <is>
          <t>Received</t>
        </is>
      </c>
      <c r="L1192" s="17">
        <f>INDEX(Items!$C$2:$C$117,MATCH(B1192,Items!$A$2:$A$117,0))</f>
        <v/>
      </c>
      <c r="M1192" s="49">
        <f>INDEX(Items!$E$2:$E$117,MATCH(B1192,Items!$A$2:$A$117,0))</f>
        <v/>
      </c>
      <c r="N1192" s="17">
        <f>TEXT(D1192,"yyyy-mm")</f>
        <v/>
      </c>
      <c r="O1192" s="50">
        <f>G1192*J1192</f>
        <v/>
      </c>
      <c r="P1192" s="50">
        <f>(J1192-M1192)*G1192</f>
        <v/>
      </c>
      <c r="Q1192" s="51">
        <f>IF(K1192="Received",1,0)</f>
        <v/>
      </c>
      <c r="R1192" s="51">
        <f>IF(Q1192=1,F1192-D1192,0)</f>
        <v/>
      </c>
      <c r="S1192" s="51">
        <f>IF(Q1192=1,IF(F1192&lt;=E1192,1,0),0)</f>
        <v/>
      </c>
      <c r="T1192" s="51">
        <f>IF(Q1192=1,IF(H1192&gt;=G1192,1,0),0)</f>
        <v/>
      </c>
      <c r="U1192" s="51">
        <f>S1192*T1192</f>
        <v/>
      </c>
      <c r="V1192" s="51">
        <f>IF(Q1192=1,MAX(0,F1192-E1192),0)</f>
        <v/>
      </c>
    </row>
    <row r="1193">
      <c r="A1193" s="43" t="inlineStr">
        <is>
          <t>PO101518</t>
        </is>
      </c>
      <c r="B1193" s="43" t="inlineStr">
        <is>
          <t>CMD-0080</t>
        </is>
      </c>
      <c r="C1193" s="43" t="inlineStr">
        <is>
          <t>S06</t>
        </is>
      </c>
      <c r="D1193" s="47" t="n">
        <v>46002</v>
      </c>
      <c r="E1193" s="47" t="n">
        <v>46023</v>
      </c>
      <c r="F1193" s="47" t="n">
        <v>46020</v>
      </c>
      <c r="G1193" s="46" t="n">
        <v>5145</v>
      </c>
      <c r="H1193" s="46" t="n">
        <v>5145</v>
      </c>
      <c r="I1193" s="46" t="n">
        <v>17</v>
      </c>
      <c r="J1193" s="44" t="n">
        <v>5.53</v>
      </c>
      <c r="K1193" s="43" t="inlineStr">
        <is>
          <t>Received</t>
        </is>
      </c>
      <c r="L1193" s="17">
        <f>INDEX(Items!$C$2:$C$117,MATCH(B1193,Items!$A$2:$A$117,0))</f>
        <v/>
      </c>
      <c r="M1193" s="49">
        <f>INDEX(Items!$E$2:$E$117,MATCH(B1193,Items!$A$2:$A$117,0))</f>
        <v/>
      </c>
      <c r="N1193" s="17">
        <f>TEXT(D1193,"yyyy-mm")</f>
        <v/>
      </c>
      <c r="O1193" s="50">
        <f>G1193*J1193</f>
        <v/>
      </c>
      <c r="P1193" s="50">
        <f>(J1193-M1193)*G1193</f>
        <v/>
      </c>
      <c r="Q1193" s="51">
        <f>IF(K1193="Received",1,0)</f>
        <v/>
      </c>
      <c r="R1193" s="51">
        <f>IF(Q1193=1,F1193-D1193,0)</f>
        <v/>
      </c>
      <c r="S1193" s="51">
        <f>IF(Q1193=1,IF(F1193&lt;=E1193,1,0),0)</f>
        <v/>
      </c>
      <c r="T1193" s="51">
        <f>IF(Q1193=1,IF(H1193&gt;=G1193,1,0),0)</f>
        <v/>
      </c>
      <c r="U1193" s="51">
        <f>S1193*T1193</f>
        <v/>
      </c>
      <c r="V1193" s="51">
        <f>IF(Q1193=1,MAX(0,F1193-E1193),0)</f>
        <v/>
      </c>
    </row>
    <row r="1194">
      <c r="A1194" s="43" t="inlineStr">
        <is>
          <t>PO100158</t>
        </is>
      </c>
      <c r="B1194" s="43" t="inlineStr">
        <is>
          <t>CMD-0007</t>
        </is>
      </c>
      <c r="C1194" s="43" t="inlineStr">
        <is>
          <t>S03</t>
        </is>
      </c>
      <c r="D1194" s="47" t="n">
        <v>46002</v>
      </c>
      <c r="E1194" s="47" t="n">
        <v>46135</v>
      </c>
      <c r="F1194" s="47" t="n">
        <v>46132</v>
      </c>
      <c r="G1194" s="46" t="n">
        <v>3850</v>
      </c>
      <c r="H1194" s="46" t="n">
        <v>3507</v>
      </c>
      <c r="I1194" s="46" t="n">
        <v>15</v>
      </c>
      <c r="J1194" s="44" t="n">
        <v>22.8802</v>
      </c>
      <c r="K1194" s="43" t="inlineStr">
        <is>
          <t>Received</t>
        </is>
      </c>
      <c r="L1194" s="17">
        <f>INDEX(Items!$C$2:$C$117,MATCH(B1194,Items!$A$2:$A$117,0))</f>
        <v/>
      </c>
      <c r="M1194" s="49">
        <f>INDEX(Items!$E$2:$E$117,MATCH(B1194,Items!$A$2:$A$117,0))</f>
        <v/>
      </c>
      <c r="N1194" s="17">
        <f>TEXT(D1194,"yyyy-mm")</f>
        <v/>
      </c>
      <c r="O1194" s="50">
        <f>G1194*J1194</f>
        <v/>
      </c>
      <c r="P1194" s="50">
        <f>(J1194-M1194)*G1194</f>
        <v/>
      </c>
      <c r="Q1194" s="51">
        <f>IF(K1194="Received",1,0)</f>
        <v/>
      </c>
      <c r="R1194" s="51">
        <f>IF(Q1194=1,F1194-D1194,0)</f>
        <v/>
      </c>
      <c r="S1194" s="51">
        <f>IF(Q1194=1,IF(F1194&lt;=E1194,1,0),0)</f>
        <v/>
      </c>
      <c r="T1194" s="51">
        <f>IF(Q1194=1,IF(H1194&gt;=G1194,1,0),0)</f>
        <v/>
      </c>
      <c r="U1194" s="51">
        <f>S1194*T1194</f>
        <v/>
      </c>
      <c r="V1194" s="51">
        <f>IF(Q1194=1,MAX(0,F1194-E1194),0)</f>
        <v/>
      </c>
    </row>
    <row r="1195">
      <c r="A1195" s="43" t="inlineStr">
        <is>
          <t>PO100086</t>
        </is>
      </c>
      <c r="B1195" s="43" t="inlineStr">
        <is>
          <t>CMD-0004</t>
        </is>
      </c>
      <c r="C1195" s="43" t="inlineStr">
        <is>
          <t>S07</t>
        </is>
      </c>
      <c r="D1195" s="47" t="n">
        <v>46002</v>
      </c>
      <c r="E1195" s="47" t="n">
        <v>46093</v>
      </c>
      <c r="F1195" s="47" t="n">
        <v>46092</v>
      </c>
      <c r="G1195" s="46" t="n">
        <v>3901</v>
      </c>
      <c r="H1195" s="46" t="n">
        <v>3344</v>
      </c>
      <c r="I1195" s="46" t="n">
        <v>21</v>
      </c>
      <c r="J1195" s="44" t="n">
        <v>4.779</v>
      </c>
      <c r="K1195" s="43" t="inlineStr">
        <is>
          <t>Received</t>
        </is>
      </c>
      <c r="L1195" s="17">
        <f>INDEX(Items!$C$2:$C$117,MATCH(B1195,Items!$A$2:$A$117,0))</f>
        <v/>
      </c>
      <c r="M1195" s="49">
        <f>INDEX(Items!$E$2:$E$117,MATCH(B1195,Items!$A$2:$A$117,0))</f>
        <v/>
      </c>
      <c r="N1195" s="17">
        <f>TEXT(D1195,"yyyy-mm")</f>
        <v/>
      </c>
      <c r="O1195" s="50">
        <f>G1195*J1195</f>
        <v/>
      </c>
      <c r="P1195" s="50">
        <f>(J1195-M1195)*G1195</f>
        <v/>
      </c>
      <c r="Q1195" s="51">
        <f>IF(K1195="Received",1,0)</f>
        <v/>
      </c>
      <c r="R1195" s="51">
        <f>IF(Q1195=1,F1195-D1195,0)</f>
        <v/>
      </c>
      <c r="S1195" s="51">
        <f>IF(Q1195=1,IF(F1195&lt;=E1195,1,0),0)</f>
        <v/>
      </c>
      <c r="T1195" s="51">
        <f>IF(Q1195=1,IF(H1195&gt;=G1195,1,0),0)</f>
        <v/>
      </c>
      <c r="U1195" s="51">
        <f>S1195*T1195</f>
        <v/>
      </c>
      <c r="V1195" s="51">
        <f>IF(Q1195=1,MAX(0,F1195-E1195),0)</f>
        <v/>
      </c>
    </row>
    <row r="1196">
      <c r="A1196" s="43" t="inlineStr">
        <is>
          <t>PO101752</t>
        </is>
      </c>
      <c r="B1196" s="43" t="inlineStr">
        <is>
          <t>CMD-0095</t>
        </is>
      </c>
      <c r="C1196" s="43" t="inlineStr">
        <is>
          <t>S08</t>
        </is>
      </c>
      <c r="D1196" s="47" t="n">
        <v>46002</v>
      </c>
      <c r="E1196" s="47" t="n">
        <v>46079</v>
      </c>
      <c r="F1196" s="47" t="n">
        <v>46079</v>
      </c>
      <c r="G1196" s="46" t="n">
        <v>326</v>
      </c>
      <c r="H1196" s="46" t="n">
        <v>326</v>
      </c>
      <c r="I1196" s="46" t="n">
        <v>11</v>
      </c>
      <c r="J1196" s="44" t="n">
        <v>91.83</v>
      </c>
      <c r="K1196" s="43" t="inlineStr">
        <is>
          <t>Received</t>
        </is>
      </c>
      <c r="L1196" s="17">
        <f>INDEX(Items!$C$2:$C$117,MATCH(B1196,Items!$A$2:$A$117,0))</f>
        <v/>
      </c>
      <c r="M1196" s="49">
        <f>INDEX(Items!$E$2:$E$117,MATCH(B1196,Items!$A$2:$A$117,0))</f>
        <v/>
      </c>
      <c r="N1196" s="17">
        <f>TEXT(D1196,"yyyy-mm")</f>
        <v/>
      </c>
      <c r="O1196" s="50">
        <f>G1196*J1196</f>
        <v/>
      </c>
      <c r="P1196" s="50">
        <f>(J1196-M1196)*G1196</f>
        <v/>
      </c>
      <c r="Q1196" s="51">
        <f>IF(K1196="Received",1,0)</f>
        <v/>
      </c>
      <c r="R1196" s="51">
        <f>IF(Q1196=1,F1196-D1196,0)</f>
        <v/>
      </c>
      <c r="S1196" s="51">
        <f>IF(Q1196=1,IF(F1196&lt;=E1196,1,0),0)</f>
        <v/>
      </c>
      <c r="T1196" s="51">
        <f>IF(Q1196=1,IF(H1196&gt;=G1196,1,0),0)</f>
        <v/>
      </c>
      <c r="U1196" s="51">
        <f>S1196*T1196</f>
        <v/>
      </c>
      <c r="V1196" s="51">
        <f>IF(Q1196=1,MAX(0,F1196-E1196),0)</f>
        <v/>
      </c>
    </row>
    <row r="1197">
      <c r="A1197" s="43" t="inlineStr">
        <is>
          <t>PO101656</t>
        </is>
      </c>
      <c r="B1197" s="43" t="inlineStr">
        <is>
          <t>CMD-0091</t>
        </is>
      </c>
      <c r="C1197" s="43" t="inlineStr">
        <is>
          <t>S08</t>
        </is>
      </c>
      <c r="D1197" s="47" t="n">
        <v>46003</v>
      </c>
      <c r="E1197" s="47" t="n">
        <v>46080</v>
      </c>
      <c r="F1197" s="47" t="n">
        <v>46077</v>
      </c>
      <c r="G1197" s="46" t="n">
        <v>942</v>
      </c>
      <c r="H1197" s="46" t="n">
        <v>942</v>
      </c>
      <c r="I1197" s="46" t="n">
        <v>16</v>
      </c>
      <c r="J1197" s="44" t="n">
        <v>23.8</v>
      </c>
      <c r="K1197" s="43" t="inlineStr">
        <is>
          <t>Received</t>
        </is>
      </c>
      <c r="L1197" s="17">
        <f>INDEX(Items!$C$2:$C$117,MATCH(B1197,Items!$A$2:$A$117,0))</f>
        <v/>
      </c>
      <c r="M1197" s="49">
        <f>INDEX(Items!$E$2:$E$117,MATCH(B1197,Items!$A$2:$A$117,0))</f>
        <v/>
      </c>
      <c r="N1197" s="17">
        <f>TEXT(D1197,"yyyy-mm")</f>
        <v/>
      </c>
      <c r="O1197" s="50">
        <f>G1197*J1197</f>
        <v/>
      </c>
      <c r="P1197" s="50">
        <f>(J1197-M1197)*G1197</f>
        <v/>
      </c>
      <c r="Q1197" s="51">
        <f>IF(K1197="Received",1,0)</f>
        <v/>
      </c>
      <c r="R1197" s="51">
        <f>IF(Q1197=1,F1197-D1197,0)</f>
        <v/>
      </c>
      <c r="S1197" s="51">
        <f>IF(Q1197=1,IF(F1197&lt;=E1197,1,0),0)</f>
        <v/>
      </c>
      <c r="T1197" s="51">
        <f>IF(Q1197=1,IF(H1197&gt;=G1197,1,0),0)</f>
        <v/>
      </c>
      <c r="U1197" s="51">
        <f>S1197*T1197</f>
        <v/>
      </c>
      <c r="V1197" s="51">
        <f>IF(Q1197=1,MAX(0,F1197-E1197),0)</f>
        <v/>
      </c>
    </row>
    <row r="1198">
      <c r="A1198" s="43" t="inlineStr">
        <is>
          <t>PO100230</t>
        </is>
      </c>
      <c r="B1198" s="43" t="inlineStr">
        <is>
          <t>CMD-0010</t>
        </is>
      </c>
      <c r="C1198" s="43" t="inlineStr">
        <is>
          <t>S03</t>
        </is>
      </c>
      <c r="D1198" s="47" t="n">
        <v>46003</v>
      </c>
      <c r="E1198" s="47" t="n">
        <v>46136</v>
      </c>
      <c r="F1198" s="47" t="n">
        <v>46150</v>
      </c>
      <c r="G1198" s="46" t="n">
        <v>4433</v>
      </c>
      <c r="H1198" s="46" t="n">
        <v>4433</v>
      </c>
      <c r="I1198" s="46" t="n">
        <v>29</v>
      </c>
      <c r="J1198" s="44" t="n">
        <v>5.4634</v>
      </c>
      <c r="K1198" s="43" t="inlineStr">
        <is>
          <t>Received</t>
        </is>
      </c>
      <c r="L1198" s="17">
        <f>INDEX(Items!$C$2:$C$117,MATCH(B1198,Items!$A$2:$A$117,0))</f>
        <v/>
      </c>
      <c r="M1198" s="49">
        <f>INDEX(Items!$E$2:$E$117,MATCH(B1198,Items!$A$2:$A$117,0))</f>
        <v/>
      </c>
      <c r="N1198" s="17">
        <f>TEXT(D1198,"yyyy-mm")</f>
        <v/>
      </c>
      <c r="O1198" s="50">
        <f>G1198*J1198</f>
        <v/>
      </c>
      <c r="P1198" s="50">
        <f>(J1198-M1198)*G1198</f>
        <v/>
      </c>
      <c r="Q1198" s="51">
        <f>IF(K1198="Received",1,0)</f>
        <v/>
      </c>
      <c r="R1198" s="51">
        <f>IF(Q1198=1,F1198-D1198,0)</f>
        <v/>
      </c>
      <c r="S1198" s="51">
        <f>IF(Q1198=1,IF(F1198&lt;=E1198,1,0),0)</f>
        <v/>
      </c>
      <c r="T1198" s="51">
        <f>IF(Q1198=1,IF(H1198&gt;=G1198,1,0),0)</f>
        <v/>
      </c>
      <c r="U1198" s="51">
        <f>S1198*T1198</f>
        <v/>
      </c>
      <c r="V1198" s="51">
        <f>IF(Q1198=1,MAX(0,F1198-E1198),0)</f>
        <v/>
      </c>
    </row>
    <row r="1199">
      <c r="A1199" s="43" t="inlineStr">
        <is>
          <t>PO100354</t>
        </is>
      </c>
      <c r="B1199" s="43" t="inlineStr">
        <is>
          <t>CMD-0016</t>
        </is>
      </c>
      <c r="C1199" s="43" t="inlineStr">
        <is>
          <t>S07</t>
        </is>
      </c>
      <c r="D1199" s="47" t="n">
        <v>46003</v>
      </c>
      <c r="E1199" s="47" t="n">
        <v>46094</v>
      </c>
      <c r="F1199" s="47" t="n">
        <v>46092</v>
      </c>
      <c r="G1199" s="46" t="n">
        <v>8560</v>
      </c>
      <c r="H1199" s="46" t="n">
        <v>8560</v>
      </c>
      <c r="I1199" s="46" t="n">
        <v>72</v>
      </c>
      <c r="J1199" s="44" t="n">
        <v>31.8836</v>
      </c>
      <c r="K1199" s="43" t="inlineStr">
        <is>
          <t>Received</t>
        </is>
      </c>
      <c r="L1199" s="17">
        <f>INDEX(Items!$C$2:$C$117,MATCH(B1199,Items!$A$2:$A$117,0))</f>
        <v/>
      </c>
      <c r="M1199" s="49">
        <f>INDEX(Items!$E$2:$E$117,MATCH(B1199,Items!$A$2:$A$117,0))</f>
        <v/>
      </c>
      <c r="N1199" s="17">
        <f>TEXT(D1199,"yyyy-mm")</f>
        <v/>
      </c>
      <c r="O1199" s="50">
        <f>G1199*J1199</f>
        <v/>
      </c>
      <c r="P1199" s="50">
        <f>(J1199-M1199)*G1199</f>
        <v/>
      </c>
      <c r="Q1199" s="51">
        <f>IF(K1199="Received",1,0)</f>
        <v/>
      </c>
      <c r="R1199" s="51">
        <f>IF(Q1199=1,F1199-D1199,0)</f>
        <v/>
      </c>
      <c r="S1199" s="51">
        <f>IF(Q1199=1,IF(F1199&lt;=E1199,1,0),0)</f>
        <v/>
      </c>
      <c r="T1199" s="51">
        <f>IF(Q1199=1,IF(H1199&gt;=G1199,1,0),0)</f>
        <v/>
      </c>
      <c r="U1199" s="51">
        <f>S1199*T1199</f>
        <v/>
      </c>
      <c r="V1199" s="51">
        <f>IF(Q1199=1,MAX(0,F1199-E1199),0)</f>
        <v/>
      </c>
    </row>
    <row r="1200">
      <c r="A1200" s="43" t="inlineStr">
        <is>
          <t>PO100606</t>
        </is>
      </c>
      <c r="B1200" s="43" t="inlineStr">
        <is>
          <t>CMD-0027</t>
        </is>
      </c>
      <c r="C1200" s="43" t="inlineStr">
        <is>
          <t>S04</t>
        </is>
      </c>
      <c r="D1200" s="47" t="n">
        <v>46003</v>
      </c>
      <c r="E1200" s="47" t="n">
        <v>46073</v>
      </c>
      <c r="F1200" s="47" t="n">
        <v>46073</v>
      </c>
      <c r="G1200" s="46" t="n">
        <v>8418</v>
      </c>
      <c r="H1200" s="46" t="n">
        <v>8418</v>
      </c>
      <c r="I1200" s="46" t="n">
        <v>95</v>
      </c>
      <c r="J1200" s="44" t="n">
        <v>8.85</v>
      </c>
      <c r="K1200" s="43" t="inlineStr">
        <is>
          <t>Received</t>
        </is>
      </c>
      <c r="L1200" s="17">
        <f>INDEX(Items!$C$2:$C$117,MATCH(B1200,Items!$A$2:$A$117,0))</f>
        <v/>
      </c>
      <c r="M1200" s="49">
        <f>INDEX(Items!$E$2:$E$117,MATCH(B1200,Items!$A$2:$A$117,0))</f>
        <v/>
      </c>
      <c r="N1200" s="17">
        <f>TEXT(D1200,"yyyy-mm")</f>
        <v/>
      </c>
      <c r="O1200" s="50">
        <f>G1200*J1200</f>
        <v/>
      </c>
      <c r="P1200" s="50">
        <f>(J1200-M1200)*G1200</f>
        <v/>
      </c>
      <c r="Q1200" s="51">
        <f>IF(K1200="Received",1,0)</f>
        <v/>
      </c>
      <c r="R1200" s="51">
        <f>IF(Q1200=1,F1200-D1200,0)</f>
        <v/>
      </c>
      <c r="S1200" s="51">
        <f>IF(Q1200=1,IF(F1200&lt;=E1200,1,0),0)</f>
        <v/>
      </c>
      <c r="T1200" s="51">
        <f>IF(Q1200=1,IF(H1200&gt;=G1200,1,0),0)</f>
        <v/>
      </c>
      <c r="U1200" s="51">
        <f>S1200*T1200</f>
        <v/>
      </c>
      <c r="V1200" s="51">
        <f>IF(Q1200=1,MAX(0,F1200-E1200),0)</f>
        <v/>
      </c>
    </row>
    <row r="1201">
      <c r="A1201" s="43" t="inlineStr">
        <is>
          <t>PO100832</t>
        </is>
      </c>
      <c r="B1201" s="43" t="inlineStr">
        <is>
          <t>CMD-0037</t>
        </is>
      </c>
      <c r="C1201" s="43" t="inlineStr">
        <is>
          <t>S07</t>
        </is>
      </c>
      <c r="D1201" s="47" t="n">
        <v>46003</v>
      </c>
      <c r="E1201" s="47" t="n">
        <v>46045</v>
      </c>
      <c r="F1201" s="47" t="n">
        <v>46043</v>
      </c>
      <c r="G1201" s="46" t="n">
        <v>432</v>
      </c>
      <c r="H1201" s="46" t="n">
        <v>432</v>
      </c>
      <c r="I1201" s="46" t="n">
        <v>3</v>
      </c>
      <c r="J1201" s="44" t="n">
        <v>53.62</v>
      </c>
      <c r="K1201" s="43" t="inlineStr">
        <is>
          <t>Received</t>
        </is>
      </c>
      <c r="L1201" s="17">
        <f>INDEX(Items!$C$2:$C$117,MATCH(B1201,Items!$A$2:$A$117,0))</f>
        <v/>
      </c>
      <c r="M1201" s="49">
        <f>INDEX(Items!$E$2:$E$117,MATCH(B1201,Items!$A$2:$A$117,0))</f>
        <v/>
      </c>
      <c r="N1201" s="17">
        <f>TEXT(D1201,"yyyy-mm")</f>
        <v/>
      </c>
      <c r="O1201" s="50">
        <f>G1201*J1201</f>
        <v/>
      </c>
      <c r="P1201" s="50">
        <f>(J1201-M1201)*G1201</f>
        <v/>
      </c>
      <c r="Q1201" s="51">
        <f>IF(K1201="Received",1,0)</f>
        <v/>
      </c>
      <c r="R1201" s="51">
        <f>IF(Q1201=1,F1201-D1201,0)</f>
        <v/>
      </c>
      <c r="S1201" s="51">
        <f>IF(Q1201=1,IF(F1201&lt;=E1201,1,0),0)</f>
        <v/>
      </c>
      <c r="T1201" s="51">
        <f>IF(Q1201=1,IF(H1201&gt;=G1201,1,0),0)</f>
        <v/>
      </c>
      <c r="U1201" s="51">
        <f>S1201*T1201</f>
        <v/>
      </c>
      <c r="V1201" s="51">
        <f>IF(Q1201=1,MAX(0,F1201-E1201),0)</f>
        <v/>
      </c>
    </row>
    <row r="1202">
      <c r="A1202" s="43" t="inlineStr">
        <is>
          <t>PO101290</t>
        </is>
      </c>
      <c r="B1202" s="43" t="inlineStr">
        <is>
          <t>CMD-0062</t>
        </is>
      </c>
      <c r="C1202" s="43" t="inlineStr">
        <is>
          <t>S01</t>
        </is>
      </c>
      <c r="D1202" s="47" t="n">
        <v>46003</v>
      </c>
      <c r="E1202" s="47" t="n">
        <v>46024</v>
      </c>
      <c r="F1202" s="47" t="n">
        <v>46021</v>
      </c>
      <c r="G1202" s="46" t="n">
        <v>77825</v>
      </c>
      <c r="H1202" s="46" t="n">
        <v>77825</v>
      </c>
      <c r="I1202" s="46" t="n">
        <v>161</v>
      </c>
      <c r="J1202" s="44" t="n">
        <v>0.1139</v>
      </c>
      <c r="K1202" s="43" t="inlineStr">
        <is>
          <t>Received</t>
        </is>
      </c>
      <c r="L1202" s="17">
        <f>INDEX(Items!$C$2:$C$117,MATCH(B1202,Items!$A$2:$A$117,0))</f>
        <v/>
      </c>
      <c r="M1202" s="49">
        <f>INDEX(Items!$E$2:$E$117,MATCH(B1202,Items!$A$2:$A$117,0))</f>
        <v/>
      </c>
      <c r="N1202" s="17">
        <f>TEXT(D1202,"yyyy-mm")</f>
        <v/>
      </c>
      <c r="O1202" s="50">
        <f>G1202*J1202</f>
        <v/>
      </c>
      <c r="P1202" s="50">
        <f>(J1202-M1202)*G1202</f>
        <v/>
      </c>
      <c r="Q1202" s="51">
        <f>IF(K1202="Received",1,0)</f>
        <v/>
      </c>
      <c r="R1202" s="51">
        <f>IF(Q1202=1,F1202-D1202,0)</f>
        <v/>
      </c>
      <c r="S1202" s="51">
        <f>IF(Q1202=1,IF(F1202&lt;=E1202,1,0),0)</f>
        <v/>
      </c>
      <c r="T1202" s="51">
        <f>IF(Q1202=1,IF(H1202&gt;=G1202,1,0),0)</f>
        <v/>
      </c>
      <c r="U1202" s="51">
        <f>S1202*T1202</f>
        <v/>
      </c>
      <c r="V1202" s="51">
        <f>IF(Q1202=1,MAX(0,F1202-E1202),0)</f>
        <v/>
      </c>
    </row>
    <row r="1203">
      <c r="A1203" s="43" t="inlineStr">
        <is>
          <t>PO100880</t>
        </is>
      </c>
      <c r="B1203" s="43" t="inlineStr">
        <is>
          <t>CMD-0039</t>
        </is>
      </c>
      <c r="C1203" s="43" t="inlineStr">
        <is>
          <t>S07</t>
        </is>
      </c>
      <c r="D1203" s="47" t="n">
        <v>46004</v>
      </c>
      <c r="E1203" s="47" t="n">
        <v>46046</v>
      </c>
      <c r="F1203" s="47" t="n">
        <v>46043</v>
      </c>
      <c r="G1203" s="46" t="n">
        <v>297</v>
      </c>
      <c r="H1203" s="46" t="n">
        <v>297</v>
      </c>
      <c r="I1203" s="46" t="n">
        <v>2</v>
      </c>
      <c r="J1203" s="44" t="n">
        <v>51.99</v>
      </c>
      <c r="K1203" s="43" t="inlineStr">
        <is>
          <t>Received</t>
        </is>
      </c>
      <c r="L1203" s="17">
        <f>INDEX(Items!$C$2:$C$117,MATCH(B1203,Items!$A$2:$A$117,0))</f>
        <v/>
      </c>
      <c r="M1203" s="49">
        <f>INDEX(Items!$E$2:$E$117,MATCH(B1203,Items!$A$2:$A$117,0))</f>
        <v/>
      </c>
      <c r="N1203" s="17">
        <f>TEXT(D1203,"yyyy-mm")</f>
        <v/>
      </c>
      <c r="O1203" s="50">
        <f>G1203*J1203</f>
        <v/>
      </c>
      <c r="P1203" s="50">
        <f>(J1203-M1203)*G1203</f>
        <v/>
      </c>
      <c r="Q1203" s="51">
        <f>IF(K1203="Received",1,0)</f>
        <v/>
      </c>
      <c r="R1203" s="51">
        <f>IF(Q1203=1,F1203-D1203,0)</f>
        <v/>
      </c>
      <c r="S1203" s="51">
        <f>IF(Q1203=1,IF(F1203&lt;=E1203,1,0),0)</f>
        <v/>
      </c>
      <c r="T1203" s="51">
        <f>IF(Q1203=1,IF(H1203&gt;=G1203,1,0),0)</f>
        <v/>
      </c>
      <c r="U1203" s="51">
        <f>S1203*T1203</f>
        <v/>
      </c>
      <c r="V1203" s="51">
        <f>IF(Q1203=1,MAX(0,F1203-E1203),0)</f>
        <v/>
      </c>
    </row>
    <row r="1204">
      <c r="A1204" s="43" t="inlineStr">
        <is>
          <t>PO101096</t>
        </is>
      </c>
      <c r="B1204" s="43" t="inlineStr">
        <is>
          <t>CMD-0050</t>
        </is>
      </c>
      <c r="C1204" s="43" t="inlineStr">
        <is>
          <t>S10</t>
        </is>
      </c>
      <c r="D1204" s="47" t="n">
        <v>46004</v>
      </c>
      <c r="E1204" s="47" t="n">
        <v>46032</v>
      </c>
      <c r="F1204" s="47" t="n">
        <v>46032</v>
      </c>
      <c r="G1204" s="46" t="n">
        <v>76787</v>
      </c>
      <c r="H1204" s="46" t="n">
        <v>76787</v>
      </c>
      <c r="I1204" s="46" t="n">
        <v>84</v>
      </c>
      <c r="J1204" s="44" t="n">
        <v>0.075</v>
      </c>
      <c r="K1204" s="43" t="inlineStr">
        <is>
          <t>Received</t>
        </is>
      </c>
      <c r="L1204" s="17">
        <f>INDEX(Items!$C$2:$C$117,MATCH(B1204,Items!$A$2:$A$117,0))</f>
        <v/>
      </c>
      <c r="M1204" s="49">
        <f>INDEX(Items!$E$2:$E$117,MATCH(B1204,Items!$A$2:$A$117,0))</f>
        <v/>
      </c>
      <c r="N1204" s="17">
        <f>TEXT(D1204,"yyyy-mm")</f>
        <v/>
      </c>
      <c r="O1204" s="50">
        <f>G1204*J1204</f>
        <v/>
      </c>
      <c r="P1204" s="50">
        <f>(J1204-M1204)*G1204</f>
        <v/>
      </c>
      <c r="Q1204" s="51">
        <f>IF(K1204="Received",1,0)</f>
        <v/>
      </c>
      <c r="R1204" s="51">
        <f>IF(Q1204=1,F1204-D1204,0)</f>
        <v/>
      </c>
      <c r="S1204" s="51">
        <f>IF(Q1204=1,IF(F1204&lt;=E1204,1,0),0)</f>
        <v/>
      </c>
      <c r="T1204" s="51">
        <f>IF(Q1204=1,IF(H1204&gt;=G1204,1,0),0)</f>
        <v/>
      </c>
      <c r="U1204" s="51">
        <f>S1204*T1204</f>
        <v/>
      </c>
      <c r="V1204" s="51">
        <f>IF(Q1204=1,MAX(0,F1204-E1204),0)</f>
        <v/>
      </c>
    </row>
    <row r="1205">
      <c r="A1205" s="43" t="inlineStr">
        <is>
          <t>PO101322</t>
        </is>
      </c>
      <c r="B1205" s="43" t="inlineStr">
        <is>
          <t>CMD-0065</t>
        </is>
      </c>
      <c r="C1205" s="43" t="inlineStr">
        <is>
          <t>S10</t>
        </is>
      </c>
      <c r="D1205" s="47" t="n">
        <v>46004</v>
      </c>
      <c r="E1205" s="47" t="n">
        <v>46032</v>
      </c>
      <c r="F1205" s="47" t="n">
        <v>46030</v>
      </c>
      <c r="G1205" s="46" t="n">
        <v>116510</v>
      </c>
      <c r="H1205" s="46" t="n">
        <v>116510</v>
      </c>
      <c r="I1205" s="46" t="n">
        <v>118</v>
      </c>
      <c r="J1205" s="44" t="n">
        <v>0.1155</v>
      </c>
      <c r="K1205" s="43" t="inlineStr">
        <is>
          <t>Received</t>
        </is>
      </c>
      <c r="L1205" s="17">
        <f>INDEX(Items!$C$2:$C$117,MATCH(B1205,Items!$A$2:$A$117,0))</f>
        <v/>
      </c>
      <c r="M1205" s="49">
        <f>INDEX(Items!$E$2:$E$117,MATCH(B1205,Items!$A$2:$A$117,0))</f>
        <v/>
      </c>
      <c r="N1205" s="17">
        <f>TEXT(D1205,"yyyy-mm")</f>
        <v/>
      </c>
      <c r="O1205" s="50">
        <f>G1205*J1205</f>
        <v/>
      </c>
      <c r="P1205" s="50">
        <f>(J1205-M1205)*G1205</f>
        <v/>
      </c>
      <c r="Q1205" s="51">
        <f>IF(K1205="Received",1,0)</f>
        <v/>
      </c>
      <c r="R1205" s="51">
        <f>IF(Q1205=1,F1205-D1205,0)</f>
        <v/>
      </c>
      <c r="S1205" s="51">
        <f>IF(Q1205=1,IF(F1205&lt;=E1205,1,0),0)</f>
        <v/>
      </c>
      <c r="T1205" s="51">
        <f>IF(Q1205=1,IF(H1205&gt;=G1205,1,0),0)</f>
        <v/>
      </c>
      <c r="U1205" s="51">
        <f>S1205*T1205</f>
        <v/>
      </c>
      <c r="V1205" s="51">
        <f>IF(Q1205=1,MAX(0,F1205-E1205),0)</f>
        <v/>
      </c>
    </row>
    <row r="1206">
      <c r="A1206" s="43" t="inlineStr">
        <is>
          <t>PO100206</t>
        </is>
      </c>
      <c r="B1206" s="43" t="inlineStr">
        <is>
          <t>CMD-0009</t>
        </is>
      </c>
      <c r="C1206" s="43" t="inlineStr">
        <is>
          <t>S11</t>
        </is>
      </c>
      <c r="D1206" s="47" t="n">
        <v>46004</v>
      </c>
      <c r="E1206" s="47" t="n">
        <v>46123</v>
      </c>
      <c r="F1206" s="47" t="n">
        <v>46120</v>
      </c>
      <c r="G1206" s="46" t="n">
        <v>7322</v>
      </c>
      <c r="H1206" s="46" t="n">
        <v>7322</v>
      </c>
      <c r="I1206" s="46" t="n">
        <v>17</v>
      </c>
      <c r="J1206" s="44" t="n">
        <v>7.4222</v>
      </c>
      <c r="K1206" s="43" t="inlineStr">
        <is>
          <t>Received</t>
        </is>
      </c>
      <c r="L1206" s="17">
        <f>INDEX(Items!$C$2:$C$117,MATCH(B1206,Items!$A$2:$A$117,0))</f>
        <v/>
      </c>
      <c r="M1206" s="49">
        <f>INDEX(Items!$E$2:$E$117,MATCH(B1206,Items!$A$2:$A$117,0))</f>
        <v/>
      </c>
      <c r="N1206" s="17">
        <f>TEXT(D1206,"yyyy-mm")</f>
        <v/>
      </c>
      <c r="O1206" s="50">
        <f>G1206*J1206</f>
        <v/>
      </c>
      <c r="P1206" s="50">
        <f>(J1206-M1206)*G1206</f>
        <v/>
      </c>
      <c r="Q1206" s="51">
        <f>IF(K1206="Received",1,0)</f>
        <v/>
      </c>
      <c r="R1206" s="51">
        <f>IF(Q1206=1,F1206-D1206,0)</f>
        <v/>
      </c>
      <c r="S1206" s="51">
        <f>IF(Q1206=1,IF(F1206&lt;=E1206,1,0),0)</f>
        <v/>
      </c>
      <c r="T1206" s="51">
        <f>IF(Q1206=1,IF(H1206&gt;=G1206,1,0),0)</f>
        <v/>
      </c>
      <c r="U1206" s="51">
        <f>S1206*T1206</f>
        <v/>
      </c>
      <c r="V1206" s="51">
        <f>IF(Q1206=1,MAX(0,F1206-E1206),0)</f>
        <v/>
      </c>
    </row>
    <row r="1207">
      <c r="A1207" s="43" t="inlineStr">
        <is>
          <t>PO100062</t>
        </is>
      </c>
      <c r="B1207" s="43" t="inlineStr">
        <is>
          <t>CMD-0003</t>
        </is>
      </c>
      <c r="C1207" s="43" t="inlineStr">
        <is>
          <t>S11</t>
        </is>
      </c>
      <c r="D1207" s="47" t="n">
        <v>46004</v>
      </c>
      <c r="E1207" s="47" t="n">
        <v>46123</v>
      </c>
      <c r="F1207" s="47" t="n">
        <v>46123</v>
      </c>
      <c r="G1207" s="46" t="n">
        <v>7587</v>
      </c>
      <c r="H1207" s="46" t="n">
        <v>7587</v>
      </c>
      <c r="I1207" s="46" t="n">
        <v>18</v>
      </c>
      <c r="J1207" s="44" t="n">
        <v>25.3582</v>
      </c>
      <c r="K1207" s="43" t="inlineStr">
        <is>
          <t>Received</t>
        </is>
      </c>
      <c r="L1207" s="17">
        <f>INDEX(Items!$C$2:$C$117,MATCH(B1207,Items!$A$2:$A$117,0))</f>
        <v/>
      </c>
      <c r="M1207" s="49">
        <f>INDEX(Items!$E$2:$E$117,MATCH(B1207,Items!$A$2:$A$117,0))</f>
        <v/>
      </c>
      <c r="N1207" s="17">
        <f>TEXT(D1207,"yyyy-mm")</f>
        <v/>
      </c>
      <c r="O1207" s="50">
        <f>G1207*J1207</f>
        <v/>
      </c>
      <c r="P1207" s="50">
        <f>(J1207-M1207)*G1207</f>
        <v/>
      </c>
      <c r="Q1207" s="51">
        <f>IF(K1207="Received",1,0)</f>
        <v/>
      </c>
      <c r="R1207" s="51">
        <f>IF(Q1207=1,F1207-D1207,0)</f>
        <v/>
      </c>
      <c r="S1207" s="51">
        <f>IF(Q1207=1,IF(F1207&lt;=E1207,1,0),0)</f>
        <v/>
      </c>
      <c r="T1207" s="51">
        <f>IF(Q1207=1,IF(H1207&gt;=G1207,1,0),0)</f>
        <v/>
      </c>
      <c r="U1207" s="51">
        <f>S1207*T1207</f>
        <v/>
      </c>
      <c r="V1207" s="51">
        <f>IF(Q1207=1,MAX(0,F1207-E1207),0)</f>
        <v/>
      </c>
    </row>
    <row r="1208">
      <c r="A1208" s="43" t="inlineStr">
        <is>
          <t>PO101020</t>
        </is>
      </c>
      <c r="B1208" s="43" t="inlineStr">
        <is>
          <t>CMD-0046</t>
        </is>
      </c>
      <c r="C1208" s="43" t="inlineStr">
        <is>
          <t>S05</t>
        </is>
      </c>
      <c r="D1208" s="47" t="n">
        <v>46004</v>
      </c>
      <c r="E1208" s="47" t="n">
        <v>46109</v>
      </c>
      <c r="F1208" s="47" t="n">
        <v>46106</v>
      </c>
      <c r="G1208" s="46" t="n">
        <v>8839</v>
      </c>
      <c r="H1208" s="46" t="n">
        <v>8839</v>
      </c>
      <c r="I1208" s="46" t="n">
        <v>177</v>
      </c>
      <c r="J1208" s="44" t="n">
        <v>10.57</v>
      </c>
      <c r="K1208" s="43" t="inlineStr">
        <is>
          <t>Received</t>
        </is>
      </c>
      <c r="L1208" s="17">
        <f>INDEX(Items!$C$2:$C$117,MATCH(B1208,Items!$A$2:$A$117,0))</f>
        <v/>
      </c>
      <c r="M1208" s="49">
        <f>INDEX(Items!$E$2:$E$117,MATCH(B1208,Items!$A$2:$A$117,0))</f>
        <v/>
      </c>
      <c r="N1208" s="17">
        <f>TEXT(D1208,"yyyy-mm")</f>
        <v/>
      </c>
      <c r="O1208" s="50">
        <f>G1208*J1208</f>
        <v/>
      </c>
      <c r="P1208" s="50">
        <f>(J1208-M1208)*G1208</f>
        <v/>
      </c>
      <c r="Q1208" s="51">
        <f>IF(K1208="Received",1,0)</f>
        <v/>
      </c>
      <c r="R1208" s="51">
        <f>IF(Q1208=1,F1208-D1208,0)</f>
        <v/>
      </c>
      <c r="S1208" s="51">
        <f>IF(Q1208=1,IF(F1208&lt;=E1208,1,0),0)</f>
        <v/>
      </c>
      <c r="T1208" s="51">
        <f>IF(Q1208=1,IF(H1208&gt;=G1208,1,0),0)</f>
        <v/>
      </c>
      <c r="U1208" s="51">
        <f>S1208*T1208</f>
        <v/>
      </c>
      <c r="V1208" s="51">
        <f>IF(Q1208=1,MAX(0,F1208-E1208),0)</f>
        <v/>
      </c>
    </row>
    <row r="1209">
      <c r="A1209" s="43" t="inlineStr">
        <is>
          <t>PO101974</t>
        </is>
      </c>
      <c r="B1209" s="43" t="inlineStr">
        <is>
          <t>CMD-0109</t>
        </is>
      </c>
      <c r="C1209" s="43" t="inlineStr">
        <is>
          <t>S12</t>
        </is>
      </c>
      <c r="D1209" s="47" t="n">
        <v>46004</v>
      </c>
      <c r="E1209" s="47" t="n">
        <v>46011</v>
      </c>
      <c r="F1209" s="47" t="n">
        <v>46009</v>
      </c>
      <c r="G1209" s="46" t="n">
        <v>6328</v>
      </c>
      <c r="H1209" s="46" t="n">
        <v>6328</v>
      </c>
      <c r="I1209" s="46" t="n">
        <v>8</v>
      </c>
      <c r="J1209" s="44" t="n">
        <v>1.7</v>
      </c>
      <c r="K1209" s="43" t="inlineStr">
        <is>
          <t>Received</t>
        </is>
      </c>
      <c r="L1209" s="17">
        <f>INDEX(Items!$C$2:$C$117,MATCH(B1209,Items!$A$2:$A$117,0))</f>
        <v/>
      </c>
      <c r="M1209" s="49">
        <f>INDEX(Items!$E$2:$E$117,MATCH(B1209,Items!$A$2:$A$117,0))</f>
        <v/>
      </c>
      <c r="N1209" s="17">
        <f>TEXT(D1209,"yyyy-mm")</f>
        <v/>
      </c>
      <c r="O1209" s="50">
        <f>G1209*J1209</f>
        <v/>
      </c>
      <c r="P1209" s="50">
        <f>(J1209-M1209)*G1209</f>
        <v/>
      </c>
      <c r="Q1209" s="51">
        <f>IF(K1209="Received",1,0)</f>
        <v/>
      </c>
      <c r="R1209" s="51">
        <f>IF(Q1209=1,F1209-D1209,0)</f>
        <v/>
      </c>
      <c r="S1209" s="51">
        <f>IF(Q1209=1,IF(F1209&lt;=E1209,1,0),0)</f>
        <v/>
      </c>
      <c r="T1209" s="51">
        <f>IF(Q1209=1,IF(H1209&gt;=G1209,1,0),0)</f>
        <v/>
      </c>
      <c r="U1209" s="51">
        <f>S1209*T1209</f>
        <v/>
      </c>
      <c r="V1209" s="51">
        <f>IF(Q1209=1,MAX(0,F1209-E1209),0)</f>
        <v/>
      </c>
    </row>
    <row r="1210">
      <c r="A1210" s="43" t="inlineStr">
        <is>
          <t>PO101776</t>
        </is>
      </c>
      <c r="B1210" s="43" t="inlineStr">
        <is>
          <t>CMD-0096</t>
        </is>
      </c>
      <c r="C1210" s="43" t="inlineStr">
        <is>
          <t>S09</t>
        </is>
      </c>
      <c r="D1210" s="47" t="n">
        <v>46005</v>
      </c>
      <c r="E1210" s="47" t="n">
        <v>46026</v>
      </c>
      <c r="F1210" s="47" t="n">
        <v>46026</v>
      </c>
      <c r="G1210" s="46" t="n">
        <v>938</v>
      </c>
      <c r="H1210" s="46" t="n">
        <v>938</v>
      </c>
      <c r="I1210" s="46" t="n">
        <v>3</v>
      </c>
      <c r="J1210" s="44" t="n">
        <v>6.42</v>
      </c>
      <c r="K1210" s="43" t="inlineStr">
        <is>
          <t>Received</t>
        </is>
      </c>
      <c r="L1210" s="17">
        <f>INDEX(Items!$C$2:$C$117,MATCH(B1210,Items!$A$2:$A$117,0))</f>
        <v/>
      </c>
      <c r="M1210" s="49">
        <f>INDEX(Items!$E$2:$E$117,MATCH(B1210,Items!$A$2:$A$117,0))</f>
        <v/>
      </c>
      <c r="N1210" s="17">
        <f>TEXT(D1210,"yyyy-mm")</f>
        <v/>
      </c>
      <c r="O1210" s="50">
        <f>G1210*J1210</f>
        <v/>
      </c>
      <c r="P1210" s="50">
        <f>(J1210-M1210)*G1210</f>
        <v/>
      </c>
      <c r="Q1210" s="51">
        <f>IF(K1210="Received",1,0)</f>
        <v/>
      </c>
      <c r="R1210" s="51">
        <f>IF(Q1210=1,F1210-D1210,0)</f>
        <v/>
      </c>
      <c r="S1210" s="51">
        <f>IF(Q1210=1,IF(F1210&lt;=E1210,1,0),0)</f>
        <v/>
      </c>
      <c r="T1210" s="51">
        <f>IF(Q1210=1,IF(H1210&gt;=G1210,1,0),0)</f>
        <v/>
      </c>
      <c r="U1210" s="51">
        <f>S1210*T1210</f>
        <v/>
      </c>
      <c r="V1210" s="51">
        <f>IF(Q1210=1,MAX(0,F1210-E1210),0)</f>
        <v/>
      </c>
    </row>
    <row r="1211">
      <c r="A1211" s="43" t="inlineStr">
        <is>
          <t>PO101134</t>
        </is>
      </c>
      <c r="B1211" s="43" t="inlineStr">
        <is>
          <t>CMD-0052</t>
        </is>
      </c>
      <c r="C1211" s="43" t="inlineStr">
        <is>
          <t>S01</t>
        </is>
      </c>
      <c r="D1211" s="47" t="n">
        <v>46005</v>
      </c>
      <c r="E1211" s="47" t="n">
        <v>46026</v>
      </c>
      <c r="F1211" s="47" t="n">
        <v>46024</v>
      </c>
      <c r="G1211" s="46" t="n">
        <v>131910</v>
      </c>
      <c r="H1211" s="46" t="n">
        <v>88699</v>
      </c>
      <c r="I1211" s="46" t="n">
        <v>178</v>
      </c>
      <c r="J1211" s="44" t="n">
        <v>0.2016</v>
      </c>
      <c r="K1211" s="43" t="inlineStr">
        <is>
          <t>Received</t>
        </is>
      </c>
      <c r="L1211" s="17">
        <f>INDEX(Items!$C$2:$C$117,MATCH(B1211,Items!$A$2:$A$117,0))</f>
        <v/>
      </c>
      <c r="M1211" s="49">
        <f>INDEX(Items!$E$2:$E$117,MATCH(B1211,Items!$A$2:$A$117,0))</f>
        <v/>
      </c>
      <c r="N1211" s="17">
        <f>TEXT(D1211,"yyyy-mm")</f>
        <v/>
      </c>
      <c r="O1211" s="50">
        <f>G1211*J1211</f>
        <v/>
      </c>
      <c r="P1211" s="50">
        <f>(J1211-M1211)*G1211</f>
        <v/>
      </c>
      <c r="Q1211" s="51">
        <f>IF(K1211="Received",1,0)</f>
        <v/>
      </c>
      <c r="R1211" s="51">
        <f>IF(Q1211=1,F1211-D1211,0)</f>
        <v/>
      </c>
      <c r="S1211" s="51">
        <f>IF(Q1211=1,IF(F1211&lt;=E1211,1,0),0)</f>
        <v/>
      </c>
      <c r="T1211" s="51">
        <f>IF(Q1211=1,IF(H1211&gt;=G1211,1,0),0)</f>
        <v/>
      </c>
      <c r="U1211" s="51">
        <f>S1211*T1211</f>
        <v/>
      </c>
      <c r="V1211" s="51">
        <f>IF(Q1211=1,MAX(0,F1211-E1211),0)</f>
        <v/>
      </c>
    </row>
    <row r="1212">
      <c r="A1212" s="43" t="inlineStr">
        <is>
          <t>PO101494</t>
        </is>
      </c>
      <c r="B1212" s="43" t="inlineStr">
        <is>
          <t>CMD-0079</t>
        </is>
      </c>
      <c r="C1212" s="43" t="inlineStr">
        <is>
          <t>S06</t>
        </is>
      </c>
      <c r="D1212" s="47" t="n">
        <v>46005</v>
      </c>
      <c r="E1212" s="47" t="n">
        <v>46026</v>
      </c>
      <c r="F1212" s="47" t="n">
        <v>46026</v>
      </c>
      <c r="G1212" s="46" t="n">
        <v>2027</v>
      </c>
      <c r="H1212" s="46" t="n">
        <v>2027</v>
      </c>
      <c r="I1212" s="46" t="n">
        <v>8</v>
      </c>
      <c r="J1212" s="44" t="n">
        <v>3.53</v>
      </c>
      <c r="K1212" s="43" t="inlineStr">
        <is>
          <t>Received</t>
        </is>
      </c>
      <c r="L1212" s="17">
        <f>INDEX(Items!$C$2:$C$117,MATCH(B1212,Items!$A$2:$A$117,0))</f>
        <v/>
      </c>
      <c r="M1212" s="49">
        <f>INDEX(Items!$E$2:$E$117,MATCH(B1212,Items!$A$2:$A$117,0))</f>
        <v/>
      </c>
      <c r="N1212" s="17">
        <f>TEXT(D1212,"yyyy-mm")</f>
        <v/>
      </c>
      <c r="O1212" s="50">
        <f>G1212*J1212</f>
        <v/>
      </c>
      <c r="P1212" s="50">
        <f>(J1212-M1212)*G1212</f>
        <v/>
      </c>
      <c r="Q1212" s="51">
        <f>IF(K1212="Received",1,0)</f>
        <v/>
      </c>
      <c r="R1212" s="51">
        <f>IF(Q1212=1,F1212-D1212,0)</f>
        <v/>
      </c>
      <c r="S1212" s="51">
        <f>IF(Q1212=1,IF(F1212&lt;=E1212,1,0),0)</f>
        <v/>
      </c>
      <c r="T1212" s="51">
        <f>IF(Q1212=1,IF(H1212&gt;=G1212,1,0),0)</f>
        <v/>
      </c>
      <c r="U1212" s="51">
        <f>S1212*T1212</f>
        <v/>
      </c>
      <c r="V1212" s="51">
        <f>IF(Q1212=1,MAX(0,F1212-E1212),0)</f>
        <v/>
      </c>
    </row>
    <row r="1213">
      <c r="A1213" s="43" t="inlineStr">
        <is>
          <t>PO101446</t>
        </is>
      </c>
      <c r="B1213" s="43" t="inlineStr">
        <is>
          <t>CMD-0077</t>
        </is>
      </c>
      <c r="C1213" s="43" t="inlineStr">
        <is>
          <t>S01</t>
        </is>
      </c>
      <c r="D1213" s="47" t="n">
        <v>46005</v>
      </c>
      <c r="E1213" s="47" t="n">
        <v>46019</v>
      </c>
      <c r="F1213" s="47" t="n">
        <v>46019</v>
      </c>
      <c r="G1213" s="46" t="n">
        <v>3681</v>
      </c>
      <c r="H1213" s="46" t="n">
        <v>3681</v>
      </c>
      <c r="I1213" s="46" t="n">
        <v>11</v>
      </c>
      <c r="J1213" s="44" t="n">
        <v>8.75</v>
      </c>
      <c r="K1213" s="43" t="inlineStr">
        <is>
          <t>Received</t>
        </is>
      </c>
      <c r="L1213" s="17">
        <f>INDEX(Items!$C$2:$C$117,MATCH(B1213,Items!$A$2:$A$117,0))</f>
        <v/>
      </c>
      <c r="M1213" s="49">
        <f>INDEX(Items!$E$2:$E$117,MATCH(B1213,Items!$A$2:$A$117,0))</f>
        <v/>
      </c>
      <c r="N1213" s="17">
        <f>TEXT(D1213,"yyyy-mm")</f>
        <v/>
      </c>
      <c r="O1213" s="50">
        <f>G1213*J1213</f>
        <v/>
      </c>
      <c r="P1213" s="50">
        <f>(J1213-M1213)*G1213</f>
        <v/>
      </c>
      <c r="Q1213" s="51">
        <f>IF(K1213="Received",1,0)</f>
        <v/>
      </c>
      <c r="R1213" s="51">
        <f>IF(Q1213=1,F1213-D1213,0)</f>
        <v/>
      </c>
      <c r="S1213" s="51">
        <f>IF(Q1213=1,IF(F1213&lt;=E1213,1,0),0)</f>
        <v/>
      </c>
      <c r="T1213" s="51">
        <f>IF(Q1213=1,IF(H1213&gt;=G1213,1,0),0)</f>
        <v/>
      </c>
      <c r="U1213" s="51">
        <f>S1213*T1213</f>
        <v/>
      </c>
      <c r="V1213" s="51">
        <f>IF(Q1213=1,MAX(0,F1213-E1213),0)</f>
        <v/>
      </c>
    </row>
    <row r="1214">
      <c r="A1214" s="43" t="inlineStr">
        <is>
          <t>PO100678</t>
        </is>
      </c>
      <c r="B1214" s="43" t="inlineStr">
        <is>
          <t>CMD-0030</t>
        </is>
      </c>
      <c r="C1214" s="43" t="inlineStr">
        <is>
          <t>S11</t>
        </is>
      </c>
      <c r="D1214" s="47" t="n">
        <v>46005</v>
      </c>
      <c r="E1214" s="47" t="n">
        <v>46082</v>
      </c>
      <c r="F1214" s="47" t="n">
        <v>46080</v>
      </c>
      <c r="G1214" s="46" t="n">
        <v>7239</v>
      </c>
      <c r="H1214" s="46" t="n">
        <v>7239</v>
      </c>
      <c r="I1214" s="46" t="n">
        <v>15</v>
      </c>
      <c r="J1214" s="44" t="n">
        <v>23.19</v>
      </c>
      <c r="K1214" s="43" t="inlineStr">
        <is>
          <t>Received</t>
        </is>
      </c>
      <c r="L1214" s="17">
        <f>INDEX(Items!$C$2:$C$117,MATCH(B1214,Items!$A$2:$A$117,0))</f>
        <v/>
      </c>
      <c r="M1214" s="49">
        <f>INDEX(Items!$E$2:$E$117,MATCH(B1214,Items!$A$2:$A$117,0))</f>
        <v/>
      </c>
      <c r="N1214" s="17">
        <f>TEXT(D1214,"yyyy-mm")</f>
        <v/>
      </c>
      <c r="O1214" s="50">
        <f>G1214*J1214</f>
        <v/>
      </c>
      <c r="P1214" s="50">
        <f>(J1214-M1214)*G1214</f>
        <v/>
      </c>
      <c r="Q1214" s="51">
        <f>IF(K1214="Received",1,0)</f>
        <v/>
      </c>
      <c r="R1214" s="51">
        <f>IF(Q1214=1,F1214-D1214,0)</f>
        <v/>
      </c>
      <c r="S1214" s="51">
        <f>IF(Q1214=1,IF(F1214&lt;=E1214,1,0),0)</f>
        <v/>
      </c>
      <c r="T1214" s="51">
        <f>IF(Q1214=1,IF(H1214&gt;=G1214,1,0),0)</f>
        <v/>
      </c>
      <c r="U1214" s="51">
        <f>S1214*T1214</f>
        <v/>
      </c>
      <c r="V1214" s="51">
        <f>IF(Q1214=1,MAX(0,F1214-E1214),0)</f>
        <v/>
      </c>
    </row>
    <row r="1215">
      <c r="A1215" s="43" t="inlineStr">
        <is>
          <t>PO100630</t>
        </is>
      </c>
      <c r="B1215" s="43" t="inlineStr">
        <is>
          <t>CMD-0028</t>
        </is>
      </c>
      <c r="C1215" s="43" t="inlineStr">
        <is>
          <t>S11</t>
        </is>
      </c>
      <c r="D1215" s="47" t="n">
        <v>46005</v>
      </c>
      <c r="E1215" s="47" t="n">
        <v>46082</v>
      </c>
      <c r="F1215" s="47" t="n">
        <v>46080</v>
      </c>
      <c r="G1215" s="46" t="n">
        <v>3551</v>
      </c>
      <c r="H1215" s="46" t="n">
        <v>3551</v>
      </c>
      <c r="I1215" s="46" t="n">
        <v>5</v>
      </c>
      <c r="J1215" s="44" t="n">
        <v>15.84</v>
      </c>
      <c r="K1215" s="43" t="inlineStr">
        <is>
          <t>Received</t>
        </is>
      </c>
      <c r="L1215" s="17">
        <f>INDEX(Items!$C$2:$C$117,MATCH(B1215,Items!$A$2:$A$117,0))</f>
        <v/>
      </c>
      <c r="M1215" s="49">
        <f>INDEX(Items!$E$2:$E$117,MATCH(B1215,Items!$A$2:$A$117,0))</f>
        <v/>
      </c>
      <c r="N1215" s="17">
        <f>TEXT(D1215,"yyyy-mm")</f>
        <v/>
      </c>
      <c r="O1215" s="50">
        <f>G1215*J1215</f>
        <v/>
      </c>
      <c r="P1215" s="50">
        <f>(J1215-M1215)*G1215</f>
        <v/>
      </c>
      <c r="Q1215" s="51">
        <f>IF(K1215="Received",1,0)</f>
        <v/>
      </c>
      <c r="R1215" s="51">
        <f>IF(Q1215=1,F1215-D1215,0)</f>
        <v/>
      </c>
      <c r="S1215" s="51">
        <f>IF(Q1215=1,IF(F1215&lt;=E1215,1,0),0)</f>
        <v/>
      </c>
      <c r="T1215" s="51">
        <f>IF(Q1215=1,IF(H1215&gt;=G1215,1,0),0)</f>
        <v/>
      </c>
      <c r="U1215" s="51">
        <f>S1215*T1215</f>
        <v/>
      </c>
      <c r="V1215" s="51">
        <f>IF(Q1215=1,MAX(0,F1215-E1215),0)</f>
        <v/>
      </c>
    </row>
    <row r="1216">
      <c r="A1216" s="43" t="inlineStr">
        <is>
          <t>PO100972</t>
        </is>
      </c>
      <c r="B1216" s="43" t="inlineStr">
        <is>
          <t>CMD-0044</t>
        </is>
      </c>
      <c r="C1216" s="43" t="inlineStr">
        <is>
          <t>S05</t>
        </is>
      </c>
      <c r="D1216" s="47" t="n">
        <v>46005</v>
      </c>
      <c r="E1216" s="47" t="n">
        <v>46110</v>
      </c>
      <c r="F1216" s="47" t="n">
        <v>46119</v>
      </c>
      <c r="G1216" s="46" t="n">
        <v>5915</v>
      </c>
      <c r="H1216" s="46" t="n">
        <v>4980</v>
      </c>
      <c r="I1216" s="46" t="n">
        <v>89</v>
      </c>
      <c r="J1216" s="44" t="n">
        <v>11.57</v>
      </c>
      <c r="K1216" s="43" t="inlineStr">
        <is>
          <t>Received</t>
        </is>
      </c>
      <c r="L1216" s="17">
        <f>INDEX(Items!$C$2:$C$117,MATCH(B1216,Items!$A$2:$A$117,0))</f>
        <v/>
      </c>
      <c r="M1216" s="49">
        <f>INDEX(Items!$E$2:$E$117,MATCH(B1216,Items!$A$2:$A$117,0))</f>
        <v/>
      </c>
      <c r="N1216" s="17">
        <f>TEXT(D1216,"yyyy-mm")</f>
        <v/>
      </c>
      <c r="O1216" s="50">
        <f>G1216*J1216</f>
        <v/>
      </c>
      <c r="P1216" s="50">
        <f>(J1216-M1216)*G1216</f>
        <v/>
      </c>
      <c r="Q1216" s="51">
        <f>IF(K1216="Received",1,0)</f>
        <v/>
      </c>
      <c r="R1216" s="51">
        <f>IF(Q1216=1,F1216-D1216,0)</f>
        <v/>
      </c>
      <c r="S1216" s="51">
        <f>IF(Q1216=1,IF(F1216&lt;=E1216,1,0),0)</f>
        <v/>
      </c>
      <c r="T1216" s="51">
        <f>IF(Q1216=1,IF(H1216&gt;=G1216,1,0),0)</f>
        <v/>
      </c>
      <c r="U1216" s="51">
        <f>S1216*T1216</f>
        <v/>
      </c>
      <c r="V1216" s="51">
        <f>IF(Q1216=1,MAX(0,F1216-E1216),0)</f>
        <v/>
      </c>
    </row>
    <row r="1217">
      <c r="A1217" s="43" t="inlineStr">
        <is>
          <t>PO101632</t>
        </is>
      </c>
      <c r="B1217" s="43" t="inlineStr">
        <is>
          <t>CMD-0090</t>
        </is>
      </c>
      <c r="C1217" s="43" t="inlineStr">
        <is>
          <t>S01</t>
        </is>
      </c>
      <c r="D1217" s="47" t="n">
        <v>46005</v>
      </c>
      <c r="E1217" s="47" t="n">
        <v>46019</v>
      </c>
      <c r="F1217" s="47" t="n">
        <v>46018</v>
      </c>
      <c r="G1217" s="46" t="n">
        <v>3737</v>
      </c>
      <c r="H1217" s="46" t="n">
        <v>3737</v>
      </c>
      <c r="I1217" s="46" t="n">
        <v>11</v>
      </c>
      <c r="J1217" s="44" t="n">
        <v>6.99</v>
      </c>
      <c r="K1217" s="43" t="inlineStr">
        <is>
          <t>Received</t>
        </is>
      </c>
      <c r="L1217" s="17">
        <f>INDEX(Items!$C$2:$C$117,MATCH(B1217,Items!$A$2:$A$117,0))</f>
        <v/>
      </c>
      <c r="M1217" s="49">
        <f>INDEX(Items!$E$2:$E$117,MATCH(B1217,Items!$A$2:$A$117,0))</f>
        <v/>
      </c>
      <c r="N1217" s="17">
        <f>TEXT(D1217,"yyyy-mm")</f>
        <v/>
      </c>
      <c r="O1217" s="50">
        <f>G1217*J1217</f>
        <v/>
      </c>
      <c r="P1217" s="50">
        <f>(J1217-M1217)*G1217</f>
        <v/>
      </c>
      <c r="Q1217" s="51">
        <f>IF(K1217="Received",1,0)</f>
        <v/>
      </c>
      <c r="R1217" s="51">
        <f>IF(Q1217=1,F1217-D1217,0)</f>
        <v/>
      </c>
      <c r="S1217" s="51">
        <f>IF(Q1217=1,IF(F1217&lt;=E1217,1,0),0)</f>
        <v/>
      </c>
      <c r="T1217" s="51">
        <f>IF(Q1217=1,IF(H1217&gt;=G1217,1,0),0)</f>
        <v/>
      </c>
      <c r="U1217" s="51">
        <f>S1217*T1217</f>
        <v/>
      </c>
      <c r="V1217" s="51">
        <f>IF(Q1217=1,MAX(0,F1217-E1217),0)</f>
        <v/>
      </c>
    </row>
    <row r="1218">
      <c r="A1218" s="43" t="inlineStr">
        <is>
          <t>PO100996</t>
        </is>
      </c>
      <c r="B1218" s="43" t="inlineStr">
        <is>
          <t>CMD-0045</t>
        </is>
      </c>
      <c r="C1218" s="43" t="inlineStr">
        <is>
          <t>S05</t>
        </is>
      </c>
      <c r="D1218" s="47" t="n">
        <v>46005</v>
      </c>
      <c r="E1218" s="47" t="n">
        <v>46110</v>
      </c>
      <c r="F1218" s="47" t="n">
        <v>46109</v>
      </c>
      <c r="G1218" s="46" t="n">
        <v>4168</v>
      </c>
      <c r="H1218" s="46" t="n">
        <v>4168</v>
      </c>
      <c r="I1218" s="46" t="n">
        <v>96</v>
      </c>
      <c r="J1218" s="44" t="n">
        <v>8.99</v>
      </c>
      <c r="K1218" s="43" t="inlineStr">
        <is>
          <t>Received</t>
        </is>
      </c>
      <c r="L1218" s="17">
        <f>INDEX(Items!$C$2:$C$117,MATCH(B1218,Items!$A$2:$A$117,0))</f>
        <v/>
      </c>
      <c r="M1218" s="49">
        <f>INDEX(Items!$E$2:$E$117,MATCH(B1218,Items!$A$2:$A$117,0))</f>
        <v/>
      </c>
      <c r="N1218" s="17">
        <f>TEXT(D1218,"yyyy-mm")</f>
        <v/>
      </c>
      <c r="O1218" s="50">
        <f>G1218*J1218</f>
        <v/>
      </c>
      <c r="P1218" s="50">
        <f>(J1218-M1218)*G1218</f>
        <v/>
      </c>
      <c r="Q1218" s="51">
        <f>IF(K1218="Received",1,0)</f>
        <v/>
      </c>
      <c r="R1218" s="51">
        <f>IF(Q1218=1,F1218-D1218,0)</f>
        <v/>
      </c>
      <c r="S1218" s="51">
        <f>IF(Q1218=1,IF(F1218&lt;=E1218,1,0),0)</f>
        <v/>
      </c>
      <c r="T1218" s="51">
        <f>IF(Q1218=1,IF(H1218&gt;=G1218,1,0),0)</f>
        <v/>
      </c>
      <c r="U1218" s="51">
        <f>S1218*T1218</f>
        <v/>
      </c>
      <c r="V1218" s="51">
        <f>IF(Q1218=1,MAX(0,F1218-E1218),0)</f>
        <v/>
      </c>
    </row>
    <row r="1219">
      <c r="A1219" s="43" t="inlineStr">
        <is>
          <t>PO100808</t>
        </is>
      </c>
      <c r="B1219" s="43" t="inlineStr">
        <is>
          <t>CMD-0036</t>
        </is>
      </c>
      <c r="C1219" s="43" t="inlineStr">
        <is>
          <t>S04</t>
        </is>
      </c>
      <c r="D1219" s="47" t="n">
        <v>46005</v>
      </c>
      <c r="E1219" s="47" t="n">
        <v>46047</v>
      </c>
      <c r="F1219" s="47" t="n">
        <v>46045</v>
      </c>
      <c r="G1219" s="46" t="n">
        <v>531</v>
      </c>
      <c r="H1219" s="46" t="n">
        <v>531</v>
      </c>
      <c r="I1219" s="46" t="n">
        <v>7</v>
      </c>
      <c r="J1219" s="44" t="n">
        <v>12.36</v>
      </c>
      <c r="K1219" s="43" t="inlineStr">
        <is>
          <t>Received</t>
        </is>
      </c>
      <c r="L1219" s="17">
        <f>INDEX(Items!$C$2:$C$117,MATCH(B1219,Items!$A$2:$A$117,0))</f>
        <v/>
      </c>
      <c r="M1219" s="49">
        <f>INDEX(Items!$E$2:$E$117,MATCH(B1219,Items!$A$2:$A$117,0))</f>
        <v/>
      </c>
      <c r="N1219" s="17">
        <f>TEXT(D1219,"yyyy-mm")</f>
        <v/>
      </c>
      <c r="O1219" s="50">
        <f>G1219*J1219</f>
        <v/>
      </c>
      <c r="P1219" s="50">
        <f>(J1219-M1219)*G1219</f>
        <v/>
      </c>
      <c r="Q1219" s="51">
        <f>IF(K1219="Received",1,0)</f>
        <v/>
      </c>
      <c r="R1219" s="51">
        <f>IF(Q1219=1,F1219-D1219,0)</f>
        <v/>
      </c>
      <c r="S1219" s="51">
        <f>IF(Q1219=1,IF(F1219&lt;=E1219,1,0),0)</f>
        <v/>
      </c>
      <c r="T1219" s="51">
        <f>IF(Q1219=1,IF(H1219&gt;=G1219,1,0),0)</f>
        <v/>
      </c>
      <c r="U1219" s="51">
        <f>S1219*T1219</f>
        <v/>
      </c>
      <c r="V1219" s="51">
        <f>IF(Q1219=1,MAX(0,F1219-E1219),0)</f>
        <v/>
      </c>
    </row>
    <row r="1220">
      <c r="A1220" s="43" t="inlineStr">
        <is>
          <t>PO101834</t>
        </is>
      </c>
      <c r="B1220" s="43" t="inlineStr">
        <is>
          <t>CMD-0100</t>
        </is>
      </c>
      <c r="C1220" s="43" t="inlineStr">
        <is>
          <t>S09</t>
        </is>
      </c>
      <c r="D1220" s="47" t="n">
        <v>46006</v>
      </c>
      <c r="E1220" s="47" t="n">
        <v>46027</v>
      </c>
      <c r="F1220" s="47" t="n">
        <v>46026</v>
      </c>
      <c r="G1220" s="46" t="n">
        <v>6858</v>
      </c>
      <c r="H1220" s="46" t="n">
        <v>6858</v>
      </c>
      <c r="I1220" s="46" t="n">
        <v>19</v>
      </c>
      <c r="J1220" s="44" t="n">
        <v>4.94</v>
      </c>
      <c r="K1220" s="43" t="inlineStr">
        <is>
          <t>Received</t>
        </is>
      </c>
      <c r="L1220" s="17">
        <f>INDEX(Items!$C$2:$C$117,MATCH(B1220,Items!$A$2:$A$117,0))</f>
        <v/>
      </c>
      <c r="M1220" s="49">
        <f>INDEX(Items!$E$2:$E$117,MATCH(B1220,Items!$A$2:$A$117,0))</f>
        <v/>
      </c>
      <c r="N1220" s="17">
        <f>TEXT(D1220,"yyyy-mm")</f>
        <v/>
      </c>
      <c r="O1220" s="50">
        <f>G1220*J1220</f>
        <v/>
      </c>
      <c r="P1220" s="50">
        <f>(J1220-M1220)*G1220</f>
        <v/>
      </c>
      <c r="Q1220" s="51">
        <f>IF(K1220="Received",1,0)</f>
        <v/>
      </c>
      <c r="R1220" s="51">
        <f>IF(Q1220=1,F1220-D1220,0)</f>
        <v/>
      </c>
      <c r="S1220" s="51">
        <f>IF(Q1220=1,IF(F1220&lt;=E1220,1,0),0)</f>
        <v/>
      </c>
      <c r="T1220" s="51">
        <f>IF(Q1220=1,IF(H1220&gt;=G1220,1,0),0)</f>
        <v/>
      </c>
      <c r="U1220" s="51">
        <f>S1220*T1220</f>
        <v/>
      </c>
      <c r="V1220" s="51">
        <f>IF(Q1220=1,MAX(0,F1220-E1220),0)</f>
        <v/>
      </c>
    </row>
    <row r="1221">
      <c r="A1221" s="43" t="inlineStr">
        <is>
          <t>PO101858</t>
        </is>
      </c>
      <c r="B1221" s="43" t="inlineStr">
        <is>
          <t>CMD-0101</t>
        </is>
      </c>
      <c r="C1221" s="43" t="inlineStr">
        <is>
          <t>S09</t>
        </is>
      </c>
      <c r="D1221" s="47" t="n">
        <v>46006</v>
      </c>
      <c r="E1221" s="47" t="n">
        <v>46027</v>
      </c>
      <c r="F1221" s="47" t="n">
        <v>46025</v>
      </c>
      <c r="G1221" s="46" t="n">
        <v>3514</v>
      </c>
      <c r="H1221" s="46" t="n">
        <v>3514</v>
      </c>
      <c r="I1221" s="46" t="n">
        <v>12</v>
      </c>
      <c r="J1221" s="44" t="n">
        <v>3.7</v>
      </c>
      <c r="K1221" s="43" t="inlineStr">
        <is>
          <t>Received</t>
        </is>
      </c>
      <c r="L1221" s="17">
        <f>INDEX(Items!$C$2:$C$117,MATCH(B1221,Items!$A$2:$A$117,0))</f>
        <v/>
      </c>
      <c r="M1221" s="49">
        <f>INDEX(Items!$E$2:$E$117,MATCH(B1221,Items!$A$2:$A$117,0))</f>
        <v/>
      </c>
      <c r="N1221" s="17">
        <f>TEXT(D1221,"yyyy-mm")</f>
        <v/>
      </c>
      <c r="O1221" s="50">
        <f>G1221*J1221</f>
        <v/>
      </c>
      <c r="P1221" s="50">
        <f>(J1221-M1221)*G1221</f>
        <v/>
      </c>
      <c r="Q1221" s="51">
        <f>IF(K1221="Received",1,0)</f>
        <v/>
      </c>
      <c r="R1221" s="51">
        <f>IF(Q1221=1,F1221-D1221,0)</f>
        <v/>
      </c>
      <c r="S1221" s="51">
        <f>IF(Q1221=1,IF(F1221&lt;=E1221,1,0),0)</f>
        <v/>
      </c>
      <c r="T1221" s="51">
        <f>IF(Q1221=1,IF(H1221&gt;=G1221,1,0),0)</f>
        <v/>
      </c>
      <c r="U1221" s="51">
        <f>S1221*T1221</f>
        <v/>
      </c>
      <c r="V1221" s="51">
        <f>IF(Q1221=1,MAX(0,F1221-E1221),0)</f>
        <v/>
      </c>
    </row>
    <row r="1222">
      <c r="A1222" s="43" t="inlineStr">
        <is>
          <t>PO100444</t>
        </is>
      </c>
      <c r="B1222" s="43" t="inlineStr">
        <is>
          <t>CMD-0020</t>
        </is>
      </c>
      <c r="C1222" s="43" t="inlineStr">
        <is>
          <t>S04</t>
        </is>
      </c>
      <c r="D1222" s="47" t="n">
        <v>46006</v>
      </c>
      <c r="E1222" s="47" t="n">
        <v>46076</v>
      </c>
      <c r="F1222" s="47" t="n">
        <v>46074</v>
      </c>
      <c r="G1222" s="46" t="n">
        <v>3042</v>
      </c>
      <c r="H1222" s="46" t="n">
        <v>3042</v>
      </c>
      <c r="I1222" s="46" t="n">
        <v>39</v>
      </c>
      <c r="J1222" s="44" t="n">
        <v>5.03</v>
      </c>
      <c r="K1222" s="43" t="inlineStr">
        <is>
          <t>Received</t>
        </is>
      </c>
      <c r="L1222" s="17">
        <f>INDEX(Items!$C$2:$C$117,MATCH(B1222,Items!$A$2:$A$117,0))</f>
        <v/>
      </c>
      <c r="M1222" s="49">
        <f>INDEX(Items!$E$2:$E$117,MATCH(B1222,Items!$A$2:$A$117,0))</f>
        <v/>
      </c>
      <c r="N1222" s="17">
        <f>TEXT(D1222,"yyyy-mm")</f>
        <v/>
      </c>
      <c r="O1222" s="50">
        <f>G1222*J1222</f>
        <v/>
      </c>
      <c r="P1222" s="50">
        <f>(J1222-M1222)*G1222</f>
        <v/>
      </c>
      <c r="Q1222" s="51">
        <f>IF(K1222="Received",1,0)</f>
        <v/>
      </c>
      <c r="R1222" s="51">
        <f>IF(Q1222=1,F1222-D1222,0)</f>
        <v/>
      </c>
      <c r="S1222" s="51">
        <f>IF(Q1222=1,IF(F1222&lt;=E1222,1,0),0)</f>
        <v/>
      </c>
      <c r="T1222" s="51">
        <f>IF(Q1222=1,IF(H1222&gt;=G1222,1,0),0)</f>
        <v/>
      </c>
      <c r="U1222" s="51">
        <f>S1222*T1222</f>
        <v/>
      </c>
      <c r="V1222" s="51">
        <f>IF(Q1222=1,MAX(0,F1222-E1222),0)</f>
        <v/>
      </c>
    </row>
    <row r="1223">
      <c r="A1223" s="43" t="inlineStr">
        <is>
          <t>PO101066</t>
        </is>
      </c>
      <c r="B1223" s="43" t="inlineStr">
        <is>
          <t>CMD-0048</t>
        </is>
      </c>
      <c r="C1223" s="43" t="inlineStr">
        <is>
          <t>S10</t>
        </is>
      </c>
      <c r="D1223" s="47" t="n">
        <v>46006</v>
      </c>
      <c r="E1223" s="47" t="n">
        <v>46034</v>
      </c>
      <c r="F1223" s="47" t="n">
        <v>46032</v>
      </c>
      <c r="G1223" s="46" t="n">
        <v>19815</v>
      </c>
      <c r="H1223" s="46" t="n">
        <v>19815</v>
      </c>
      <c r="I1223" s="46" t="n">
        <v>21</v>
      </c>
      <c r="J1223" s="44" t="n">
        <v>0.3231</v>
      </c>
      <c r="K1223" s="43" t="inlineStr">
        <is>
          <t>Received</t>
        </is>
      </c>
      <c r="L1223" s="17">
        <f>INDEX(Items!$C$2:$C$117,MATCH(B1223,Items!$A$2:$A$117,0))</f>
        <v/>
      </c>
      <c r="M1223" s="49">
        <f>INDEX(Items!$E$2:$E$117,MATCH(B1223,Items!$A$2:$A$117,0))</f>
        <v/>
      </c>
      <c r="N1223" s="17">
        <f>TEXT(D1223,"yyyy-mm")</f>
        <v/>
      </c>
      <c r="O1223" s="50">
        <f>G1223*J1223</f>
        <v/>
      </c>
      <c r="P1223" s="50">
        <f>(J1223-M1223)*G1223</f>
        <v/>
      </c>
      <c r="Q1223" s="51">
        <f>IF(K1223="Received",1,0)</f>
        <v/>
      </c>
      <c r="R1223" s="51">
        <f>IF(Q1223=1,F1223-D1223,0)</f>
        <v/>
      </c>
      <c r="S1223" s="51">
        <f>IF(Q1223=1,IF(F1223&lt;=E1223,1,0),0)</f>
        <v/>
      </c>
      <c r="T1223" s="51">
        <f>IF(Q1223=1,IF(H1223&gt;=G1223,1,0),0)</f>
        <v/>
      </c>
      <c r="U1223" s="51">
        <f>S1223*T1223</f>
        <v/>
      </c>
      <c r="V1223" s="51">
        <f>IF(Q1223=1,MAX(0,F1223-E1223),0)</f>
        <v/>
      </c>
    </row>
    <row r="1224">
      <c r="A1224" s="43" t="inlineStr">
        <is>
          <t>PO100510</t>
        </is>
      </c>
      <c r="B1224" s="43" t="inlineStr">
        <is>
          <t>CMD-0023</t>
        </is>
      </c>
      <c r="C1224" s="43" t="inlineStr">
        <is>
          <t>S04</t>
        </is>
      </c>
      <c r="D1224" s="47" t="n">
        <v>46006</v>
      </c>
      <c r="E1224" s="47" t="n">
        <v>46076</v>
      </c>
      <c r="F1224" s="47" t="n">
        <v>46082</v>
      </c>
      <c r="G1224" s="46" t="n">
        <v>4783</v>
      </c>
      <c r="H1224" s="46" t="n">
        <v>4783</v>
      </c>
      <c r="I1224" s="46" t="n">
        <v>50</v>
      </c>
      <c r="J1224" s="44" t="n">
        <v>8.800000000000001</v>
      </c>
      <c r="K1224" s="43" t="inlineStr">
        <is>
          <t>Received</t>
        </is>
      </c>
      <c r="L1224" s="17">
        <f>INDEX(Items!$C$2:$C$117,MATCH(B1224,Items!$A$2:$A$117,0))</f>
        <v/>
      </c>
      <c r="M1224" s="49">
        <f>INDEX(Items!$E$2:$E$117,MATCH(B1224,Items!$A$2:$A$117,0))</f>
        <v/>
      </c>
      <c r="N1224" s="17">
        <f>TEXT(D1224,"yyyy-mm")</f>
        <v/>
      </c>
      <c r="O1224" s="50">
        <f>G1224*J1224</f>
        <v/>
      </c>
      <c r="P1224" s="50">
        <f>(J1224-M1224)*G1224</f>
        <v/>
      </c>
      <c r="Q1224" s="51">
        <f>IF(K1224="Received",1,0)</f>
        <v/>
      </c>
      <c r="R1224" s="51">
        <f>IF(Q1224=1,F1224-D1224,0)</f>
        <v/>
      </c>
      <c r="S1224" s="51">
        <f>IF(Q1224=1,IF(F1224&lt;=E1224,1,0),0)</f>
        <v/>
      </c>
      <c r="T1224" s="51">
        <f>IF(Q1224=1,IF(H1224&gt;=G1224,1,0),0)</f>
        <v/>
      </c>
      <c r="U1224" s="51">
        <f>S1224*T1224</f>
        <v/>
      </c>
      <c r="V1224" s="51">
        <f>IF(Q1224=1,MAX(0,F1224-E1224),0)</f>
        <v/>
      </c>
    </row>
    <row r="1225">
      <c r="A1225" s="43" t="inlineStr">
        <is>
          <t>PO101172</t>
        </is>
      </c>
      <c r="B1225" s="43" t="inlineStr">
        <is>
          <t>CMD-0054</t>
        </is>
      </c>
      <c r="C1225" s="43" t="inlineStr">
        <is>
          <t>S10</t>
        </is>
      </c>
      <c r="D1225" s="47" t="n">
        <v>46006</v>
      </c>
      <c r="E1225" s="47" t="n">
        <v>46034</v>
      </c>
      <c r="F1225" s="47" t="n">
        <v>46032</v>
      </c>
      <c r="G1225" s="46" t="n">
        <v>54162</v>
      </c>
      <c r="H1225" s="46" t="n">
        <v>54162</v>
      </c>
      <c r="I1225" s="46" t="n">
        <v>72</v>
      </c>
      <c r="J1225" s="44" t="n">
        <v>0.1687</v>
      </c>
      <c r="K1225" s="43" t="inlineStr">
        <is>
          <t>Received</t>
        </is>
      </c>
      <c r="L1225" s="17">
        <f>INDEX(Items!$C$2:$C$117,MATCH(B1225,Items!$A$2:$A$117,0))</f>
        <v/>
      </c>
      <c r="M1225" s="49">
        <f>INDEX(Items!$E$2:$E$117,MATCH(B1225,Items!$A$2:$A$117,0))</f>
        <v/>
      </c>
      <c r="N1225" s="17">
        <f>TEXT(D1225,"yyyy-mm")</f>
        <v/>
      </c>
      <c r="O1225" s="50">
        <f>G1225*J1225</f>
        <v/>
      </c>
      <c r="P1225" s="50">
        <f>(J1225-M1225)*G1225</f>
        <v/>
      </c>
      <c r="Q1225" s="51">
        <f>IF(K1225="Received",1,0)</f>
        <v/>
      </c>
      <c r="R1225" s="51">
        <f>IF(Q1225=1,F1225-D1225,0)</f>
        <v/>
      </c>
      <c r="S1225" s="51">
        <f>IF(Q1225=1,IF(F1225&lt;=E1225,1,0),0)</f>
        <v/>
      </c>
      <c r="T1225" s="51">
        <f>IF(Q1225=1,IF(H1225&gt;=G1225,1,0),0)</f>
        <v/>
      </c>
      <c r="U1225" s="51">
        <f>S1225*T1225</f>
        <v/>
      </c>
      <c r="V1225" s="51">
        <f>IF(Q1225=1,MAX(0,F1225-E1225),0)</f>
        <v/>
      </c>
    </row>
    <row r="1226">
      <c r="A1226" s="43" t="inlineStr">
        <is>
          <t>PO101680</t>
        </is>
      </c>
      <c r="B1226" s="43" t="inlineStr">
        <is>
          <t>CMD-0092</t>
        </is>
      </c>
      <c r="C1226" s="43" t="inlineStr">
        <is>
          <t>S08</t>
        </is>
      </c>
      <c r="D1226" s="47" t="n">
        <v>46006</v>
      </c>
      <c r="E1226" s="47" t="n">
        <v>46083</v>
      </c>
      <c r="F1226" s="47" t="n">
        <v>46090</v>
      </c>
      <c r="G1226" s="46" t="n">
        <v>388</v>
      </c>
      <c r="H1226" s="46" t="n">
        <v>388</v>
      </c>
      <c r="I1226" s="46" t="n">
        <v>1</v>
      </c>
      <c r="J1226" s="44" t="n">
        <v>29.47</v>
      </c>
      <c r="K1226" s="43" t="inlineStr">
        <is>
          <t>Received</t>
        </is>
      </c>
      <c r="L1226" s="17">
        <f>INDEX(Items!$C$2:$C$117,MATCH(B1226,Items!$A$2:$A$117,0))</f>
        <v/>
      </c>
      <c r="M1226" s="49">
        <f>INDEX(Items!$E$2:$E$117,MATCH(B1226,Items!$A$2:$A$117,0))</f>
        <v/>
      </c>
      <c r="N1226" s="17">
        <f>TEXT(D1226,"yyyy-mm")</f>
        <v/>
      </c>
      <c r="O1226" s="50">
        <f>G1226*J1226</f>
        <v/>
      </c>
      <c r="P1226" s="50">
        <f>(J1226-M1226)*G1226</f>
        <v/>
      </c>
      <c r="Q1226" s="51">
        <f>IF(K1226="Received",1,0)</f>
        <v/>
      </c>
      <c r="R1226" s="51">
        <f>IF(Q1226=1,F1226-D1226,0)</f>
        <v/>
      </c>
      <c r="S1226" s="51">
        <f>IF(Q1226=1,IF(F1226&lt;=E1226,1,0),0)</f>
        <v/>
      </c>
      <c r="T1226" s="51">
        <f>IF(Q1226=1,IF(H1226&gt;=G1226,1,0),0)</f>
        <v/>
      </c>
      <c r="U1226" s="51">
        <f>S1226*T1226</f>
        <v/>
      </c>
      <c r="V1226" s="51">
        <f>IF(Q1226=1,MAX(0,F1226-E1226),0)</f>
        <v/>
      </c>
    </row>
    <row r="1227">
      <c r="A1227" s="43" t="inlineStr">
        <is>
          <t>PO100014</t>
        </is>
      </c>
      <c r="B1227" s="43" t="inlineStr">
        <is>
          <t>CMD-0001</t>
        </is>
      </c>
      <c r="C1227" s="43" t="inlineStr">
        <is>
          <t>S07</t>
        </is>
      </c>
      <c r="D1227" s="47" t="n">
        <v>46006</v>
      </c>
      <c r="E1227" s="47" t="n">
        <v>46097</v>
      </c>
      <c r="F1227" s="47" t="n">
        <v>46094</v>
      </c>
      <c r="G1227" s="46" t="n">
        <v>6823</v>
      </c>
      <c r="H1227" s="46" t="n">
        <v>6823</v>
      </c>
      <c r="I1227" s="46" t="n">
        <v>62</v>
      </c>
      <c r="J1227" s="44" t="n">
        <v>16.8268</v>
      </c>
      <c r="K1227" s="43" t="inlineStr">
        <is>
          <t>Received</t>
        </is>
      </c>
      <c r="L1227" s="17">
        <f>INDEX(Items!$C$2:$C$117,MATCH(B1227,Items!$A$2:$A$117,0))</f>
        <v/>
      </c>
      <c r="M1227" s="49">
        <f>INDEX(Items!$E$2:$E$117,MATCH(B1227,Items!$A$2:$A$117,0))</f>
        <v/>
      </c>
      <c r="N1227" s="17">
        <f>TEXT(D1227,"yyyy-mm")</f>
        <v/>
      </c>
      <c r="O1227" s="50">
        <f>G1227*J1227</f>
        <v/>
      </c>
      <c r="P1227" s="50">
        <f>(J1227-M1227)*G1227</f>
        <v/>
      </c>
      <c r="Q1227" s="51">
        <f>IF(K1227="Received",1,0)</f>
        <v/>
      </c>
      <c r="R1227" s="51">
        <f>IF(Q1227=1,F1227-D1227,0)</f>
        <v/>
      </c>
      <c r="S1227" s="51">
        <f>IF(Q1227=1,IF(F1227&lt;=E1227,1,0),0)</f>
        <v/>
      </c>
      <c r="T1227" s="51">
        <f>IF(Q1227=1,IF(H1227&gt;=G1227,1,0),0)</f>
        <v/>
      </c>
      <c r="U1227" s="51">
        <f>S1227*T1227</f>
        <v/>
      </c>
      <c r="V1227" s="51">
        <f>IF(Q1227=1,MAX(0,F1227-E1227),0)</f>
        <v/>
      </c>
    </row>
    <row r="1228">
      <c r="A1228" s="43" t="inlineStr">
        <is>
          <t>PO101196</t>
        </is>
      </c>
      <c r="B1228" s="43" t="inlineStr">
        <is>
          <t>CMD-0055</t>
        </is>
      </c>
      <c r="C1228" s="43" t="inlineStr">
        <is>
          <t>S04</t>
        </is>
      </c>
      <c r="D1228" s="47" t="n">
        <v>46007</v>
      </c>
      <c r="E1228" s="47" t="n">
        <v>46042</v>
      </c>
      <c r="F1228" s="47" t="n">
        <v>46042</v>
      </c>
      <c r="G1228" s="46" t="n">
        <v>109921</v>
      </c>
      <c r="H1228" s="46" t="n">
        <v>109921</v>
      </c>
      <c r="I1228" s="46" t="n">
        <v>1085</v>
      </c>
      <c r="J1228" s="44" t="n">
        <v>0.09379999999999999</v>
      </c>
      <c r="K1228" s="43" t="inlineStr">
        <is>
          <t>Received</t>
        </is>
      </c>
      <c r="L1228" s="17">
        <f>INDEX(Items!$C$2:$C$117,MATCH(B1228,Items!$A$2:$A$117,0))</f>
        <v/>
      </c>
      <c r="M1228" s="49">
        <f>INDEX(Items!$E$2:$E$117,MATCH(B1228,Items!$A$2:$A$117,0))</f>
        <v/>
      </c>
      <c r="N1228" s="17">
        <f>TEXT(D1228,"yyyy-mm")</f>
        <v/>
      </c>
      <c r="O1228" s="50">
        <f>G1228*J1228</f>
        <v/>
      </c>
      <c r="P1228" s="50">
        <f>(J1228-M1228)*G1228</f>
        <v/>
      </c>
      <c r="Q1228" s="51">
        <f>IF(K1228="Received",1,0)</f>
        <v/>
      </c>
      <c r="R1228" s="51">
        <f>IF(Q1228=1,F1228-D1228,0)</f>
        <v/>
      </c>
      <c r="S1228" s="51">
        <f>IF(Q1228=1,IF(F1228&lt;=E1228,1,0),0)</f>
        <v/>
      </c>
      <c r="T1228" s="51">
        <f>IF(Q1228=1,IF(H1228&gt;=G1228,1,0),0)</f>
        <v/>
      </c>
      <c r="U1228" s="51">
        <f>S1228*T1228</f>
        <v/>
      </c>
      <c r="V1228" s="51">
        <f>IF(Q1228=1,MAX(0,F1228-E1228),0)</f>
        <v/>
      </c>
    </row>
    <row r="1229">
      <c r="A1229" s="43" t="inlineStr">
        <is>
          <t>PO101946</t>
        </is>
      </c>
      <c r="B1229" s="43" t="inlineStr">
        <is>
          <t>CMD-0107</t>
        </is>
      </c>
      <c r="C1229" s="43" t="inlineStr">
        <is>
          <t>S09</t>
        </is>
      </c>
      <c r="D1229" s="47" t="n">
        <v>46007</v>
      </c>
      <c r="E1229" s="47" t="n">
        <v>46028</v>
      </c>
      <c r="F1229" s="47" t="n">
        <v>46026</v>
      </c>
      <c r="G1229" s="46" t="n">
        <v>1004</v>
      </c>
      <c r="H1229" s="46" t="n">
        <v>1004</v>
      </c>
      <c r="I1229" s="46" t="n">
        <v>3</v>
      </c>
      <c r="J1229" s="44" t="n">
        <v>6.95</v>
      </c>
      <c r="K1229" s="43" t="inlineStr">
        <is>
          <t>Received</t>
        </is>
      </c>
      <c r="L1229" s="17">
        <f>INDEX(Items!$C$2:$C$117,MATCH(B1229,Items!$A$2:$A$117,0))</f>
        <v/>
      </c>
      <c r="M1229" s="49">
        <f>INDEX(Items!$E$2:$E$117,MATCH(B1229,Items!$A$2:$A$117,0))</f>
        <v/>
      </c>
      <c r="N1229" s="17">
        <f>TEXT(D1229,"yyyy-mm")</f>
        <v/>
      </c>
      <c r="O1229" s="50">
        <f>G1229*J1229</f>
        <v/>
      </c>
      <c r="P1229" s="50">
        <f>(J1229-M1229)*G1229</f>
        <v/>
      </c>
      <c r="Q1229" s="51">
        <f>IF(K1229="Received",1,0)</f>
        <v/>
      </c>
      <c r="R1229" s="51">
        <f>IF(Q1229=1,F1229-D1229,0)</f>
        <v/>
      </c>
      <c r="S1229" s="51">
        <f>IF(Q1229=1,IF(F1229&lt;=E1229,1,0),0)</f>
        <v/>
      </c>
      <c r="T1229" s="51">
        <f>IF(Q1229=1,IF(H1229&gt;=G1229,1,0),0)</f>
        <v/>
      </c>
      <c r="U1229" s="51">
        <f>S1229*T1229</f>
        <v/>
      </c>
      <c r="V1229" s="51">
        <f>IF(Q1229=1,MAX(0,F1229-E1229),0)</f>
        <v/>
      </c>
    </row>
    <row r="1230">
      <c r="A1230" s="43" t="inlineStr">
        <is>
          <t>PO101882</t>
        </is>
      </c>
      <c r="B1230" s="43" t="inlineStr">
        <is>
          <t>CMD-0102</t>
        </is>
      </c>
      <c r="C1230" s="43" t="inlineStr">
        <is>
          <t>S09</t>
        </is>
      </c>
      <c r="D1230" s="47" t="n">
        <v>46007</v>
      </c>
      <c r="E1230" s="47" t="n">
        <v>46028</v>
      </c>
      <c r="F1230" s="47" t="n">
        <v>46027</v>
      </c>
      <c r="G1230" s="46" t="n">
        <v>2661</v>
      </c>
      <c r="H1230" s="46" t="n">
        <v>2661</v>
      </c>
      <c r="I1230" s="46" t="n">
        <v>8</v>
      </c>
      <c r="J1230" s="44" t="n">
        <v>6.71</v>
      </c>
      <c r="K1230" s="43" t="inlineStr">
        <is>
          <t>Received</t>
        </is>
      </c>
      <c r="L1230" s="17">
        <f>INDEX(Items!$C$2:$C$117,MATCH(B1230,Items!$A$2:$A$117,0))</f>
        <v/>
      </c>
      <c r="M1230" s="49">
        <f>INDEX(Items!$E$2:$E$117,MATCH(B1230,Items!$A$2:$A$117,0))</f>
        <v/>
      </c>
      <c r="N1230" s="17">
        <f>TEXT(D1230,"yyyy-mm")</f>
        <v/>
      </c>
      <c r="O1230" s="50">
        <f>G1230*J1230</f>
        <v/>
      </c>
      <c r="P1230" s="50">
        <f>(J1230-M1230)*G1230</f>
        <v/>
      </c>
      <c r="Q1230" s="51">
        <f>IF(K1230="Received",1,0)</f>
        <v/>
      </c>
      <c r="R1230" s="51">
        <f>IF(Q1230=1,F1230-D1230,0)</f>
        <v/>
      </c>
      <c r="S1230" s="51">
        <f>IF(Q1230=1,IF(F1230&lt;=E1230,1,0),0)</f>
        <v/>
      </c>
      <c r="T1230" s="51">
        <f>IF(Q1230=1,IF(H1230&gt;=G1230,1,0),0)</f>
        <v/>
      </c>
      <c r="U1230" s="51">
        <f>S1230*T1230</f>
        <v/>
      </c>
      <c r="V1230" s="51">
        <f>IF(Q1230=1,MAX(0,F1230-E1230),0)</f>
        <v/>
      </c>
    </row>
    <row r="1231">
      <c r="A1231" s="43" t="inlineStr">
        <is>
          <t>PO101546</t>
        </is>
      </c>
      <c r="B1231" s="43" t="inlineStr">
        <is>
          <t>CMD-0082</t>
        </is>
      </c>
      <c r="C1231" s="43" t="inlineStr">
        <is>
          <t>S01</t>
        </is>
      </c>
      <c r="D1231" s="47" t="n">
        <v>46007</v>
      </c>
      <c r="E1231" s="47" t="n">
        <v>46021</v>
      </c>
      <c r="F1231" s="47" t="n">
        <v>46019</v>
      </c>
      <c r="G1231" s="46" t="n">
        <v>8530</v>
      </c>
      <c r="H1231" s="46" t="n">
        <v>8530</v>
      </c>
      <c r="I1231" s="46" t="n">
        <v>12</v>
      </c>
      <c r="J1231" s="44" t="n">
        <v>2.32</v>
      </c>
      <c r="K1231" s="43" t="inlineStr">
        <is>
          <t>Received</t>
        </is>
      </c>
      <c r="L1231" s="17">
        <f>INDEX(Items!$C$2:$C$117,MATCH(B1231,Items!$A$2:$A$117,0))</f>
        <v/>
      </c>
      <c r="M1231" s="49">
        <f>INDEX(Items!$E$2:$E$117,MATCH(B1231,Items!$A$2:$A$117,0))</f>
        <v/>
      </c>
      <c r="N1231" s="17">
        <f>TEXT(D1231,"yyyy-mm")</f>
        <v/>
      </c>
      <c r="O1231" s="50">
        <f>G1231*J1231</f>
        <v/>
      </c>
      <c r="P1231" s="50">
        <f>(J1231-M1231)*G1231</f>
        <v/>
      </c>
      <c r="Q1231" s="51">
        <f>IF(K1231="Received",1,0)</f>
        <v/>
      </c>
      <c r="R1231" s="51">
        <f>IF(Q1231=1,F1231-D1231,0)</f>
        <v/>
      </c>
      <c r="S1231" s="51">
        <f>IF(Q1231=1,IF(F1231&lt;=E1231,1,0),0)</f>
        <v/>
      </c>
      <c r="T1231" s="51">
        <f>IF(Q1231=1,IF(H1231&gt;=G1231,1,0),0)</f>
        <v/>
      </c>
      <c r="U1231" s="51">
        <f>S1231*T1231</f>
        <v/>
      </c>
      <c r="V1231" s="51">
        <f>IF(Q1231=1,MAX(0,F1231-E1231),0)</f>
        <v/>
      </c>
    </row>
    <row r="1232">
      <c r="A1232" s="43" t="inlineStr">
        <is>
          <t>PO100948</t>
        </is>
      </c>
      <c r="B1232" s="43" t="inlineStr">
        <is>
          <t>CMD-0043</t>
        </is>
      </c>
      <c r="C1232" s="43" t="inlineStr">
        <is>
          <t>S05</t>
        </is>
      </c>
      <c r="D1232" s="47" t="n">
        <v>46007</v>
      </c>
      <c r="E1232" s="47" t="n">
        <v>46112</v>
      </c>
      <c r="F1232" s="47" t="n">
        <v>46109</v>
      </c>
      <c r="G1232" s="46" t="n">
        <v>7097</v>
      </c>
      <c r="H1232" s="46" t="n">
        <v>7097</v>
      </c>
      <c r="I1232" s="46" t="n">
        <v>131</v>
      </c>
      <c r="J1232" s="44" t="n">
        <v>3.69</v>
      </c>
      <c r="K1232" s="43" t="inlineStr">
        <is>
          <t>Received</t>
        </is>
      </c>
      <c r="L1232" s="17">
        <f>INDEX(Items!$C$2:$C$117,MATCH(B1232,Items!$A$2:$A$117,0))</f>
        <v/>
      </c>
      <c r="M1232" s="49">
        <f>INDEX(Items!$E$2:$E$117,MATCH(B1232,Items!$A$2:$A$117,0))</f>
        <v/>
      </c>
      <c r="N1232" s="17">
        <f>TEXT(D1232,"yyyy-mm")</f>
        <v/>
      </c>
      <c r="O1232" s="50">
        <f>G1232*J1232</f>
        <v/>
      </c>
      <c r="P1232" s="50">
        <f>(J1232-M1232)*G1232</f>
        <v/>
      </c>
      <c r="Q1232" s="51">
        <f>IF(K1232="Received",1,0)</f>
        <v/>
      </c>
      <c r="R1232" s="51">
        <f>IF(Q1232=1,F1232-D1232,0)</f>
        <v/>
      </c>
      <c r="S1232" s="51">
        <f>IF(Q1232=1,IF(F1232&lt;=E1232,1,0),0)</f>
        <v/>
      </c>
      <c r="T1232" s="51">
        <f>IF(Q1232=1,IF(H1232&gt;=G1232,1,0),0)</f>
        <v/>
      </c>
      <c r="U1232" s="51">
        <f>S1232*T1232</f>
        <v/>
      </c>
      <c r="V1232" s="51">
        <f>IF(Q1232=1,MAX(0,F1232-E1232),0)</f>
        <v/>
      </c>
    </row>
    <row r="1233">
      <c r="A1233" s="43" t="inlineStr">
        <is>
          <t>PO100330</t>
        </is>
      </c>
      <c r="B1233" s="43" t="inlineStr">
        <is>
          <t>CMD-0015</t>
        </is>
      </c>
      <c r="C1233" s="43" t="inlineStr">
        <is>
          <t>S03</t>
        </is>
      </c>
      <c r="D1233" s="47" t="n">
        <v>46007</v>
      </c>
      <c r="E1233" s="47" t="n">
        <v>46140</v>
      </c>
      <c r="F1233" s="47" t="n">
        <v>46140</v>
      </c>
      <c r="G1233" s="46" t="n">
        <v>3162</v>
      </c>
      <c r="H1233" s="46" t="n">
        <v>3162</v>
      </c>
      <c r="I1233" s="46" t="n">
        <v>15</v>
      </c>
      <c r="J1233" s="44" t="n">
        <v>6.6788</v>
      </c>
      <c r="K1233" s="43" t="inlineStr">
        <is>
          <t>Received</t>
        </is>
      </c>
      <c r="L1233" s="17">
        <f>INDEX(Items!$C$2:$C$117,MATCH(B1233,Items!$A$2:$A$117,0))</f>
        <v/>
      </c>
      <c r="M1233" s="49">
        <f>INDEX(Items!$E$2:$E$117,MATCH(B1233,Items!$A$2:$A$117,0))</f>
        <v/>
      </c>
      <c r="N1233" s="17">
        <f>TEXT(D1233,"yyyy-mm")</f>
        <v/>
      </c>
      <c r="O1233" s="50">
        <f>G1233*J1233</f>
        <v/>
      </c>
      <c r="P1233" s="50">
        <f>(J1233-M1233)*G1233</f>
        <v/>
      </c>
      <c r="Q1233" s="51">
        <f>IF(K1233="Received",1,0)</f>
        <v/>
      </c>
      <c r="R1233" s="51">
        <f>IF(Q1233=1,F1233-D1233,0)</f>
        <v/>
      </c>
      <c r="S1233" s="51">
        <f>IF(Q1233=1,IF(F1233&lt;=E1233,1,0),0)</f>
        <v/>
      </c>
      <c r="T1233" s="51">
        <f>IF(Q1233=1,IF(H1233&gt;=G1233,1,0),0)</f>
        <v/>
      </c>
      <c r="U1233" s="51">
        <f>S1233*T1233</f>
        <v/>
      </c>
      <c r="V1233" s="51">
        <f>IF(Q1233=1,MAX(0,F1233-E1233),0)</f>
        <v/>
      </c>
    </row>
    <row r="1234">
      <c r="A1234" s="43" t="inlineStr">
        <is>
          <t>PO101470</t>
        </is>
      </c>
      <c r="B1234" s="43" t="inlineStr">
        <is>
          <t>CMD-0078</t>
        </is>
      </c>
      <c r="C1234" s="43" t="inlineStr">
        <is>
          <t>S06</t>
        </is>
      </c>
      <c r="D1234" s="47" t="n">
        <v>46008</v>
      </c>
      <c r="E1234" s="47" t="n">
        <v>46029</v>
      </c>
      <c r="F1234" s="47" t="n">
        <v>46029</v>
      </c>
      <c r="G1234" s="46" t="n">
        <v>4654</v>
      </c>
      <c r="H1234" s="46" t="n">
        <v>4654</v>
      </c>
      <c r="I1234" s="46" t="n">
        <v>29</v>
      </c>
      <c r="J1234" s="44" t="n">
        <v>2.6</v>
      </c>
      <c r="K1234" s="43" t="inlineStr">
        <is>
          <t>Received</t>
        </is>
      </c>
      <c r="L1234" s="17">
        <f>INDEX(Items!$C$2:$C$117,MATCH(B1234,Items!$A$2:$A$117,0))</f>
        <v/>
      </c>
      <c r="M1234" s="49">
        <f>INDEX(Items!$E$2:$E$117,MATCH(B1234,Items!$A$2:$A$117,0))</f>
        <v/>
      </c>
      <c r="N1234" s="17">
        <f>TEXT(D1234,"yyyy-mm")</f>
        <v/>
      </c>
      <c r="O1234" s="50">
        <f>G1234*J1234</f>
        <v/>
      </c>
      <c r="P1234" s="50">
        <f>(J1234-M1234)*G1234</f>
        <v/>
      </c>
      <c r="Q1234" s="51">
        <f>IF(K1234="Received",1,0)</f>
        <v/>
      </c>
      <c r="R1234" s="51">
        <f>IF(Q1234=1,F1234-D1234,0)</f>
        <v/>
      </c>
      <c r="S1234" s="51">
        <f>IF(Q1234=1,IF(F1234&lt;=E1234,1,0),0)</f>
        <v/>
      </c>
      <c r="T1234" s="51">
        <f>IF(Q1234=1,IF(H1234&gt;=G1234,1,0),0)</f>
        <v/>
      </c>
      <c r="U1234" s="51">
        <f>S1234*T1234</f>
        <v/>
      </c>
      <c r="V1234" s="51">
        <f>IF(Q1234=1,MAX(0,F1234-E1234),0)</f>
        <v/>
      </c>
    </row>
    <row r="1235">
      <c r="A1235" s="43" t="inlineStr">
        <is>
          <t>PO100784</t>
        </is>
      </c>
      <c r="B1235" s="43" t="inlineStr">
        <is>
          <t>CMD-0035</t>
        </is>
      </c>
      <c r="C1235" s="43" t="inlineStr">
        <is>
          <t>S01</t>
        </is>
      </c>
      <c r="D1235" s="47" t="n">
        <v>46008</v>
      </c>
      <c r="E1235" s="47" t="n">
        <v>46036</v>
      </c>
      <c r="F1235" s="47" t="n">
        <v>46035</v>
      </c>
      <c r="G1235" s="46" t="n">
        <v>590</v>
      </c>
      <c r="H1235" s="46" t="n">
        <v>590</v>
      </c>
      <c r="I1235" s="46" t="n">
        <v>1</v>
      </c>
      <c r="J1235" s="44" t="n">
        <v>9.369999999999999</v>
      </c>
      <c r="K1235" s="43" t="inlineStr">
        <is>
          <t>Received</t>
        </is>
      </c>
      <c r="L1235" s="17">
        <f>INDEX(Items!$C$2:$C$117,MATCH(B1235,Items!$A$2:$A$117,0))</f>
        <v/>
      </c>
      <c r="M1235" s="49">
        <f>INDEX(Items!$E$2:$E$117,MATCH(B1235,Items!$A$2:$A$117,0))</f>
        <v/>
      </c>
      <c r="N1235" s="17">
        <f>TEXT(D1235,"yyyy-mm")</f>
        <v/>
      </c>
      <c r="O1235" s="50">
        <f>G1235*J1235</f>
        <v/>
      </c>
      <c r="P1235" s="50">
        <f>(J1235-M1235)*G1235</f>
        <v/>
      </c>
      <c r="Q1235" s="51">
        <f>IF(K1235="Received",1,0)</f>
        <v/>
      </c>
      <c r="R1235" s="51">
        <f>IF(Q1235=1,F1235-D1235,0)</f>
        <v/>
      </c>
      <c r="S1235" s="51">
        <f>IF(Q1235=1,IF(F1235&lt;=E1235,1,0),0)</f>
        <v/>
      </c>
      <c r="T1235" s="51">
        <f>IF(Q1235=1,IF(H1235&gt;=G1235,1,0),0)</f>
        <v/>
      </c>
      <c r="U1235" s="51">
        <f>S1235*T1235</f>
        <v/>
      </c>
      <c r="V1235" s="51">
        <f>IF(Q1235=1,MAX(0,F1235-E1235),0)</f>
        <v/>
      </c>
    </row>
    <row r="1236">
      <c r="A1236" s="43" t="inlineStr">
        <is>
          <t>PO100654</t>
        </is>
      </c>
      <c r="B1236" s="43" t="inlineStr">
        <is>
          <t>CMD-0029</t>
        </is>
      </c>
      <c r="C1236" s="43" t="inlineStr">
        <is>
          <t>S11</t>
        </is>
      </c>
      <c r="D1236" s="47" t="n">
        <v>46008</v>
      </c>
      <c r="E1236" s="47" t="n">
        <v>46085</v>
      </c>
      <c r="F1236" s="47" t="n">
        <v>46083</v>
      </c>
      <c r="G1236" s="46" t="n">
        <v>4297</v>
      </c>
      <c r="H1236" s="46" t="n">
        <v>4297</v>
      </c>
      <c r="I1236" s="46" t="n">
        <v>8</v>
      </c>
      <c r="J1236" s="44" t="n">
        <v>6.87</v>
      </c>
      <c r="K1236" s="43" t="inlineStr">
        <is>
          <t>Received</t>
        </is>
      </c>
      <c r="L1236" s="17">
        <f>INDEX(Items!$C$2:$C$117,MATCH(B1236,Items!$A$2:$A$117,0))</f>
        <v/>
      </c>
      <c r="M1236" s="49">
        <f>INDEX(Items!$E$2:$E$117,MATCH(B1236,Items!$A$2:$A$117,0))</f>
        <v/>
      </c>
      <c r="N1236" s="17">
        <f>TEXT(D1236,"yyyy-mm")</f>
        <v/>
      </c>
      <c r="O1236" s="50">
        <f>G1236*J1236</f>
        <v/>
      </c>
      <c r="P1236" s="50">
        <f>(J1236-M1236)*G1236</f>
        <v/>
      </c>
      <c r="Q1236" s="51">
        <f>IF(K1236="Received",1,0)</f>
        <v/>
      </c>
      <c r="R1236" s="51">
        <f>IF(Q1236=1,F1236-D1236,0)</f>
        <v/>
      </c>
      <c r="S1236" s="51">
        <f>IF(Q1236=1,IF(F1236&lt;=E1236,1,0),0)</f>
        <v/>
      </c>
      <c r="T1236" s="51">
        <f>IF(Q1236=1,IF(H1236&gt;=G1236,1,0),0)</f>
        <v/>
      </c>
      <c r="U1236" s="51">
        <f>S1236*T1236</f>
        <v/>
      </c>
      <c r="V1236" s="51">
        <f>IF(Q1236=1,MAX(0,F1236-E1236),0)</f>
        <v/>
      </c>
    </row>
    <row r="1237">
      <c r="A1237" s="43" t="inlineStr">
        <is>
          <t>PO100760</t>
        </is>
      </c>
      <c r="B1237" s="43" t="inlineStr">
        <is>
          <t>CMD-0034</t>
        </is>
      </c>
      <c r="C1237" s="43" t="inlineStr">
        <is>
          <t>S04</t>
        </is>
      </c>
      <c r="D1237" s="47" t="n">
        <v>46008</v>
      </c>
      <c r="E1237" s="47" t="n">
        <v>46050</v>
      </c>
      <c r="F1237" s="47" t="n">
        <v>46048</v>
      </c>
      <c r="G1237" s="46" t="n">
        <v>637</v>
      </c>
      <c r="H1237" s="46" t="n">
        <v>637</v>
      </c>
      <c r="I1237" s="46" t="n">
        <v>7</v>
      </c>
      <c r="J1237" s="44" t="n">
        <v>10.55</v>
      </c>
      <c r="K1237" s="43" t="inlineStr">
        <is>
          <t>Received</t>
        </is>
      </c>
      <c r="L1237" s="17">
        <f>INDEX(Items!$C$2:$C$117,MATCH(B1237,Items!$A$2:$A$117,0))</f>
        <v/>
      </c>
      <c r="M1237" s="49">
        <f>INDEX(Items!$E$2:$E$117,MATCH(B1237,Items!$A$2:$A$117,0))</f>
        <v/>
      </c>
      <c r="N1237" s="17">
        <f>TEXT(D1237,"yyyy-mm")</f>
        <v/>
      </c>
      <c r="O1237" s="50">
        <f>G1237*J1237</f>
        <v/>
      </c>
      <c r="P1237" s="50">
        <f>(J1237-M1237)*G1237</f>
        <v/>
      </c>
      <c r="Q1237" s="51">
        <f>IF(K1237="Received",1,0)</f>
        <v/>
      </c>
      <c r="R1237" s="51">
        <f>IF(Q1237=1,F1237-D1237,0)</f>
        <v/>
      </c>
      <c r="S1237" s="51">
        <f>IF(Q1237=1,IF(F1237&lt;=E1237,1,0),0)</f>
        <v/>
      </c>
      <c r="T1237" s="51">
        <f>IF(Q1237=1,IF(H1237&gt;=G1237,1,0),0)</f>
        <v/>
      </c>
      <c r="U1237" s="51">
        <f>S1237*T1237</f>
        <v/>
      </c>
      <c r="V1237" s="51">
        <f>IF(Q1237=1,MAX(0,F1237-E1237),0)</f>
        <v/>
      </c>
    </row>
    <row r="1238">
      <c r="A1238" s="43" t="inlineStr">
        <is>
          <t>PO100582</t>
        </is>
      </c>
      <c r="B1238" s="43" t="inlineStr">
        <is>
          <t>CMD-0026</t>
        </is>
      </c>
      <c r="C1238" s="43" t="inlineStr">
        <is>
          <t>S04</t>
        </is>
      </c>
      <c r="D1238" s="47" t="n">
        <v>46008</v>
      </c>
      <c r="E1238" s="47" t="n">
        <v>46078</v>
      </c>
      <c r="F1238" s="47" t="n">
        <v>46077</v>
      </c>
      <c r="G1238" s="46" t="n">
        <v>8848</v>
      </c>
      <c r="H1238" s="46" t="n">
        <v>8848</v>
      </c>
      <c r="I1238" s="46" t="n">
        <v>90</v>
      </c>
      <c r="J1238" s="44" t="n">
        <v>5.96</v>
      </c>
      <c r="K1238" s="43" t="inlineStr">
        <is>
          <t>Received</t>
        </is>
      </c>
      <c r="L1238" s="17">
        <f>INDEX(Items!$C$2:$C$117,MATCH(B1238,Items!$A$2:$A$117,0))</f>
        <v/>
      </c>
      <c r="M1238" s="49">
        <f>INDEX(Items!$E$2:$E$117,MATCH(B1238,Items!$A$2:$A$117,0))</f>
        <v/>
      </c>
      <c r="N1238" s="17">
        <f>TEXT(D1238,"yyyy-mm")</f>
        <v/>
      </c>
      <c r="O1238" s="50">
        <f>G1238*J1238</f>
        <v/>
      </c>
      <c r="P1238" s="50">
        <f>(J1238-M1238)*G1238</f>
        <v/>
      </c>
      <c r="Q1238" s="51">
        <f>IF(K1238="Received",1,0)</f>
        <v/>
      </c>
      <c r="R1238" s="51">
        <f>IF(Q1238=1,F1238-D1238,0)</f>
        <v/>
      </c>
      <c r="S1238" s="51">
        <f>IF(Q1238=1,IF(F1238&lt;=E1238,1,0),0)</f>
        <v/>
      </c>
      <c r="T1238" s="51">
        <f>IF(Q1238=1,IF(H1238&gt;=G1238,1,0),0)</f>
        <v/>
      </c>
      <c r="U1238" s="51">
        <f>S1238*T1238</f>
        <v/>
      </c>
      <c r="V1238" s="51">
        <f>IF(Q1238=1,MAX(0,F1238-E1238),0)</f>
        <v/>
      </c>
    </row>
    <row r="1239">
      <c r="A1239" s="43" t="inlineStr">
        <is>
          <t>PO101578</t>
        </is>
      </c>
      <c r="B1239" s="43" t="inlineStr">
        <is>
          <t>CMD-0085</t>
        </is>
      </c>
      <c r="C1239" s="43" t="inlineStr">
        <is>
          <t>S06</t>
        </is>
      </c>
      <c r="D1239" s="47" t="n">
        <v>46008</v>
      </c>
      <c r="E1239" s="47" t="n">
        <v>46029</v>
      </c>
      <c r="F1239" s="47" t="n">
        <v>46029</v>
      </c>
      <c r="G1239" s="46" t="n">
        <v>836</v>
      </c>
      <c r="H1239" s="46" t="n">
        <v>836</v>
      </c>
      <c r="I1239" s="46" t="n">
        <v>6</v>
      </c>
      <c r="J1239" s="44" t="n">
        <v>10.56</v>
      </c>
      <c r="K1239" s="43" t="inlineStr">
        <is>
          <t>Received</t>
        </is>
      </c>
      <c r="L1239" s="17">
        <f>INDEX(Items!$C$2:$C$117,MATCH(B1239,Items!$A$2:$A$117,0))</f>
        <v/>
      </c>
      <c r="M1239" s="49">
        <f>INDEX(Items!$E$2:$E$117,MATCH(B1239,Items!$A$2:$A$117,0))</f>
        <v/>
      </c>
      <c r="N1239" s="17">
        <f>TEXT(D1239,"yyyy-mm")</f>
        <v/>
      </c>
      <c r="O1239" s="50">
        <f>G1239*J1239</f>
        <v/>
      </c>
      <c r="P1239" s="50">
        <f>(J1239-M1239)*G1239</f>
        <v/>
      </c>
      <c r="Q1239" s="51">
        <f>IF(K1239="Received",1,0)</f>
        <v/>
      </c>
      <c r="R1239" s="51">
        <f>IF(Q1239=1,F1239-D1239,0)</f>
        <v/>
      </c>
      <c r="S1239" s="51">
        <f>IF(Q1239=1,IF(F1239&lt;=E1239,1,0),0)</f>
        <v/>
      </c>
      <c r="T1239" s="51">
        <f>IF(Q1239=1,IF(H1239&gt;=G1239,1,0),0)</f>
        <v/>
      </c>
      <c r="U1239" s="51">
        <f>S1239*T1239</f>
        <v/>
      </c>
      <c r="V1239" s="51">
        <f>IF(Q1239=1,MAX(0,F1239-E1239),0)</f>
        <v/>
      </c>
    </row>
    <row r="1240">
      <c r="A1240" s="43" t="inlineStr">
        <is>
          <t>PO101114</t>
        </is>
      </c>
      <c r="B1240" s="43" t="inlineStr">
        <is>
          <t>CMD-0051</t>
        </is>
      </c>
      <c r="C1240" s="43" t="inlineStr">
        <is>
          <t>S01</t>
        </is>
      </c>
      <c r="D1240" s="47" t="n">
        <v>46008</v>
      </c>
      <c r="E1240" s="47" t="n">
        <v>46029</v>
      </c>
      <c r="F1240" s="47" t="n">
        <v>46026</v>
      </c>
      <c r="G1240" s="46" t="n">
        <v>221516</v>
      </c>
      <c r="H1240" s="46" t="n">
        <v>221516</v>
      </c>
      <c r="I1240" s="46" t="n">
        <v>445</v>
      </c>
      <c r="J1240" s="44" t="n">
        <v>0.0236</v>
      </c>
      <c r="K1240" s="43" t="inlineStr">
        <is>
          <t>Received</t>
        </is>
      </c>
      <c r="L1240" s="17">
        <f>INDEX(Items!$C$2:$C$117,MATCH(B1240,Items!$A$2:$A$117,0))</f>
        <v/>
      </c>
      <c r="M1240" s="49">
        <f>INDEX(Items!$E$2:$E$117,MATCH(B1240,Items!$A$2:$A$117,0))</f>
        <v/>
      </c>
      <c r="N1240" s="17">
        <f>TEXT(D1240,"yyyy-mm")</f>
        <v/>
      </c>
      <c r="O1240" s="50">
        <f>G1240*J1240</f>
        <v/>
      </c>
      <c r="P1240" s="50">
        <f>(J1240-M1240)*G1240</f>
        <v/>
      </c>
      <c r="Q1240" s="51">
        <f>IF(K1240="Received",1,0)</f>
        <v/>
      </c>
      <c r="R1240" s="51">
        <f>IF(Q1240=1,F1240-D1240,0)</f>
        <v/>
      </c>
      <c r="S1240" s="51">
        <f>IF(Q1240=1,IF(F1240&lt;=E1240,1,0),0)</f>
        <v/>
      </c>
      <c r="T1240" s="51">
        <f>IF(Q1240=1,IF(H1240&gt;=G1240,1,0),0)</f>
        <v/>
      </c>
      <c r="U1240" s="51">
        <f>S1240*T1240</f>
        <v/>
      </c>
      <c r="V1240" s="51">
        <f>IF(Q1240=1,MAX(0,F1240-E1240),0)</f>
        <v/>
      </c>
    </row>
    <row r="1241">
      <c r="A1241" s="43" t="inlineStr">
        <is>
          <t>PO100402</t>
        </is>
      </c>
      <c r="B1241" s="43" t="inlineStr">
        <is>
          <t>CMD-0018</t>
        </is>
      </c>
      <c r="C1241" s="43" t="inlineStr">
        <is>
          <t>S02</t>
        </is>
      </c>
      <c r="D1241" s="47" t="n">
        <v>46008</v>
      </c>
      <c r="E1241" s="47" t="n">
        <v>46064</v>
      </c>
      <c r="F1241" s="47" t="n">
        <v>46061</v>
      </c>
      <c r="G1241" s="46" t="n">
        <v>7371</v>
      </c>
      <c r="H1241" s="46" t="n">
        <v>7371</v>
      </c>
      <c r="I1241" s="46" t="n">
        <v>32</v>
      </c>
      <c r="J1241" s="44" t="n">
        <v>37.92</v>
      </c>
      <c r="K1241" s="43" t="inlineStr">
        <is>
          <t>Received</t>
        </is>
      </c>
      <c r="L1241" s="17">
        <f>INDEX(Items!$C$2:$C$117,MATCH(B1241,Items!$A$2:$A$117,0))</f>
        <v/>
      </c>
      <c r="M1241" s="49">
        <f>INDEX(Items!$E$2:$E$117,MATCH(B1241,Items!$A$2:$A$117,0))</f>
        <v/>
      </c>
      <c r="N1241" s="17">
        <f>TEXT(D1241,"yyyy-mm")</f>
        <v/>
      </c>
      <c r="O1241" s="50">
        <f>G1241*J1241</f>
        <v/>
      </c>
      <c r="P1241" s="50">
        <f>(J1241-M1241)*G1241</f>
        <v/>
      </c>
      <c r="Q1241" s="51">
        <f>IF(K1241="Received",1,0)</f>
        <v/>
      </c>
      <c r="R1241" s="51">
        <f>IF(Q1241=1,F1241-D1241,0)</f>
        <v/>
      </c>
      <c r="S1241" s="51">
        <f>IF(Q1241=1,IF(F1241&lt;=E1241,1,0),0)</f>
        <v/>
      </c>
      <c r="T1241" s="51">
        <f>IF(Q1241=1,IF(H1241&gt;=G1241,1,0),0)</f>
        <v/>
      </c>
      <c r="U1241" s="51">
        <f>S1241*T1241</f>
        <v/>
      </c>
      <c r="V1241" s="51">
        <f>IF(Q1241=1,MAX(0,F1241-E1241),0)</f>
        <v/>
      </c>
    </row>
    <row r="1242">
      <c r="A1242" s="43" t="inlineStr">
        <is>
          <t>PO101926</t>
        </is>
      </c>
      <c r="B1242" s="43" t="inlineStr">
        <is>
          <t>CMD-0106</t>
        </is>
      </c>
      <c r="C1242" s="43" t="inlineStr">
        <is>
          <t>S09</t>
        </is>
      </c>
      <c r="D1242" s="47" t="n">
        <v>46008</v>
      </c>
      <c r="E1242" s="47" t="n">
        <v>46029</v>
      </c>
      <c r="F1242" s="47" t="n">
        <v>46028</v>
      </c>
      <c r="G1242" s="46" t="n">
        <v>639</v>
      </c>
      <c r="H1242" s="46" t="n">
        <v>639</v>
      </c>
      <c r="I1242" s="46" t="n">
        <v>0</v>
      </c>
      <c r="J1242" s="44" t="n">
        <v>10.42</v>
      </c>
      <c r="K1242" s="43" t="inlineStr">
        <is>
          <t>Received</t>
        </is>
      </c>
      <c r="L1242" s="17">
        <f>INDEX(Items!$C$2:$C$117,MATCH(B1242,Items!$A$2:$A$117,0))</f>
        <v/>
      </c>
      <c r="M1242" s="49">
        <f>INDEX(Items!$E$2:$E$117,MATCH(B1242,Items!$A$2:$A$117,0))</f>
        <v/>
      </c>
      <c r="N1242" s="17">
        <f>TEXT(D1242,"yyyy-mm")</f>
        <v/>
      </c>
      <c r="O1242" s="50">
        <f>G1242*J1242</f>
        <v/>
      </c>
      <c r="P1242" s="50">
        <f>(J1242-M1242)*G1242</f>
        <v/>
      </c>
      <c r="Q1242" s="51">
        <f>IF(K1242="Received",1,0)</f>
        <v/>
      </c>
      <c r="R1242" s="51">
        <f>IF(Q1242=1,F1242-D1242,0)</f>
        <v/>
      </c>
      <c r="S1242" s="51">
        <f>IF(Q1242=1,IF(F1242&lt;=E1242,1,0),0)</f>
        <v/>
      </c>
      <c r="T1242" s="51">
        <f>IF(Q1242=1,IF(H1242&gt;=G1242,1,0),0)</f>
        <v/>
      </c>
      <c r="U1242" s="51">
        <f>S1242*T1242</f>
        <v/>
      </c>
      <c r="V1242" s="51">
        <f>IF(Q1242=1,MAX(0,F1242-E1242),0)</f>
        <v/>
      </c>
    </row>
    <row r="1243">
      <c r="A1243" s="43" t="inlineStr">
        <is>
          <t>PO100110</t>
        </is>
      </c>
      <c r="B1243" s="43" t="inlineStr">
        <is>
          <t>CMD-0005</t>
        </is>
      </c>
      <c r="C1243" s="43" t="inlineStr">
        <is>
          <t>S07</t>
        </is>
      </c>
      <c r="D1243" s="47" t="n">
        <v>46009</v>
      </c>
      <c r="E1243" s="47" t="n">
        <v>46100</v>
      </c>
      <c r="F1243" s="47" t="n">
        <v>46100</v>
      </c>
      <c r="G1243" s="46" t="n">
        <v>4363</v>
      </c>
      <c r="H1243" s="46" t="n">
        <v>4363</v>
      </c>
      <c r="I1243" s="46" t="n">
        <v>26</v>
      </c>
      <c r="J1243" s="44" t="n">
        <v>6.6434</v>
      </c>
      <c r="K1243" s="43" t="inlineStr">
        <is>
          <t>Received</t>
        </is>
      </c>
      <c r="L1243" s="17">
        <f>INDEX(Items!$C$2:$C$117,MATCH(B1243,Items!$A$2:$A$117,0))</f>
        <v/>
      </c>
      <c r="M1243" s="49">
        <f>INDEX(Items!$E$2:$E$117,MATCH(B1243,Items!$A$2:$A$117,0))</f>
        <v/>
      </c>
      <c r="N1243" s="17">
        <f>TEXT(D1243,"yyyy-mm")</f>
        <v/>
      </c>
      <c r="O1243" s="50">
        <f>G1243*J1243</f>
        <v/>
      </c>
      <c r="P1243" s="50">
        <f>(J1243-M1243)*G1243</f>
        <v/>
      </c>
      <c r="Q1243" s="51">
        <f>IF(K1243="Received",1,0)</f>
        <v/>
      </c>
      <c r="R1243" s="51">
        <f>IF(Q1243=1,F1243-D1243,0)</f>
        <v/>
      </c>
      <c r="S1243" s="51">
        <f>IF(Q1243=1,IF(F1243&lt;=E1243,1,0),0)</f>
        <v/>
      </c>
      <c r="T1243" s="51">
        <f>IF(Q1243=1,IF(H1243&gt;=G1243,1,0),0)</f>
        <v/>
      </c>
      <c r="U1243" s="51">
        <f>S1243*T1243</f>
        <v/>
      </c>
      <c r="V1243" s="51">
        <f>IF(Q1243=1,MAX(0,F1243-E1243),0)</f>
        <v/>
      </c>
    </row>
    <row r="1244">
      <c r="A1244" s="43" t="inlineStr">
        <is>
          <t>PO100306</t>
        </is>
      </c>
      <c r="B1244" s="43" t="inlineStr">
        <is>
          <t>CMD-0014</t>
        </is>
      </c>
      <c r="C1244" s="43" t="inlineStr">
        <is>
          <t>S03</t>
        </is>
      </c>
      <c r="D1244" s="47" t="n">
        <v>46009</v>
      </c>
      <c r="E1244" s="47" t="n">
        <v>46142</v>
      </c>
      <c r="F1244" s="47" t="n">
        <v>46158</v>
      </c>
      <c r="G1244" s="46" t="n">
        <v>4271</v>
      </c>
      <c r="H1244" s="46" t="n">
        <v>4271</v>
      </c>
      <c r="I1244" s="46" t="n">
        <v>24</v>
      </c>
      <c r="J1244" s="44" t="n">
        <v>14.8916</v>
      </c>
      <c r="K1244" s="43" t="inlineStr">
        <is>
          <t>Received</t>
        </is>
      </c>
      <c r="L1244" s="17">
        <f>INDEX(Items!$C$2:$C$117,MATCH(B1244,Items!$A$2:$A$117,0))</f>
        <v/>
      </c>
      <c r="M1244" s="49">
        <f>INDEX(Items!$E$2:$E$117,MATCH(B1244,Items!$A$2:$A$117,0))</f>
        <v/>
      </c>
      <c r="N1244" s="17">
        <f>TEXT(D1244,"yyyy-mm")</f>
        <v/>
      </c>
      <c r="O1244" s="50">
        <f>G1244*J1244</f>
        <v/>
      </c>
      <c r="P1244" s="50">
        <f>(J1244-M1244)*G1244</f>
        <v/>
      </c>
      <c r="Q1244" s="51">
        <f>IF(K1244="Received",1,0)</f>
        <v/>
      </c>
      <c r="R1244" s="51">
        <f>IF(Q1244=1,F1244-D1244,0)</f>
        <v/>
      </c>
      <c r="S1244" s="51">
        <f>IF(Q1244=1,IF(F1244&lt;=E1244,1,0),0)</f>
        <v/>
      </c>
      <c r="T1244" s="51">
        <f>IF(Q1244=1,IF(H1244&gt;=G1244,1,0),0)</f>
        <v/>
      </c>
      <c r="U1244" s="51">
        <f>S1244*T1244</f>
        <v/>
      </c>
      <c r="V1244" s="51">
        <f>IF(Q1244=1,MAX(0,F1244-E1244),0)</f>
        <v/>
      </c>
    </row>
    <row r="1245">
      <c r="A1245" s="43" t="inlineStr">
        <is>
          <t>PO101410</t>
        </is>
      </c>
      <c r="B1245" s="43" t="inlineStr">
        <is>
          <t>CMD-0074</t>
        </is>
      </c>
      <c r="C1245" s="43" t="inlineStr">
        <is>
          <t>S10</t>
        </is>
      </c>
      <c r="D1245" s="47" t="n">
        <v>46009</v>
      </c>
      <c r="E1245" s="47" t="n">
        <v>46037</v>
      </c>
      <c r="F1245" s="47" t="n">
        <v>46034</v>
      </c>
      <c r="G1245" s="46" t="n">
        <v>56091</v>
      </c>
      <c r="H1245" s="46" t="n">
        <v>56091</v>
      </c>
      <c r="I1245" s="46" t="n">
        <v>52</v>
      </c>
      <c r="J1245" s="44" t="n">
        <v>0.3496</v>
      </c>
      <c r="K1245" s="43" t="inlineStr">
        <is>
          <t>Received</t>
        </is>
      </c>
      <c r="L1245" s="17">
        <f>INDEX(Items!$C$2:$C$117,MATCH(B1245,Items!$A$2:$A$117,0))</f>
        <v/>
      </c>
      <c r="M1245" s="49">
        <f>INDEX(Items!$E$2:$E$117,MATCH(B1245,Items!$A$2:$A$117,0))</f>
        <v/>
      </c>
      <c r="N1245" s="17">
        <f>TEXT(D1245,"yyyy-mm")</f>
        <v/>
      </c>
      <c r="O1245" s="50">
        <f>G1245*J1245</f>
        <v/>
      </c>
      <c r="P1245" s="50">
        <f>(J1245-M1245)*G1245</f>
        <v/>
      </c>
      <c r="Q1245" s="51">
        <f>IF(K1245="Received",1,0)</f>
        <v/>
      </c>
      <c r="R1245" s="51">
        <f>IF(Q1245=1,F1245-D1245,0)</f>
        <v/>
      </c>
      <c r="S1245" s="51">
        <f>IF(Q1245=1,IF(F1245&lt;=E1245,1,0),0)</f>
        <v/>
      </c>
      <c r="T1245" s="51">
        <f>IF(Q1245=1,IF(H1245&gt;=G1245,1,0),0)</f>
        <v/>
      </c>
      <c r="U1245" s="51">
        <f>S1245*T1245</f>
        <v/>
      </c>
      <c r="V1245" s="51">
        <f>IF(Q1245=1,MAX(0,F1245-E1245),0)</f>
        <v/>
      </c>
    </row>
    <row r="1246">
      <c r="A1246" s="43" t="inlineStr">
        <is>
          <t>PO100182</t>
        </is>
      </c>
      <c r="B1246" s="43" t="inlineStr">
        <is>
          <t>CMD-0008</t>
        </is>
      </c>
      <c r="C1246" s="43" t="inlineStr">
        <is>
          <t>S03</t>
        </is>
      </c>
      <c r="D1246" s="47" t="n">
        <v>46009</v>
      </c>
      <c r="E1246" s="47" t="n">
        <v>46142</v>
      </c>
      <c r="F1246" s="47" t="n">
        <v>46139</v>
      </c>
      <c r="G1246" s="46" t="n">
        <v>1534</v>
      </c>
      <c r="H1246" s="46" t="n">
        <v>1416</v>
      </c>
      <c r="I1246" s="46" t="n">
        <v>7</v>
      </c>
      <c r="J1246" s="44" t="n">
        <v>27.9188</v>
      </c>
      <c r="K1246" s="43" t="inlineStr">
        <is>
          <t>Received</t>
        </is>
      </c>
      <c r="L1246" s="17">
        <f>INDEX(Items!$C$2:$C$117,MATCH(B1246,Items!$A$2:$A$117,0))</f>
        <v/>
      </c>
      <c r="M1246" s="49">
        <f>INDEX(Items!$E$2:$E$117,MATCH(B1246,Items!$A$2:$A$117,0))</f>
        <v/>
      </c>
      <c r="N1246" s="17">
        <f>TEXT(D1246,"yyyy-mm")</f>
        <v/>
      </c>
      <c r="O1246" s="50">
        <f>G1246*J1246</f>
        <v/>
      </c>
      <c r="P1246" s="50">
        <f>(J1246-M1246)*G1246</f>
        <v/>
      </c>
      <c r="Q1246" s="51">
        <f>IF(K1246="Received",1,0)</f>
        <v/>
      </c>
      <c r="R1246" s="51">
        <f>IF(Q1246=1,F1246-D1246,0)</f>
        <v/>
      </c>
      <c r="S1246" s="51">
        <f>IF(Q1246=1,IF(F1246&lt;=E1246,1,0),0)</f>
        <v/>
      </c>
      <c r="T1246" s="51">
        <f>IF(Q1246=1,IF(H1246&gt;=G1246,1,0),0)</f>
        <v/>
      </c>
      <c r="U1246" s="51">
        <f>S1246*T1246</f>
        <v/>
      </c>
      <c r="V1246" s="51">
        <f>IF(Q1246=1,MAX(0,F1246-E1246),0)</f>
        <v/>
      </c>
    </row>
    <row r="1247">
      <c r="A1247" s="43" t="inlineStr">
        <is>
          <t>PO100282</t>
        </is>
      </c>
      <c r="B1247" s="43" t="inlineStr">
        <is>
          <t>CMD-0013</t>
        </is>
      </c>
      <c r="C1247" s="43" t="inlineStr">
        <is>
          <t>S11</t>
        </is>
      </c>
      <c r="D1247" s="47" t="n">
        <v>46009</v>
      </c>
      <c r="E1247" s="47" t="n">
        <v>46128</v>
      </c>
      <c r="F1247" s="47" t="n">
        <v>46125</v>
      </c>
      <c r="G1247" s="46" t="n">
        <v>1023</v>
      </c>
      <c r="H1247" s="46" t="n">
        <v>1023</v>
      </c>
      <c r="I1247" s="46" t="n">
        <v>3</v>
      </c>
      <c r="J1247" s="44" t="n">
        <v>7.965</v>
      </c>
      <c r="K1247" s="43" t="inlineStr">
        <is>
          <t>Received</t>
        </is>
      </c>
      <c r="L1247" s="17">
        <f>INDEX(Items!$C$2:$C$117,MATCH(B1247,Items!$A$2:$A$117,0))</f>
        <v/>
      </c>
      <c r="M1247" s="49">
        <f>INDEX(Items!$E$2:$E$117,MATCH(B1247,Items!$A$2:$A$117,0))</f>
        <v/>
      </c>
      <c r="N1247" s="17">
        <f>TEXT(D1247,"yyyy-mm")</f>
        <v/>
      </c>
      <c r="O1247" s="50">
        <f>G1247*J1247</f>
        <v/>
      </c>
      <c r="P1247" s="50">
        <f>(J1247-M1247)*G1247</f>
        <v/>
      </c>
      <c r="Q1247" s="51">
        <f>IF(K1247="Received",1,0)</f>
        <v/>
      </c>
      <c r="R1247" s="51">
        <f>IF(Q1247=1,F1247-D1247,0)</f>
        <v/>
      </c>
      <c r="S1247" s="51">
        <f>IF(Q1247=1,IF(F1247&lt;=E1247,1,0),0)</f>
        <v/>
      </c>
      <c r="T1247" s="51">
        <f>IF(Q1247=1,IF(H1247&gt;=G1247,1,0),0)</f>
        <v/>
      </c>
      <c r="U1247" s="51">
        <f>S1247*T1247</f>
        <v/>
      </c>
      <c r="V1247" s="51">
        <f>IF(Q1247=1,MAX(0,F1247-E1247),0)</f>
        <v/>
      </c>
    </row>
    <row r="1248">
      <c r="A1248" s="43" t="inlineStr">
        <is>
          <t>PO100558</t>
        </is>
      </c>
      <c r="B1248" s="43" t="inlineStr">
        <is>
          <t>CMD-0025</t>
        </is>
      </c>
      <c r="C1248" s="43" t="inlineStr">
        <is>
          <t>S02</t>
        </is>
      </c>
      <c r="D1248" s="47" t="n">
        <v>46009</v>
      </c>
      <c r="E1248" s="47" t="n">
        <v>46065</v>
      </c>
      <c r="F1248" s="47" t="n">
        <v>46063</v>
      </c>
      <c r="G1248" s="46" t="n">
        <v>1177</v>
      </c>
      <c r="H1248" s="46" t="n">
        <v>1177</v>
      </c>
      <c r="I1248" s="46" t="n">
        <v>4</v>
      </c>
      <c r="J1248" s="44" t="n">
        <v>10.52</v>
      </c>
      <c r="K1248" s="43" t="inlineStr">
        <is>
          <t>Received</t>
        </is>
      </c>
      <c r="L1248" s="17">
        <f>INDEX(Items!$C$2:$C$117,MATCH(B1248,Items!$A$2:$A$117,0))</f>
        <v/>
      </c>
      <c r="M1248" s="49">
        <f>INDEX(Items!$E$2:$E$117,MATCH(B1248,Items!$A$2:$A$117,0))</f>
        <v/>
      </c>
      <c r="N1248" s="17">
        <f>TEXT(D1248,"yyyy-mm")</f>
        <v/>
      </c>
      <c r="O1248" s="50">
        <f>G1248*J1248</f>
        <v/>
      </c>
      <c r="P1248" s="50">
        <f>(J1248-M1248)*G1248</f>
        <v/>
      </c>
      <c r="Q1248" s="51">
        <f>IF(K1248="Received",1,0)</f>
        <v/>
      </c>
      <c r="R1248" s="51">
        <f>IF(Q1248=1,F1248-D1248,0)</f>
        <v/>
      </c>
      <c r="S1248" s="51">
        <f>IF(Q1248=1,IF(F1248&lt;=E1248,1,0),0)</f>
        <v/>
      </c>
      <c r="T1248" s="51">
        <f>IF(Q1248=1,IF(H1248&gt;=G1248,1,0),0)</f>
        <v/>
      </c>
      <c r="U1248" s="51">
        <f>S1248*T1248</f>
        <v/>
      </c>
      <c r="V1248" s="51">
        <f>IF(Q1248=1,MAX(0,F1248-E1248),0)</f>
        <v/>
      </c>
    </row>
    <row r="1249">
      <c r="A1249" s="43" t="inlineStr">
        <is>
          <t>PO101260</t>
        </is>
      </c>
      <c r="B1249" s="43" t="inlineStr">
        <is>
          <t>CMD-0059</t>
        </is>
      </c>
      <c r="C1249" s="43" t="inlineStr">
        <is>
          <t>S01</t>
        </is>
      </c>
      <c r="D1249" s="47" t="n">
        <v>46009</v>
      </c>
      <c r="E1249" s="47" t="n">
        <v>46030</v>
      </c>
      <c r="F1249" s="47" t="n">
        <v>46028</v>
      </c>
      <c r="G1249" s="46" t="n">
        <v>186485</v>
      </c>
      <c r="H1249" s="46" t="n">
        <v>186485</v>
      </c>
      <c r="I1249" s="46" t="n">
        <v>396</v>
      </c>
      <c r="J1249" s="44" t="n">
        <v>0.0281</v>
      </c>
      <c r="K1249" s="43" t="inlineStr">
        <is>
          <t>Received</t>
        </is>
      </c>
      <c r="L1249" s="17">
        <f>INDEX(Items!$C$2:$C$117,MATCH(B1249,Items!$A$2:$A$117,0))</f>
        <v/>
      </c>
      <c r="M1249" s="49">
        <f>INDEX(Items!$E$2:$E$117,MATCH(B1249,Items!$A$2:$A$117,0))</f>
        <v/>
      </c>
      <c r="N1249" s="17">
        <f>TEXT(D1249,"yyyy-mm")</f>
        <v/>
      </c>
      <c r="O1249" s="50">
        <f>G1249*J1249</f>
        <v/>
      </c>
      <c r="P1249" s="50">
        <f>(J1249-M1249)*G1249</f>
        <v/>
      </c>
      <c r="Q1249" s="51">
        <f>IF(K1249="Received",1,0)</f>
        <v/>
      </c>
      <c r="R1249" s="51">
        <f>IF(Q1249=1,F1249-D1249,0)</f>
        <v/>
      </c>
      <c r="S1249" s="51">
        <f>IF(Q1249=1,IF(F1249&lt;=E1249,1,0),0)</f>
        <v/>
      </c>
      <c r="T1249" s="51">
        <f>IF(Q1249=1,IF(H1249&gt;=G1249,1,0),0)</f>
        <v/>
      </c>
      <c r="U1249" s="51">
        <f>S1249*T1249</f>
        <v/>
      </c>
      <c r="V1249" s="51">
        <f>IF(Q1249=1,MAX(0,F1249-E1249),0)</f>
        <v/>
      </c>
    </row>
    <row r="1250">
      <c r="A1250" s="43" t="inlineStr">
        <is>
          <t>PO101728</t>
        </is>
      </c>
      <c r="B1250" s="43" t="inlineStr">
        <is>
          <t>CMD-0094</t>
        </is>
      </c>
      <c r="C1250" s="43" t="inlineStr">
        <is>
          <t>S08</t>
        </is>
      </c>
      <c r="D1250" s="47" t="n">
        <v>46009</v>
      </c>
      <c r="E1250" s="47" t="n">
        <v>46086</v>
      </c>
      <c r="F1250" s="47" t="n">
        <v>46085</v>
      </c>
      <c r="G1250" s="46" t="n">
        <v>334</v>
      </c>
      <c r="H1250" s="46" t="n">
        <v>334</v>
      </c>
      <c r="I1250" s="46" t="n">
        <v>3</v>
      </c>
      <c r="J1250" s="44" t="n">
        <v>74.09</v>
      </c>
      <c r="K1250" s="43" t="inlineStr">
        <is>
          <t>Received</t>
        </is>
      </c>
      <c r="L1250" s="17">
        <f>INDEX(Items!$C$2:$C$117,MATCH(B1250,Items!$A$2:$A$117,0))</f>
        <v/>
      </c>
      <c r="M1250" s="49">
        <f>INDEX(Items!$E$2:$E$117,MATCH(B1250,Items!$A$2:$A$117,0))</f>
        <v/>
      </c>
      <c r="N1250" s="17">
        <f>TEXT(D1250,"yyyy-mm")</f>
        <v/>
      </c>
      <c r="O1250" s="50">
        <f>G1250*J1250</f>
        <v/>
      </c>
      <c r="P1250" s="50">
        <f>(J1250-M1250)*G1250</f>
        <v/>
      </c>
      <c r="Q1250" s="51">
        <f>IF(K1250="Received",1,0)</f>
        <v/>
      </c>
      <c r="R1250" s="51">
        <f>IF(Q1250=1,F1250-D1250,0)</f>
        <v/>
      </c>
      <c r="S1250" s="51">
        <f>IF(Q1250=1,IF(F1250&lt;=E1250,1,0),0)</f>
        <v/>
      </c>
      <c r="T1250" s="51">
        <f>IF(Q1250=1,IF(H1250&gt;=G1250,1,0),0)</f>
        <v/>
      </c>
      <c r="U1250" s="51">
        <f>S1250*T1250</f>
        <v/>
      </c>
      <c r="V1250" s="51">
        <f>IF(Q1250=1,MAX(0,F1250-E1250),0)</f>
        <v/>
      </c>
    </row>
    <row r="1251">
      <c r="A1251" s="43" t="inlineStr">
        <is>
          <t>PO100038</t>
        </is>
      </c>
      <c r="B1251" s="43" t="inlineStr">
        <is>
          <t>CMD-0002</t>
        </is>
      </c>
      <c r="C1251" s="43" t="inlineStr">
        <is>
          <t>S11</t>
        </is>
      </c>
      <c r="D1251" s="47" t="n">
        <v>46009</v>
      </c>
      <c r="E1251" s="47" t="n">
        <v>46128</v>
      </c>
      <c r="F1251" s="47" t="n">
        <v>46128</v>
      </c>
      <c r="G1251" s="46" t="n">
        <v>7397</v>
      </c>
      <c r="H1251" s="46" t="n">
        <v>7397</v>
      </c>
      <c r="I1251" s="46" t="n">
        <v>12</v>
      </c>
      <c r="J1251" s="44" t="n">
        <v>8.083</v>
      </c>
      <c r="K1251" s="43" t="inlineStr">
        <is>
          <t>Received</t>
        </is>
      </c>
      <c r="L1251" s="17">
        <f>INDEX(Items!$C$2:$C$117,MATCH(B1251,Items!$A$2:$A$117,0))</f>
        <v/>
      </c>
      <c r="M1251" s="49">
        <f>INDEX(Items!$E$2:$E$117,MATCH(B1251,Items!$A$2:$A$117,0))</f>
        <v/>
      </c>
      <c r="N1251" s="17">
        <f>TEXT(D1251,"yyyy-mm")</f>
        <v/>
      </c>
      <c r="O1251" s="50">
        <f>G1251*J1251</f>
        <v/>
      </c>
      <c r="P1251" s="50">
        <f>(J1251-M1251)*G1251</f>
        <v/>
      </c>
      <c r="Q1251" s="51">
        <f>IF(K1251="Received",1,0)</f>
        <v/>
      </c>
      <c r="R1251" s="51">
        <f>IF(Q1251=1,F1251-D1251,0)</f>
        <v/>
      </c>
      <c r="S1251" s="51">
        <f>IF(Q1251=1,IF(F1251&lt;=E1251,1,0),0)</f>
        <v/>
      </c>
      <c r="T1251" s="51">
        <f>IF(Q1251=1,IF(H1251&gt;=G1251,1,0),0)</f>
        <v/>
      </c>
      <c r="U1251" s="51">
        <f>S1251*T1251</f>
        <v/>
      </c>
      <c r="V1251" s="51">
        <f>IF(Q1251=1,MAX(0,F1251-E1251),0)</f>
        <v/>
      </c>
    </row>
    <row r="1252">
      <c r="A1252" s="43" t="inlineStr">
        <is>
          <t>PO100856</t>
        </is>
      </c>
      <c r="B1252" s="43" t="inlineStr">
        <is>
          <t>CMD-0038</t>
        </is>
      </c>
      <c r="C1252" s="43" t="inlineStr">
        <is>
          <t>S01</t>
        </is>
      </c>
      <c r="D1252" s="47" t="n">
        <v>46009</v>
      </c>
      <c r="E1252" s="47" t="n">
        <v>46037</v>
      </c>
      <c r="F1252" s="47" t="n">
        <v>46034</v>
      </c>
      <c r="G1252" s="46" t="n">
        <v>795</v>
      </c>
      <c r="H1252" s="46" t="n">
        <v>795</v>
      </c>
      <c r="I1252" s="46" t="n">
        <v>2</v>
      </c>
      <c r="J1252" s="44" t="n">
        <v>21.49</v>
      </c>
      <c r="K1252" s="43" t="inlineStr">
        <is>
          <t>Received</t>
        </is>
      </c>
      <c r="L1252" s="17">
        <f>INDEX(Items!$C$2:$C$117,MATCH(B1252,Items!$A$2:$A$117,0))</f>
        <v/>
      </c>
      <c r="M1252" s="49">
        <f>INDEX(Items!$E$2:$E$117,MATCH(B1252,Items!$A$2:$A$117,0))</f>
        <v/>
      </c>
      <c r="N1252" s="17">
        <f>TEXT(D1252,"yyyy-mm")</f>
        <v/>
      </c>
      <c r="O1252" s="50">
        <f>G1252*J1252</f>
        <v/>
      </c>
      <c r="P1252" s="50">
        <f>(J1252-M1252)*G1252</f>
        <v/>
      </c>
      <c r="Q1252" s="51">
        <f>IF(K1252="Received",1,0)</f>
        <v/>
      </c>
      <c r="R1252" s="51">
        <f>IF(Q1252=1,F1252-D1252,0)</f>
        <v/>
      </c>
      <c r="S1252" s="51">
        <f>IF(Q1252=1,IF(F1252&lt;=E1252,1,0),0)</f>
        <v/>
      </c>
      <c r="T1252" s="51">
        <f>IF(Q1252=1,IF(H1252&gt;=G1252,1,0),0)</f>
        <v/>
      </c>
      <c r="U1252" s="51">
        <f>S1252*T1252</f>
        <v/>
      </c>
      <c r="V1252" s="51">
        <f>IF(Q1252=1,MAX(0,F1252-E1252),0)</f>
        <v/>
      </c>
    </row>
    <row r="1253">
      <c r="A1253" s="43" t="inlineStr">
        <is>
          <t>PO100924</t>
        </is>
      </c>
      <c r="B1253" s="43" t="inlineStr">
        <is>
          <t>CMD-0042</t>
        </is>
      </c>
      <c r="C1253" s="43" t="inlineStr">
        <is>
          <t>S05</t>
        </is>
      </c>
      <c r="D1253" s="47" t="n">
        <v>46009</v>
      </c>
      <c r="E1253" s="47" t="n">
        <v>46114</v>
      </c>
      <c r="F1253" s="47" t="n">
        <v>46133</v>
      </c>
      <c r="G1253" s="46" t="n">
        <v>764</v>
      </c>
      <c r="H1253" s="46" t="n">
        <v>764</v>
      </c>
      <c r="I1253" s="46" t="n">
        <v>13</v>
      </c>
      <c r="J1253" s="44" t="n">
        <v>8.91</v>
      </c>
      <c r="K1253" s="43" t="inlineStr">
        <is>
          <t>Received</t>
        </is>
      </c>
      <c r="L1253" s="17">
        <f>INDEX(Items!$C$2:$C$117,MATCH(B1253,Items!$A$2:$A$117,0))</f>
        <v/>
      </c>
      <c r="M1253" s="49">
        <f>INDEX(Items!$E$2:$E$117,MATCH(B1253,Items!$A$2:$A$117,0))</f>
        <v/>
      </c>
      <c r="N1253" s="17">
        <f>TEXT(D1253,"yyyy-mm")</f>
        <v/>
      </c>
      <c r="O1253" s="50">
        <f>G1253*J1253</f>
        <v/>
      </c>
      <c r="P1253" s="50">
        <f>(J1253-M1253)*G1253</f>
        <v/>
      </c>
      <c r="Q1253" s="51">
        <f>IF(K1253="Received",1,0)</f>
        <v/>
      </c>
      <c r="R1253" s="51">
        <f>IF(Q1253=1,F1253-D1253,0)</f>
        <v/>
      </c>
      <c r="S1253" s="51">
        <f>IF(Q1253=1,IF(F1253&lt;=E1253,1,0),0)</f>
        <v/>
      </c>
      <c r="T1253" s="51">
        <f>IF(Q1253=1,IF(H1253&gt;=G1253,1,0),0)</f>
        <v/>
      </c>
      <c r="U1253" s="51">
        <f>S1253*T1253</f>
        <v/>
      </c>
      <c r="V1253" s="51">
        <f>IF(Q1253=1,MAX(0,F1253-E1253),0)</f>
        <v/>
      </c>
    </row>
    <row r="1254">
      <c r="A1254" s="43" t="inlineStr">
        <is>
          <t>PO101043</t>
        </is>
      </c>
      <c r="B1254" s="43" t="inlineStr">
        <is>
          <t>CMD-0047</t>
        </is>
      </c>
      <c r="C1254" s="43" t="inlineStr">
        <is>
          <t>S04</t>
        </is>
      </c>
      <c r="D1254" s="47" t="n">
        <v>46012</v>
      </c>
      <c r="E1254" s="47" t="n">
        <v>46047</v>
      </c>
      <c r="F1254" s="47" t="n">
        <v>46046</v>
      </c>
      <c r="G1254" s="46" t="n">
        <v>21268</v>
      </c>
      <c r="H1254" s="46" t="n">
        <v>21268</v>
      </c>
      <c r="I1254" s="46" t="n">
        <v>195</v>
      </c>
      <c r="J1254" s="44" t="n">
        <v>0.296</v>
      </c>
      <c r="K1254" s="43" t="inlineStr">
        <is>
          <t>Received</t>
        </is>
      </c>
      <c r="L1254" s="17">
        <f>INDEX(Items!$C$2:$C$117,MATCH(B1254,Items!$A$2:$A$117,0))</f>
        <v/>
      </c>
      <c r="M1254" s="49">
        <f>INDEX(Items!$E$2:$E$117,MATCH(B1254,Items!$A$2:$A$117,0))</f>
        <v/>
      </c>
      <c r="N1254" s="17">
        <f>TEXT(D1254,"yyyy-mm")</f>
        <v/>
      </c>
      <c r="O1254" s="50">
        <f>G1254*J1254</f>
        <v/>
      </c>
      <c r="P1254" s="50">
        <f>(J1254-M1254)*G1254</f>
        <v/>
      </c>
      <c r="Q1254" s="51">
        <f>IF(K1254="Received",1,0)</f>
        <v/>
      </c>
      <c r="R1254" s="51">
        <f>IF(Q1254=1,F1254-D1254,0)</f>
        <v/>
      </c>
      <c r="S1254" s="51">
        <f>IF(Q1254=1,IF(F1254&lt;=E1254,1,0),0)</f>
        <v/>
      </c>
      <c r="T1254" s="51">
        <f>IF(Q1254=1,IF(H1254&gt;=G1254,1,0),0)</f>
        <v/>
      </c>
      <c r="U1254" s="51">
        <f>S1254*T1254</f>
        <v/>
      </c>
      <c r="V1254" s="51">
        <f>IF(Q1254=1,MAX(0,F1254-E1254),0)</f>
        <v/>
      </c>
    </row>
    <row r="1255">
      <c r="A1255" s="43" t="inlineStr">
        <is>
          <t>PO101214</t>
        </is>
      </c>
      <c r="B1255" s="43" t="inlineStr">
        <is>
          <t>CMD-0056</t>
        </is>
      </c>
      <c r="C1255" s="43" t="inlineStr">
        <is>
          <t>S04</t>
        </is>
      </c>
      <c r="D1255" s="47" t="n">
        <v>46013</v>
      </c>
      <c r="E1255" s="47" t="n">
        <v>46048</v>
      </c>
      <c r="F1255" s="47" t="n">
        <v>46046</v>
      </c>
      <c r="G1255" s="46" t="n">
        <v>57056</v>
      </c>
      <c r="H1255" s="46" t="n">
        <v>57056</v>
      </c>
      <c r="I1255" s="46" t="n">
        <v>616</v>
      </c>
      <c r="J1255" s="44" t="n">
        <v>0.1015</v>
      </c>
      <c r="K1255" s="43" t="inlineStr">
        <is>
          <t>Received</t>
        </is>
      </c>
      <c r="L1255" s="17">
        <f>INDEX(Items!$C$2:$C$117,MATCH(B1255,Items!$A$2:$A$117,0))</f>
        <v/>
      </c>
      <c r="M1255" s="49">
        <f>INDEX(Items!$E$2:$E$117,MATCH(B1255,Items!$A$2:$A$117,0))</f>
        <v/>
      </c>
      <c r="N1255" s="17">
        <f>TEXT(D1255,"yyyy-mm")</f>
        <v/>
      </c>
      <c r="O1255" s="50">
        <f>G1255*J1255</f>
        <v/>
      </c>
      <c r="P1255" s="50">
        <f>(J1255-M1255)*G1255</f>
        <v/>
      </c>
      <c r="Q1255" s="51">
        <f>IF(K1255="Received",1,0)</f>
        <v/>
      </c>
      <c r="R1255" s="51">
        <f>IF(Q1255=1,F1255-D1255,0)</f>
        <v/>
      </c>
      <c r="S1255" s="51">
        <f>IF(Q1255=1,IF(F1255&lt;=E1255,1,0),0)</f>
        <v/>
      </c>
      <c r="T1255" s="51">
        <f>IF(Q1255=1,IF(H1255&gt;=G1255,1,0),0)</f>
        <v/>
      </c>
      <c r="U1255" s="51">
        <f>S1255*T1255</f>
        <v/>
      </c>
      <c r="V1255" s="51">
        <f>IF(Q1255=1,MAX(0,F1255-E1255),0)</f>
        <v/>
      </c>
    </row>
    <row r="1256">
      <c r="A1256" s="43" t="inlineStr">
        <is>
          <t>PO101152</t>
        </is>
      </c>
      <c r="B1256" s="43" t="inlineStr">
        <is>
          <t>CMD-0053</t>
        </is>
      </c>
      <c r="C1256" s="43" t="inlineStr">
        <is>
          <t>S04</t>
        </is>
      </c>
      <c r="D1256" s="47" t="n">
        <v>46014</v>
      </c>
      <c r="E1256" s="47" t="n">
        <v>46049</v>
      </c>
      <c r="F1256" s="47" t="n">
        <v>46071</v>
      </c>
      <c r="G1256" s="46" t="n">
        <v>59991</v>
      </c>
      <c r="H1256" s="46" t="n">
        <v>59991</v>
      </c>
      <c r="I1256" s="46" t="n">
        <v>608</v>
      </c>
      <c r="J1256" s="44" t="n">
        <v>0.0968</v>
      </c>
      <c r="K1256" s="43" t="inlineStr">
        <is>
          <t>Received</t>
        </is>
      </c>
      <c r="L1256" s="17">
        <f>INDEX(Items!$C$2:$C$117,MATCH(B1256,Items!$A$2:$A$117,0))</f>
        <v/>
      </c>
      <c r="M1256" s="49">
        <f>INDEX(Items!$E$2:$E$117,MATCH(B1256,Items!$A$2:$A$117,0))</f>
        <v/>
      </c>
      <c r="N1256" s="17">
        <f>TEXT(D1256,"yyyy-mm")</f>
        <v/>
      </c>
      <c r="O1256" s="50">
        <f>G1256*J1256</f>
        <v/>
      </c>
      <c r="P1256" s="50">
        <f>(J1256-M1256)*G1256</f>
        <v/>
      </c>
      <c r="Q1256" s="51">
        <f>IF(K1256="Received",1,0)</f>
        <v/>
      </c>
      <c r="R1256" s="51">
        <f>IF(Q1256=1,F1256-D1256,0)</f>
        <v/>
      </c>
      <c r="S1256" s="51">
        <f>IF(Q1256=1,IF(F1256&lt;=E1256,1,0),0)</f>
        <v/>
      </c>
      <c r="T1256" s="51">
        <f>IF(Q1256=1,IF(H1256&gt;=G1256,1,0),0)</f>
        <v/>
      </c>
      <c r="U1256" s="51">
        <f>S1256*T1256</f>
        <v/>
      </c>
      <c r="V1256" s="51">
        <f>IF(Q1256=1,MAX(0,F1256-E1256),0)</f>
        <v/>
      </c>
    </row>
    <row r="1257">
      <c r="A1257" s="43" t="inlineStr">
        <is>
          <t>PO101354</t>
        </is>
      </c>
      <c r="B1257" s="43" t="inlineStr">
        <is>
          <t>CMD-0068</t>
        </is>
      </c>
      <c r="C1257" s="43" t="inlineStr">
        <is>
          <t>S01</t>
        </is>
      </c>
      <c r="D1257" s="47" t="n">
        <v>46023</v>
      </c>
      <c r="E1257" s="47" t="n">
        <v>46044</v>
      </c>
      <c r="F1257" s="47" t="n">
        <v>46043</v>
      </c>
      <c r="G1257" s="46" t="n">
        <v>33661</v>
      </c>
      <c r="H1257" s="46" t="n">
        <v>33661</v>
      </c>
      <c r="I1257" s="46" t="n">
        <v>63</v>
      </c>
      <c r="J1257" s="44" t="n">
        <v>0.1609</v>
      </c>
      <c r="K1257" s="43" t="inlineStr">
        <is>
          <t>Received</t>
        </is>
      </c>
      <c r="L1257" s="17">
        <f>INDEX(Items!$C$2:$C$117,MATCH(B1257,Items!$A$2:$A$117,0))</f>
        <v/>
      </c>
      <c r="M1257" s="49">
        <f>INDEX(Items!$E$2:$E$117,MATCH(B1257,Items!$A$2:$A$117,0))</f>
        <v/>
      </c>
      <c r="N1257" s="17">
        <f>TEXT(D1257,"yyyy-mm")</f>
        <v/>
      </c>
      <c r="O1257" s="50">
        <f>G1257*J1257</f>
        <v/>
      </c>
      <c r="P1257" s="50">
        <f>(J1257-M1257)*G1257</f>
        <v/>
      </c>
      <c r="Q1257" s="51">
        <f>IF(K1257="Received",1,0)</f>
        <v/>
      </c>
      <c r="R1257" s="51">
        <f>IF(Q1257=1,F1257-D1257,0)</f>
        <v/>
      </c>
      <c r="S1257" s="51">
        <f>IF(Q1257=1,IF(F1257&lt;=E1257,1,0),0)</f>
        <v/>
      </c>
      <c r="T1257" s="51">
        <f>IF(Q1257=1,IF(H1257&gt;=G1257,1,0),0)</f>
        <v/>
      </c>
      <c r="U1257" s="51">
        <f>S1257*T1257</f>
        <v/>
      </c>
      <c r="V1257" s="51">
        <f>IF(Q1257=1,MAX(0,F1257-E1257),0)</f>
        <v/>
      </c>
    </row>
    <row r="1258">
      <c r="A1258" s="43" t="inlineStr">
        <is>
          <t>PO102011</t>
        </is>
      </c>
      <c r="B1258" s="43" t="inlineStr">
        <is>
          <t>CMD-0114</t>
        </is>
      </c>
      <c r="C1258" s="43" t="inlineStr">
        <is>
          <t>S12</t>
        </is>
      </c>
      <c r="D1258" s="47" t="n">
        <v>46024</v>
      </c>
      <c r="E1258" s="47" t="n">
        <v>46031</v>
      </c>
      <c r="F1258" s="47" t="n">
        <v>46033</v>
      </c>
      <c r="G1258" s="46" t="n">
        <v>17068</v>
      </c>
      <c r="H1258" s="46" t="n">
        <v>17068</v>
      </c>
      <c r="I1258" s="46" t="n">
        <v>15</v>
      </c>
      <c r="J1258" s="44" t="n">
        <v>0.3534</v>
      </c>
      <c r="K1258" s="43" t="inlineStr">
        <is>
          <t>Received</t>
        </is>
      </c>
      <c r="L1258" s="17">
        <f>INDEX(Items!$C$2:$C$117,MATCH(B1258,Items!$A$2:$A$117,0))</f>
        <v/>
      </c>
      <c r="M1258" s="49">
        <f>INDEX(Items!$E$2:$E$117,MATCH(B1258,Items!$A$2:$A$117,0))</f>
        <v/>
      </c>
      <c r="N1258" s="17">
        <f>TEXT(D1258,"yyyy-mm")</f>
        <v/>
      </c>
      <c r="O1258" s="50">
        <f>G1258*J1258</f>
        <v/>
      </c>
      <c r="P1258" s="50">
        <f>(J1258-M1258)*G1258</f>
        <v/>
      </c>
      <c r="Q1258" s="51">
        <f>IF(K1258="Received",1,0)</f>
        <v/>
      </c>
      <c r="R1258" s="51">
        <f>IF(Q1258=1,F1258-D1258,0)</f>
        <v/>
      </c>
      <c r="S1258" s="51">
        <f>IF(Q1258=1,IF(F1258&lt;=E1258,1,0),0)</f>
        <v/>
      </c>
      <c r="T1258" s="51">
        <f>IF(Q1258=1,IF(H1258&gt;=G1258,1,0),0)</f>
        <v/>
      </c>
      <c r="U1258" s="51">
        <f>S1258*T1258</f>
        <v/>
      </c>
      <c r="V1258" s="51">
        <f>IF(Q1258=1,MAX(0,F1258-E1258),0)</f>
        <v/>
      </c>
    </row>
    <row r="1259">
      <c r="A1259" s="43" t="inlineStr">
        <is>
          <t>PO101377</t>
        </is>
      </c>
      <c r="B1259" s="43" t="inlineStr">
        <is>
          <t>CMD-0070</t>
        </is>
      </c>
      <c r="C1259" s="43" t="inlineStr">
        <is>
          <t>S04</t>
        </is>
      </c>
      <c r="D1259" s="47" t="n">
        <v>46028</v>
      </c>
      <c r="E1259" s="47" t="n">
        <v>46063</v>
      </c>
      <c r="F1259" s="47" t="n">
        <v>46060</v>
      </c>
      <c r="G1259" s="46" t="n">
        <v>48038</v>
      </c>
      <c r="H1259" s="46" t="n">
        <v>48038</v>
      </c>
      <c r="I1259" s="46" t="n">
        <v>472</v>
      </c>
      <c r="J1259" s="44" t="n">
        <v>0.1452</v>
      </c>
      <c r="K1259" s="43" t="inlineStr">
        <is>
          <t>Received</t>
        </is>
      </c>
      <c r="L1259" s="17">
        <f>INDEX(Items!$C$2:$C$117,MATCH(B1259,Items!$A$2:$A$117,0))</f>
        <v/>
      </c>
      <c r="M1259" s="49">
        <f>INDEX(Items!$E$2:$E$117,MATCH(B1259,Items!$A$2:$A$117,0))</f>
        <v/>
      </c>
      <c r="N1259" s="17">
        <f>TEXT(D1259,"yyyy-mm")</f>
        <v/>
      </c>
      <c r="O1259" s="50">
        <f>G1259*J1259</f>
        <v/>
      </c>
      <c r="P1259" s="50">
        <f>(J1259-M1259)*G1259</f>
        <v/>
      </c>
      <c r="Q1259" s="51">
        <f>IF(K1259="Received",1,0)</f>
        <v/>
      </c>
      <c r="R1259" s="51">
        <f>IF(Q1259=1,F1259-D1259,0)</f>
        <v/>
      </c>
      <c r="S1259" s="51">
        <f>IF(Q1259=1,IF(F1259&lt;=E1259,1,0),0)</f>
        <v/>
      </c>
      <c r="T1259" s="51">
        <f>IF(Q1259=1,IF(H1259&gt;=G1259,1,0),0)</f>
        <v/>
      </c>
      <c r="U1259" s="51">
        <f>S1259*T1259</f>
        <v/>
      </c>
      <c r="V1259" s="51">
        <f>IF(Q1259=1,MAX(0,F1259-E1259),0)</f>
        <v/>
      </c>
    </row>
    <row r="1260">
      <c r="A1260" s="43" t="inlineStr">
        <is>
          <t>PO100699</t>
        </is>
      </c>
      <c r="B1260" s="43" t="inlineStr">
        <is>
          <t>CMD-0031</t>
        </is>
      </c>
      <c r="C1260" s="43" t="inlineStr">
        <is>
          <t>S01</t>
        </is>
      </c>
      <c r="D1260" s="47" t="n">
        <v>46029</v>
      </c>
      <c r="E1260" s="47" t="n">
        <v>46057</v>
      </c>
      <c r="F1260" s="47" t="n">
        <v>46056</v>
      </c>
      <c r="G1260" s="46" t="n">
        <v>666</v>
      </c>
      <c r="H1260" s="46" t="n">
        <v>666</v>
      </c>
      <c r="I1260" s="46" t="n">
        <v>1</v>
      </c>
      <c r="J1260" s="44" t="n">
        <v>9.980700000000001</v>
      </c>
      <c r="K1260" s="43" t="inlineStr">
        <is>
          <t>Received</t>
        </is>
      </c>
      <c r="L1260" s="17">
        <f>INDEX(Items!$C$2:$C$117,MATCH(B1260,Items!$A$2:$A$117,0))</f>
        <v/>
      </c>
      <c r="M1260" s="49">
        <f>INDEX(Items!$E$2:$E$117,MATCH(B1260,Items!$A$2:$A$117,0))</f>
        <v/>
      </c>
      <c r="N1260" s="17">
        <f>TEXT(D1260,"yyyy-mm")</f>
        <v/>
      </c>
      <c r="O1260" s="50">
        <f>G1260*J1260</f>
        <v/>
      </c>
      <c r="P1260" s="50">
        <f>(J1260-M1260)*G1260</f>
        <v/>
      </c>
      <c r="Q1260" s="51">
        <f>IF(K1260="Received",1,0)</f>
        <v/>
      </c>
      <c r="R1260" s="51">
        <f>IF(Q1260=1,F1260-D1260,0)</f>
        <v/>
      </c>
      <c r="S1260" s="51">
        <f>IF(Q1260=1,IF(F1260&lt;=E1260,1,0),0)</f>
        <v/>
      </c>
      <c r="T1260" s="51">
        <f>IF(Q1260=1,IF(H1260&gt;=G1260,1,0),0)</f>
        <v/>
      </c>
      <c r="U1260" s="51">
        <f>S1260*T1260</f>
        <v/>
      </c>
      <c r="V1260" s="51">
        <f>IF(Q1260=1,MAX(0,F1260-E1260),0)</f>
        <v/>
      </c>
    </row>
    <row r="1261">
      <c r="A1261" s="43" t="inlineStr">
        <is>
          <t>PO101797</t>
        </is>
      </c>
      <c r="B1261" s="43" t="inlineStr">
        <is>
          <t>CMD-0097</t>
        </is>
      </c>
      <c r="C1261" s="43" t="inlineStr">
        <is>
          <t>S09</t>
        </is>
      </c>
      <c r="D1261" s="47" t="n">
        <v>46031</v>
      </c>
      <c r="E1261" s="47" t="n">
        <v>46052</v>
      </c>
      <c r="F1261" s="47" t="n">
        <v>46050</v>
      </c>
      <c r="G1261" s="46" t="n">
        <v>608</v>
      </c>
      <c r="H1261" s="46" t="n">
        <v>608</v>
      </c>
      <c r="I1261" s="46" t="n">
        <v>1</v>
      </c>
      <c r="J1261" s="44" t="n">
        <v>9.5481</v>
      </c>
      <c r="K1261" s="43" t="inlineStr">
        <is>
          <t>Received</t>
        </is>
      </c>
      <c r="L1261" s="17">
        <f>INDEX(Items!$C$2:$C$117,MATCH(B1261,Items!$A$2:$A$117,0))</f>
        <v/>
      </c>
      <c r="M1261" s="49">
        <f>INDEX(Items!$E$2:$E$117,MATCH(B1261,Items!$A$2:$A$117,0))</f>
        <v/>
      </c>
      <c r="N1261" s="17">
        <f>TEXT(D1261,"yyyy-mm")</f>
        <v/>
      </c>
      <c r="O1261" s="50">
        <f>G1261*J1261</f>
        <v/>
      </c>
      <c r="P1261" s="50">
        <f>(J1261-M1261)*G1261</f>
        <v/>
      </c>
      <c r="Q1261" s="51">
        <f>IF(K1261="Received",1,0)</f>
        <v/>
      </c>
      <c r="R1261" s="51">
        <f>IF(Q1261=1,F1261-D1261,0)</f>
        <v/>
      </c>
      <c r="S1261" s="51">
        <f>IF(Q1261=1,IF(F1261&lt;=E1261,1,0),0)</f>
        <v/>
      </c>
      <c r="T1261" s="51">
        <f>IF(Q1261=1,IF(H1261&gt;=G1261,1,0),0)</f>
        <v/>
      </c>
      <c r="U1261" s="51">
        <f>S1261*T1261</f>
        <v/>
      </c>
      <c r="V1261" s="51">
        <f>IF(Q1261=1,MAX(0,F1261-E1261),0)</f>
        <v/>
      </c>
    </row>
    <row r="1262">
      <c r="A1262" s="43" t="inlineStr">
        <is>
          <t>PO100631</t>
        </is>
      </c>
      <c r="B1262" s="43" t="inlineStr">
        <is>
          <t>CMD-0028</t>
        </is>
      </c>
      <c r="C1262" s="43" t="inlineStr">
        <is>
          <t>S11</t>
        </is>
      </c>
      <c r="D1262" s="47" t="n">
        <v>46032</v>
      </c>
      <c r="E1262" s="47" t="n">
        <v>46109</v>
      </c>
      <c r="F1262" s="47" t="n">
        <v>46106</v>
      </c>
      <c r="G1262" s="46" t="n">
        <v>3362</v>
      </c>
      <c r="H1262" s="46" t="n">
        <v>3362</v>
      </c>
      <c r="I1262" s="46" t="n">
        <v>3</v>
      </c>
      <c r="J1262" s="44" t="n">
        <v>16.3152</v>
      </c>
      <c r="K1262" s="43" t="inlineStr">
        <is>
          <t>Received</t>
        </is>
      </c>
      <c r="L1262" s="17">
        <f>INDEX(Items!$C$2:$C$117,MATCH(B1262,Items!$A$2:$A$117,0))</f>
        <v/>
      </c>
      <c r="M1262" s="49">
        <f>INDEX(Items!$E$2:$E$117,MATCH(B1262,Items!$A$2:$A$117,0))</f>
        <v/>
      </c>
      <c r="N1262" s="17">
        <f>TEXT(D1262,"yyyy-mm")</f>
        <v/>
      </c>
      <c r="O1262" s="50">
        <f>G1262*J1262</f>
        <v/>
      </c>
      <c r="P1262" s="50">
        <f>(J1262-M1262)*G1262</f>
        <v/>
      </c>
      <c r="Q1262" s="51">
        <f>IF(K1262="Received",1,0)</f>
        <v/>
      </c>
      <c r="R1262" s="51">
        <f>IF(Q1262=1,F1262-D1262,0)</f>
        <v/>
      </c>
      <c r="S1262" s="51">
        <f>IF(Q1262=1,IF(F1262&lt;=E1262,1,0),0)</f>
        <v/>
      </c>
      <c r="T1262" s="51">
        <f>IF(Q1262=1,IF(H1262&gt;=G1262,1,0),0)</f>
        <v/>
      </c>
      <c r="U1262" s="51">
        <f>S1262*T1262</f>
        <v/>
      </c>
      <c r="V1262" s="51">
        <f>IF(Q1262=1,MAX(0,F1262-E1262),0)</f>
        <v/>
      </c>
    </row>
    <row r="1263">
      <c r="A1263" s="43" t="inlineStr">
        <is>
          <t>PO100355</t>
        </is>
      </c>
      <c r="B1263" s="43" t="inlineStr">
        <is>
          <t>CMD-0016</t>
        </is>
      </c>
      <c r="C1263" s="43" t="inlineStr">
        <is>
          <t>S07</t>
        </is>
      </c>
      <c r="D1263" s="47" t="n">
        <v>46032</v>
      </c>
      <c r="E1263" s="47" t="n">
        <v>46123</v>
      </c>
      <c r="F1263" s="47" t="n">
        <v>46123</v>
      </c>
      <c r="G1263" s="46" t="n">
        <v>7717</v>
      </c>
      <c r="H1263" s="46" t="n">
        <v>7717</v>
      </c>
      <c r="I1263" s="46" t="n">
        <v>60</v>
      </c>
      <c r="J1263" s="44" t="n">
        <v>31.8836</v>
      </c>
      <c r="K1263" s="43" t="inlineStr">
        <is>
          <t>Received</t>
        </is>
      </c>
      <c r="L1263" s="17">
        <f>INDEX(Items!$C$2:$C$117,MATCH(B1263,Items!$A$2:$A$117,0))</f>
        <v/>
      </c>
      <c r="M1263" s="49">
        <f>INDEX(Items!$E$2:$E$117,MATCH(B1263,Items!$A$2:$A$117,0))</f>
        <v/>
      </c>
      <c r="N1263" s="17">
        <f>TEXT(D1263,"yyyy-mm")</f>
        <v/>
      </c>
      <c r="O1263" s="50">
        <f>G1263*J1263</f>
        <v/>
      </c>
      <c r="P1263" s="50">
        <f>(J1263-M1263)*G1263</f>
        <v/>
      </c>
      <c r="Q1263" s="51">
        <f>IF(K1263="Received",1,0)</f>
        <v/>
      </c>
      <c r="R1263" s="51">
        <f>IF(Q1263=1,F1263-D1263,0)</f>
        <v/>
      </c>
      <c r="S1263" s="51">
        <f>IF(Q1263=1,IF(F1263&lt;=E1263,1,0),0)</f>
        <v/>
      </c>
      <c r="T1263" s="51">
        <f>IF(Q1263=1,IF(H1263&gt;=G1263,1,0),0)</f>
        <v/>
      </c>
      <c r="U1263" s="51">
        <f>S1263*T1263</f>
        <v/>
      </c>
      <c r="V1263" s="51">
        <f>IF(Q1263=1,MAX(0,F1263-E1263),0)</f>
        <v/>
      </c>
    </row>
    <row r="1264">
      <c r="A1264" s="43" t="inlineStr">
        <is>
          <t>PO100255</t>
        </is>
      </c>
      <c r="B1264" s="43" t="inlineStr">
        <is>
          <t>CMD-0011</t>
        </is>
      </c>
      <c r="C1264" s="43" t="inlineStr">
        <is>
          <t>S07</t>
        </is>
      </c>
      <c r="D1264" s="47" t="n">
        <v>46032</v>
      </c>
      <c r="E1264" s="47" t="n">
        <v>46123</v>
      </c>
      <c r="F1264" s="47" t="n">
        <v>46120</v>
      </c>
      <c r="G1264" s="46" t="n">
        <v>3851</v>
      </c>
      <c r="H1264" s="46" t="n">
        <v>3851</v>
      </c>
      <c r="I1264" s="46" t="n">
        <v>30</v>
      </c>
      <c r="J1264" s="44" t="n">
        <v>9.5344</v>
      </c>
      <c r="K1264" s="43" t="inlineStr">
        <is>
          <t>Received</t>
        </is>
      </c>
      <c r="L1264" s="17">
        <f>INDEX(Items!$C$2:$C$117,MATCH(B1264,Items!$A$2:$A$117,0))</f>
        <v/>
      </c>
      <c r="M1264" s="49">
        <f>INDEX(Items!$E$2:$E$117,MATCH(B1264,Items!$A$2:$A$117,0))</f>
        <v/>
      </c>
      <c r="N1264" s="17">
        <f>TEXT(D1264,"yyyy-mm")</f>
        <v/>
      </c>
      <c r="O1264" s="50">
        <f>G1264*J1264</f>
        <v/>
      </c>
      <c r="P1264" s="50">
        <f>(J1264-M1264)*G1264</f>
        <v/>
      </c>
      <c r="Q1264" s="51">
        <f>IF(K1264="Received",1,0)</f>
        <v/>
      </c>
      <c r="R1264" s="51">
        <f>IF(Q1264=1,F1264-D1264,0)</f>
        <v/>
      </c>
      <c r="S1264" s="51">
        <f>IF(Q1264=1,IF(F1264&lt;=E1264,1,0),0)</f>
        <v/>
      </c>
      <c r="T1264" s="51">
        <f>IF(Q1264=1,IF(H1264&gt;=G1264,1,0),0)</f>
        <v/>
      </c>
      <c r="U1264" s="51">
        <f>S1264*T1264</f>
        <v/>
      </c>
      <c r="V1264" s="51">
        <f>IF(Q1264=1,MAX(0,F1264-E1264),0)</f>
        <v/>
      </c>
    </row>
    <row r="1265">
      <c r="A1265" s="43" t="inlineStr">
        <is>
          <t>PO100535</t>
        </is>
      </c>
      <c r="B1265" s="43" t="inlineStr">
        <is>
          <t>CMD-0024</t>
        </is>
      </c>
      <c r="C1265" s="43" t="inlineStr">
        <is>
          <t>S04</t>
        </is>
      </c>
      <c r="D1265" s="47" t="n">
        <v>46032</v>
      </c>
      <c r="E1265" s="47" t="n">
        <v>46102</v>
      </c>
      <c r="F1265" s="47" t="n">
        <v>46099</v>
      </c>
      <c r="G1265" s="46" t="n">
        <v>4558</v>
      </c>
      <c r="H1265" s="46" t="n">
        <v>4558</v>
      </c>
      <c r="I1265" s="46" t="n">
        <v>52</v>
      </c>
      <c r="J1265" s="44" t="n">
        <v>3.4093</v>
      </c>
      <c r="K1265" s="43" t="inlineStr">
        <is>
          <t>Received</t>
        </is>
      </c>
      <c r="L1265" s="17">
        <f>INDEX(Items!$C$2:$C$117,MATCH(B1265,Items!$A$2:$A$117,0))</f>
        <v/>
      </c>
      <c r="M1265" s="49">
        <f>INDEX(Items!$E$2:$E$117,MATCH(B1265,Items!$A$2:$A$117,0))</f>
        <v/>
      </c>
      <c r="N1265" s="17">
        <f>TEXT(D1265,"yyyy-mm")</f>
        <v/>
      </c>
      <c r="O1265" s="50">
        <f>G1265*J1265</f>
        <v/>
      </c>
      <c r="P1265" s="50">
        <f>(J1265-M1265)*G1265</f>
        <v/>
      </c>
      <c r="Q1265" s="51">
        <f>IF(K1265="Received",1,0)</f>
        <v/>
      </c>
      <c r="R1265" s="51">
        <f>IF(Q1265=1,F1265-D1265,0)</f>
        <v/>
      </c>
      <c r="S1265" s="51">
        <f>IF(Q1265=1,IF(F1265&lt;=E1265,1,0),0)</f>
        <v/>
      </c>
      <c r="T1265" s="51">
        <f>IF(Q1265=1,IF(H1265&gt;=G1265,1,0),0)</f>
        <v/>
      </c>
      <c r="U1265" s="51">
        <f>S1265*T1265</f>
        <v/>
      </c>
      <c r="V1265" s="51">
        <f>IF(Q1265=1,MAX(0,F1265-E1265),0)</f>
        <v/>
      </c>
    </row>
    <row r="1266">
      <c r="A1266" s="43" t="inlineStr">
        <is>
          <t>PO100445</t>
        </is>
      </c>
      <c r="B1266" s="43" t="inlineStr">
        <is>
          <t>CMD-0020</t>
        </is>
      </c>
      <c r="C1266" s="43" t="inlineStr">
        <is>
          <t>S04</t>
        </is>
      </c>
      <c r="D1266" s="47" t="n">
        <v>46032</v>
      </c>
      <c r="E1266" s="47" t="n">
        <v>46102</v>
      </c>
      <c r="F1266" s="47" t="n">
        <v>46099</v>
      </c>
      <c r="G1266" s="46" t="n">
        <v>4254</v>
      </c>
      <c r="H1266" s="46" t="n">
        <v>4254</v>
      </c>
      <c r="I1266" s="46" t="n">
        <v>39</v>
      </c>
      <c r="J1266" s="44" t="n">
        <v>5.1809</v>
      </c>
      <c r="K1266" s="43" t="inlineStr">
        <is>
          <t>Received</t>
        </is>
      </c>
      <c r="L1266" s="17">
        <f>INDEX(Items!$C$2:$C$117,MATCH(B1266,Items!$A$2:$A$117,0))</f>
        <v/>
      </c>
      <c r="M1266" s="49">
        <f>INDEX(Items!$E$2:$E$117,MATCH(B1266,Items!$A$2:$A$117,0))</f>
        <v/>
      </c>
      <c r="N1266" s="17">
        <f>TEXT(D1266,"yyyy-mm")</f>
        <v/>
      </c>
      <c r="O1266" s="50">
        <f>G1266*J1266</f>
        <v/>
      </c>
      <c r="P1266" s="50">
        <f>(J1266-M1266)*G1266</f>
        <v/>
      </c>
      <c r="Q1266" s="51">
        <f>IF(K1266="Received",1,0)</f>
        <v/>
      </c>
      <c r="R1266" s="51">
        <f>IF(Q1266=1,F1266-D1266,0)</f>
        <v/>
      </c>
      <c r="S1266" s="51">
        <f>IF(Q1266=1,IF(F1266&lt;=E1266,1,0),0)</f>
        <v/>
      </c>
      <c r="T1266" s="51">
        <f>IF(Q1266=1,IF(H1266&gt;=G1266,1,0),0)</f>
        <v/>
      </c>
      <c r="U1266" s="51">
        <f>S1266*T1266</f>
        <v/>
      </c>
      <c r="V1266" s="51">
        <f>IF(Q1266=1,MAX(0,F1266-E1266),0)</f>
        <v/>
      </c>
    </row>
    <row r="1267">
      <c r="A1267" s="43" t="inlineStr">
        <is>
          <t>PO100785</t>
        </is>
      </c>
      <c r="B1267" s="43" t="inlineStr">
        <is>
          <t>CMD-0035</t>
        </is>
      </c>
      <c r="C1267" s="43" t="inlineStr">
        <is>
          <t>S01</t>
        </is>
      </c>
      <c r="D1267" s="47" t="n">
        <v>46032</v>
      </c>
      <c r="E1267" s="47" t="n">
        <v>46060</v>
      </c>
      <c r="F1267" s="47" t="n">
        <v>46073</v>
      </c>
      <c r="G1267" s="46" t="n">
        <v>652</v>
      </c>
      <c r="H1267" s="46" t="n">
        <v>652</v>
      </c>
      <c r="I1267" s="46" t="n">
        <v>2</v>
      </c>
      <c r="J1267" s="44" t="n">
        <v>9.6511</v>
      </c>
      <c r="K1267" s="43" t="inlineStr">
        <is>
          <t>Received</t>
        </is>
      </c>
      <c r="L1267" s="17">
        <f>INDEX(Items!$C$2:$C$117,MATCH(B1267,Items!$A$2:$A$117,0))</f>
        <v/>
      </c>
      <c r="M1267" s="49">
        <f>INDEX(Items!$E$2:$E$117,MATCH(B1267,Items!$A$2:$A$117,0))</f>
        <v/>
      </c>
      <c r="N1267" s="17">
        <f>TEXT(D1267,"yyyy-mm")</f>
        <v/>
      </c>
      <c r="O1267" s="50">
        <f>G1267*J1267</f>
        <v/>
      </c>
      <c r="P1267" s="50">
        <f>(J1267-M1267)*G1267</f>
        <v/>
      </c>
      <c r="Q1267" s="51">
        <f>IF(K1267="Received",1,0)</f>
        <v/>
      </c>
      <c r="R1267" s="51">
        <f>IF(Q1267=1,F1267-D1267,0)</f>
        <v/>
      </c>
      <c r="S1267" s="51">
        <f>IF(Q1267=1,IF(F1267&lt;=E1267,1,0),0)</f>
        <v/>
      </c>
      <c r="T1267" s="51">
        <f>IF(Q1267=1,IF(H1267&gt;=G1267,1,0),0)</f>
        <v/>
      </c>
      <c r="U1267" s="51">
        <f>S1267*T1267</f>
        <v/>
      </c>
      <c r="V1267" s="51">
        <f>IF(Q1267=1,MAX(0,F1267-E1267),0)</f>
        <v/>
      </c>
    </row>
    <row r="1268">
      <c r="A1268" s="43" t="inlineStr">
        <is>
          <t>PO101705</t>
        </is>
      </c>
      <c r="B1268" s="43" t="inlineStr">
        <is>
          <t>CMD-0093</t>
        </is>
      </c>
      <c r="C1268" s="43" t="inlineStr">
        <is>
          <t>S08</t>
        </is>
      </c>
      <c r="D1268" s="47" t="n">
        <v>46032</v>
      </c>
      <c r="E1268" s="47" t="n">
        <v>46109</v>
      </c>
      <c r="F1268" s="47" t="n">
        <v>46120</v>
      </c>
      <c r="G1268" s="46" t="n">
        <v>754</v>
      </c>
      <c r="H1268" s="46" t="n">
        <v>754</v>
      </c>
      <c r="I1268" s="46" t="n">
        <v>8</v>
      </c>
      <c r="J1268" s="44" t="n">
        <v>61.1923</v>
      </c>
      <c r="K1268" s="43" t="inlineStr">
        <is>
          <t>Received</t>
        </is>
      </c>
      <c r="L1268" s="17">
        <f>INDEX(Items!$C$2:$C$117,MATCH(B1268,Items!$A$2:$A$117,0))</f>
        <v/>
      </c>
      <c r="M1268" s="49">
        <f>INDEX(Items!$E$2:$E$117,MATCH(B1268,Items!$A$2:$A$117,0))</f>
        <v/>
      </c>
      <c r="N1268" s="17">
        <f>TEXT(D1268,"yyyy-mm")</f>
        <v/>
      </c>
      <c r="O1268" s="50">
        <f>G1268*J1268</f>
        <v/>
      </c>
      <c r="P1268" s="50">
        <f>(J1268-M1268)*G1268</f>
        <v/>
      </c>
      <c r="Q1268" s="51">
        <f>IF(K1268="Received",1,0)</f>
        <v/>
      </c>
      <c r="R1268" s="51">
        <f>IF(Q1268=1,F1268-D1268,0)</f>
        <v/>
      </c>
      <c r="S1268" s="51">
        <f>IF(Q1268=1,IF(F1268&lt;=E1268,1,0),0)</f>
        <v/>
      </c>
      <c r="T1268" s="51">
        <f>IF(Q1268=1,IF(H1268&gt;=G1268,1,0),0)</f>
        <v/>
      </c>
      <c r="U1268" s="51">
        <f>S1268*T1268</f>
        <v/>
      </c>
      <c r="V1268" s="51">
        <f>IF(Q1268=1,MAX(0,F1268-E1268),0)</f>
        <v/>
      </c>
    </row>
    <row r="1269">
      <c r="A1269" s="43" t="inlineStr">
        <is>
          <t>PO100135</t>
        </is>
      </c>
      <c r="B1269" s="43" t="inlineStr">
        <is>
          <t>CMD-0006</t>
        </is>
      </c>
      <c r="C1269" s="43" t="inlineStr">
        <is>
          <t>S03</t>
        </is>
      </c>
      <c r="D1269" s="47" t="n">
        <v>46032</v>
      </c>
      <c r="E1269" s="47" t="n">
        <v>46165</v>
      </c>
      <c r="F1269" s="47" t="n">
        <v>46164</v>
      </c>
      <c r="G1269" s="46" t="n">
        <v>655</v>
      </c>
      <c r="H1269" s="46" t="n">
        <v>655</v>
      </c>
      <c r="I1269" s="46" t="n">
        <v>1</v>
      </c>
      <c r="J1269" s="44" t="n">
        <v>36.049</v>
      </c>
      <c r="K1269" s="43" t="inlineStr">
        <is>
          <t>Received</t>
        </is>
      </c>
      <c r="L1269" s="17">
        <f>INDEX(Items!$C$2:$C$117,MATCH(B1269,Items!$A$2:$A$117,0))</f>
        <v/>
      </c>
      <c r="M1269" s="49">
        <f>INDEX(Items!$E$2:$E$117,MATCH(B1269,Items!$A$2:$A$117,0))</f>
        <v/>
      </c>
      <c r="N1269" s="17">
        <f>TEXT(D1269,"yyyy-mm")</f>
        <v/>
      </c>
      <c r="O1269" s="50">
        <f>G1269*J1269</f>
        <v/>
      </c>
      <c r="P1269" s="50">
        <f>(J1269-M1269)*G1269</f>
        <v/>
      </c>
      <c r="Q1269" s="51">
        <f>IF(K1269="Received",1,0)</f>
        <v/>
      </c>
      <c r="R1269" s="51">
        <f>IF(Q1269=1,F1269-D1269,0)</f>
        <v/>
      </c>
      <c r="S1269" s="51">
        <f>IF(Q1269=1,IF(F1269&lt;=E1269,1,0),0)</f>
        <v/>
      </c>
      <c r="T1269" s="51">
        <f>IF(Q1269=1,IF(H1269&gt;=G1269,1,0),0)</f>
        <v/>
      </c>
      <c r="U1269" s="51">
        <f>S1269*T1269</f>
        <v/>
      </c>
      <c r="V1269" s="51">
        <f>IF(Q1269=1,MAX(0,F1269-E1269),0)</f>
        <v/>
      </c>
    </row>
    <row r="1270">
      <c r="A1270" s="43" t="inlineStr">
        <is>
          <t>PO101859</t>
        </is>
      </c>
      <c r="B1270" s="43" t="inlineStr">
        <is>
          <t>CMD-0101</t>
        </is>
      </c>
      <c r="C1270" s="43" t="inlineStr">
        <is>
          <t>S09</t>
        </is>
      </c>
      <c r="D1270" s="47" t="n">
        <v>46032</v>
      </c>
      <c r="E1270" s="47" t="n">
        <v>46053</v>
      </c>
      <c r="F1270" s="47" t="n">
        <v>46052</v>
      </c>
      <c r="G1270" s="46" t="n">
        <v>4442</v>
      </c>
      <c r="H1270" s="46" t="n">
        <v>4442</v>
      </c>
      <c r="I1270" s="46" t="n">
        <v>12</v>
      </c>
      <c r="J1270" s="44" t="n">
        <v>3.811</v>
      </c>
      <c r="K1270" s="43" t="inlineStr">
        <is>
          <t>Received</t>
        </is>
      </c>
      <c r="L1270" s="17">
        <f>INDEX(Items!$C$2:$C$117,MATCH(B1270,Items!$A$2:$A$117,0))</f>
        <v/>
      </c>
      <c r="M1270" s="49">
        <f>INDEX(Items!$E$2:$E$117,MATCH(B1270,Items!$A$2:$A$117,0))</f>
        <v/>
      </c>
      <c r="N1270" s="17">
        <f>TEXT(D1270,"yyyy-mm")</f>
        <v/>
      </c>
      <c r="O1270" s="50">
        <f>G1270*J1270</f>
        <v/>
      </c>
      <c r="P1270" s="50">
        <f>(J1270-M1270)*G1270</f>
        <v/>
      </c>
      <c r="Q1270" s="51">
        <f>IF(K1270="Received",1,0)</f>
        <v/>
      </c>
      <c r="R1270" s="51">
        <f>IF(Q1270=1,F1270-D1270,0)</f>
        <v/>
      </c>
      <c r="S1270" s="51">
        <f>IF(Q1270=1,IF(F1270&lt;=E1270,1,0),0)</f>
        <v/>
      </c>
      <c r="T1270" s="51">
        <f>IF(Q1270=1,IF(H1270&gt;=G1270,1,0),0)</f>
        <v/>
      </c>
      <c r="U1270" s="51">
        <f>S1270*T1270</f>
        <v/>
      </c>
      <c r="V1270" s="51">
        <f>IF(Q1270=1,MAX(0,F1270-E1270),0)</f>
        <v/>
      </c>
    </row>
    <row r="1271">
      <c r="A1271" s="43" t="inlineStr">
        <is>
          <t>PO100207</t>
        </is>
      </c>
      <c r="B1271" s="43" t="inlineStr">
        <is>
          <t>CMD-0009</t>
        </is>
      </c>
      <c r="C1271" s="43" t="inlineStr">
        <is>
          <t>S11</t>
        </is>
      </c>
      <c r="D1271" s="47" t="n">
        <v>46032</v>
      </c>
      <c r="E1271" s="47" t="n">
        <v>46151</v>
      </c>
      <c r="F1271" s="47" t="n">
        <v>46151</v>
      </c>
      <c r="G1271" s="46" t="n">
        <v>7798</v>
      </c>
      <c r="H1271" s="46" t="n">
        <v>7798</v>
      </c>
      <c r="I1271" s="46" t="n">
        <v>19</v>
      </c>
      <c r="J1271" s="44" t="n">
        <v>7.4222</v>
      </c>
      <c r="K1271" s="43" t="inlineStr">
        <is>
          <t>Received</t>
        </is>
      </c>
      <c r="L1271" s="17">
        <f>INDEX(Items!$C$2:$C$117,MATCH(B1271,Items!$A$2:$A$117,0))</f>
        <v/>
      </c>
      <c r="M1271" s="49">
        <f>INDEX(Items!$E$2:$E$117,MATCH(B1271,Items!$A$2:$A$117,0))</f>
        <v/>
      </c>
      <c r="N1271" s="17">
        <f>TEXT(D1271,"yyyy-mm")</f>
        <v/>
      </c>
      <c r="O1271" s="50">
        <f>G1271*J1271</f>
        <v/>
      </c>
      <c r="P1271" s="50">
        <f>(J1271-M1271)*G1271</f>
        <v/>
      </c>
      <c r="Q1271" s="51">
        <f>IF(K1271="Received",1,0)</f>
        <v/>
      </c>
      <c r="R1271" s="51">
        <f>IF(Q1271=1,F1271-D1271,0)</f>
        <v/>
      </c>
      <c r="S1271" s="51">
        <f>IF(Q1271=1,IF(F1271&lt;=E1271,1,0),0)</f>
        <v/>
      </c>
      <c r="T1271" s="51">
        <f>IF(Q1271=1,IF(H1271&gt;=G1271,1,0),0)</f>
        <v/>
      </c>
      <c r="U1271" s="51">
        <f>S1271*T1271</f>
        <v/>
      </c>
      <c r="V1271" s="51">
        <f>IF(Q1271=1,MAX(0,F1271-E1271),0)</f>
        <v/>
      </c>
    </row>
    <row r="1272">
      <c r="A1272" s="43" t="inlineStr">
        <is>
          <t>PO100087</t>
        </is>
      </c>
      <c r="B1272" s="43" t="inlineStr">
        <is>
          <t>CMD-0004</t>
        </is>
      </c>
      <c r="C1272" s="43" t="inlineStr">
        <is>
          <t>S07</t>
        </is>
      </c>
      <c r="D1272" s="47" t="n">
        <v>46032</v>
      </c>
      <c r="E1272" s="47" t="n">
        <v>46123</v>
      </c>
      <c r="F1272" s="47" t="n">
        <v>46131</v>
      </c>
      <c r="G1272" s="46" t="n">
        <v>2774</v>
      </c>
      <c r="H1272" s="46" t="n">
        <v>2774</v>
      </c>
      <c r="I1272" s="46" t="n">
        <v>34</v>
      </c>
      <c r="J1272" s="44" t="n">
        <v>4.779</v>
      </c>
      <c r="K1272" s="43" t="inlineStr">
        <is>
          <t>Received</t>
        </is>
      </c>
      <c r="L1272" s="17">
        <f>INDEX(Items!$C$2:$C$117,MATCH(B1272,Items!$A$2:$A$117,0))</f>
        <v/>
      </c>
      <c r="M1272" s="49">
        <f>INDEX(Items!$E$2:$E$117,MATCH(B1272,Items!$A$2:$A$117,0))</f>
        <v/>
      </c>
      <c r="N1272" s="17">
        <f>TEXT(D1272,"yyyy-mm")</f>
        <v/>
      </c>
      <c r="O1272" s="50">
        <f>G1272*J1272</f>
        <v/>
      </c>
      <c r="P1272" s="50">
        <f>(J1272-M1272)*G1272</f>
        <v/>
      </c>
      <c r="Q1272" s="51">
        <f>IF(K1272="Received",1,0)</f>
        <v/>
      </c>
      <c r="R1272" s="51">
        <f>IF(Q1272=1,F1272-D1272,0)</f>
        <v/>
      </c>
      <c r="S1272" s="51">
        <f>IF(Q1272=1,IF(F1272&lt;=E1272,1,0),0)</f>
        <v/>
      </c>
      <c r="T1272" s="51">
        <f>IF(Q1272=1,IF(H1272&gt;=G1272,1,0),0)</f>
        <v/>
      </c>
      <c r="U1272" s="51">
        <f>S1272*T1272</f>
        <v/>
      </c>
      <c r="V1272" s="51">
        <f>IF(Q1272=1,MAX(0,F1272-E1272),0)</f>
        <v/>
      </c>
    </row>
    <row r="1273">
      <c r="A1273" s="43" t="inlineStr">
        <is>
          <t>PO100679</t>
        </is>
      </c>
      <c r="B1273" s="43" t="inlineStr">
        <is>
          <t>CMD-0030</t>
        </is>
      </c>
      <c r="C1273" s="43" t="inlineStr">
        <is>
          <t>S11</t>
        </is>
      </c>
      <c r="D1273" s="47" t="n">
        <v>46033</v>
      </c>
      <c r="E1273" s="47" t="n">
        <v>46110</v>
      </c>
      <c r="F1273" s="47" t="n">
        <v>46109</v>
      </c>
      <c r="G1273" s="46" t="n">
        <v>7604</v>
      </c>
      <c r="H1273" s="46" t="n">
        <v>7604</v>
      </c>
      <c r="I1273" s="46" t="n">
        <v>14</v>
      </c>
      <c r="J1273" s="44" t="n">
        <v>23.8857</v>
      </c>
      <c r="K1273" s="43" t="inlineStr">
        <is>
          <t>Received</t>
        </is>
      </c>
      <c r="L1273" s="17">
        <f>INDEX(Items!$C$2:$C$117,MATCH(B1273,Items!$A$2:$A$117,0))</f>
        <v/>
      </c>
      <c r="M1273" s="49">
        <f>INDEX(Items!$E$2:$E$117,MATCH(B1273,Items!$A$2:$A$117,0))</f>
        <v/>
      </c>
      <c r="N1273" s="17">
        <f>TEXT(D1273,"yyyy-mm")</f>
        <v/>
      </c>
      <c r="O1273" s="50">
        <f>G1273*J1273</f>
        <v/>
      </c>
      <c r="P1273" s="50">
        <f>(J1273-M1273)*G1273</f>
        <v/>
      </c>
      <c r="Q1273" s="51">
        <f>IF(K1273="Received",1,0)</f>
        <v/>
      </c>
      <c r="R1273" s="51">
        <f>IF(Q1273=1,F1273-D1273,0)</f>
        <v/>
      </c>
      <c r="S1273" s="51">
        <f>IF(Q1273=1,IF(F1273&lt;=E1273,1,0),0)</f>
        <v/>
      </c>
      <c r="T1273" s="51">
        <f>IF(Q1273=1,IF(H1273&gt;=G1273,1,0),0)</f>
        <v/>
      </c>
      <c r="U1273" s="51">
        <f>S1273*T1273</f>
        <v/>
      </c>
      <c r="V1273" s="51">
        <f>IF(Q1273=1,MAX(0,F1273-E1273),0)</f>
        <v/>
      </c>
    </row>
    <row r="1274">
      <c r="A1274" s="43" t="inlineStr">
        <is>
          <t>PO100063</t>
        </is>
      </c>
      <c r="B1274" s="43" t="inlineStr">
        <is>
          <t>CMD-0003</t>
        </is>
      </c>
      <c r="C1274" s="43" t="inlineStr">
        <is>
          <t>S11</t>
        </is>
      </c>
      <c r="D1274" s="47" t="n">
        <v>46033</v>
      </c>
      <c r="E1274" s="47" t="n">
        <v>46152</v>
      </c>
      <c r="F1274" s="47" t="n">
        <v>46150</v>
      </c>
      <c r="G1274" s="46" t="n">
        <v>9249</v>
      </c>
      <c r="H1274" s="46" t="n">
        <v>9249</v>
      </c>
      <c r="I1274" s="46" t="n">
        <v>21</v>
      </c>
      <c r="J1274" s="44" t="n">
        <v>25.3582</v>
      </c>
      <c r="K1274" s="43" t="inlineStr">
        <is>
          <t>Received</t>
        </is>
      </c>
      <c r="L1274" s="17">
        <f>INDEX(Items!$C$2:$C$117,MATCH(B1274,Items!$A$2:$A$117,0))</f>
        <v/>
      </c>
      <c r="M1274" s="49">
        <f>INDEX(Items!$E$2:$E$117,MATCH(B1274,Items!$A$2:$A$117,0))</f>
        <v/>
      </c>
      <c r="N1274" s="17">
        <f>TEXT(D1274,"yyyy-mm")</f>
        <v/>
      </c>
      <c r="O1274" s="50">
        <f>G1274*J1274</f>
        <v/>
      </c>
      <c r="P1274" s="50">
        <f>(J1274-M1274)*G1274</f>
        <v/>
      </c>
      <c r="Q1274" s="51">
        <f>IF(K1274="Received",1,0)</f>
        <v/>
      </c>
      <c r="R1274" s="51">
        <f>IF(Q1274=1,F1274-D1274,0)</f>
        <v/>
      </c>
      <c r="S1274" s="51">
        <f>IF(Q1274=1,IF(F1274&lt;=E1274,1,0),0)</f>
        <v/>
      </c>
      <c r="T1274" s="51">
        <f>IF(Q1274=1,IF(H1274&gt;=G1274,1,0),0)</f>
        <v/>
      </c>
      <c r="U1274" s="51">
        <f>S1274*T1274</f>
        <v/>
      </c>
      <c r="V1274" s="51">
        <f>IF(Q1274=1,MAX(0,F1274-E1274),0)</f>
        <v/>
      </c>
    </row>
    <row r="1275">
      <c r="A1275" s="43" t="inlineStr">
        <is>
          <t>PO101681</t>
        </is>
      </c>
      <c r="B1275" s="43" t="inlineStr">
        <is>
          <t>CMD-0092</t>
        </is>
      </c>
      <c r="C1275" s="43" t="inlineStr">
        <is>
          <t>S08</t>
        </is>
      </c>
      <c r="D1275" s="47" t="n">
        <v>46033</v>
      </c>
      <c r="E1275" s="47" t="n">
        <v>46110</v>
      </c>
      <c r="F1275" s="47" t="n">
        <v>46108</v>
      </c>
      <c r="G1275" s="46" t="n">
        <v>348</v>
      </c>
      <c r="H1275" s="46" t="n">
        <v>348</v>
      </c>
      <c r="I1275" s="46" t="n">
        <v>3</v>
      </c>
      <c r="J1275" s="44" t="n">
        <v>30.3541</v>
      </c>
      <c r="K1275" s="43" t="inlineStr">
        <is>
          <t>Received</t>
        </is>
      </c>
      <c r="L1275" s="17">
        <f>INDEX(Items!$C$2:$C$117,MATCH(B1275,Items!$A$2:$A$117,0))</f>
        <v/>
      </c>
      <c r="M1275" s="49">
        <f>INDEX(Items!$E$2:$E$117,MATCH(B1275,Items!$A$2:$A$117,0))</f>
        <v/>
      </c>
      <c r="N1275" s="17">
        <f>TEXT(D1275,"yyyy-mm")</f>
        <v/>
      </c>
      <c r="O1275" s="50">
        <f>G1275*J1275</f>
        <v/>
      </c>
      <c r="P1275" s="50">
        <f>(J1275-M1275)*G1275</f>
        <v/>
      </c>
      <c r="Q1275" s="51">
        <f>IF(K1275="Received",1,0)</f>
        <v/>
      </c>
      <c r="R1275" s="51">
        <f>IF(Q1275=1,F1275-D1275,0)</f>
        <v/>
      </c>
      <c r="S1275" s="51">
        <f>IF(Q1275=1,IF(F1275&lt;=E1275,1,0),0)</f>
        <v/>
      </c>
      <c r="T1275" s="51">
        <f>IF(Q1275=1,IF(H1275&gt;=G1275,1,0),0)</f>
        <v/>
      </c>
      <c r="U1275" s="51">
        <f>S1275*T1275</f>
        <v/>
      </c>
      <c r="V1275" s="51">
        <f>IF(Q1275=1,MAX(0,F1275-E1275),0)</f>
        <v/>
      </c>
    </row>
    <row r="1276">
      <c r="A1276" s="43" t="inlineStr">
        <is>
          <t>PO101495</t>
        </is>
      </c>
      <c r="B1276" s="43" t="inlineStr">
        <is>
          <t>CMD-0079</t>
        </is>
      </c>
      <c r="C1276" s="43" t="inlineStr">
        <is>
          <t>S06</t>
        </is>
      </c>
      <c r="D1276" s="47" t="n">
        <v>46033</v>
      </c>
      <c r="E1276" s="47" t="n">
        <v>46054</v>
      </c>
      <c r="F1276" s="47" t="n">
        <v>46051</v>
      </c>
      <c r="G1276" s="46" t="n">
        <v>1754</v>
      </c>
      <c r="H1276" s="46" t="n">
        <v>1754</v>
      </c>
      <c r="I1276" s="46" t="n">
        <v>5</v>
      </c>
      <c r="J1276" s="44" t="n">
        <v>3.6359</v>
      </c>
      <c r="K1276" s="43" t="inlineStr">
        <is>
          <t>Received</t>
        </is>
      </c>
      <c r="L1276" s="17">
        <f>INDEX(Items!$C$2:$C$117,MATCH(B1276,Items!$A$2:$A$117,0))</f>
        <v/>
      </c>
      <c r="M1276" s="49">
        <f>INDEX(Items!$E$2:$E$117,MATCH(B1276,Items!$A$2:$A$117,0))</f>
        <v/>
      </c>
      <c r="N1276" s="17">
        <f>TEXT(D1276,"yyyy-mm")</f>
        <v/>
      </c>
      <c r="O1276" s="50">
        <f>G1276*J1276</f>
        <v/>
      </c>
      <c r="P1276" s="50">
        <f>(J1276-M1276)*G1276</f>
        <v/>
      </c>
      <c r="Q1276" s="51">
        <f>IF(K1276="Received",1,0)</f>
        <v/>
      </c>
      <c r="R1276" s="51">
        <f>IF(Q1276=1,F1276-D1276,0)</f>
        <v/>
      </c>
      <c r="S1276" s="51">
        <f>IF(Q1276=1,IF(F1276&lt;=E1276,1,0),0)</f>
        <v/>
      </c>
      <c r="T1276" s="51">
        <f>IF(Q1276=1,IF(H1276&gt;=G1276,1,0),0)</f>
        <v/>
      </c>
      <c r="U1276" s="51">
        <f>S1276*T1276</f>
        <v/>
      </c>
      <c r="V1276" s="51">
        <f>IF(Q1276=1,MAX(0,F1276-E1276),0)</f>
        <v/>
      </c>
    </row>
    <row r="1277">
      <c r="A1277" s="43" t="inlineStr">
        <is>
          <t>PO100607</t>
        </is>
      </c>
      <c r="B1277" s="43" t="inlineStr">
        <is>
          <t>CMD-0027</t>
        </is>
      </c>
      <c r="C1277" s="43" t="inlineStr">
        <is>
          <t>S04</t>
        </is>
      </c>
      <c r="D1277" s="47" t="n">
        <v>46033</v>
      </c>
      <c r="E1277" s="47" t="n">
        <v>46103</v>
      </c>
      <c r="F1277" s="47" t="n">
        <v>46103</v>
      </c>
      <c r="G1277" s="46" t="n">
        <v>7734</v>
      </c>
      <c r="H1277" s="46" t="n">
        <v>7734</v>
      </c>
      <c r="I1277" s="46" t="n">
        <v>69</v>
      </c>
      <c r="J1277" s="44" t="n">
        <v>9.115500000000001</v>
      </c>
      <c r="K1277" s="43" t="inlineStr">
        <is>
          <t>Received</t>
        </is>
      </c>
      <c r="L1277" s="17">
        <f>INDEX(Items!$C$2:$C$117,MATCH(B1277,Items!$A$2:$A$117,0))</f>
        <v/>
      </c>
      <c r="M1277" s="49">
        <f>INDEX(Items!$E$2:$E$117,MATCH(B1277,Items!$A$2:$A$117,0))</f>
        <v/>
      </c>
      <c r="N1277" s="17">
        <f>TEXT(D1277,"yyyy-mm")</f>
        <v/>
      </c>
      <c r="O1277" s="50">
        <f>G1277*J1277</f>
        <v/>
      </c>
      <c r="P1277" s="50">
        <f>(J1277-M1277)*G1277</f>
        <v/>
      </c>
      <c r="Q1277" s="51">
        <f>IF(K1277="Received",1,0)</f>
        <v/>
      </c>
      <c r="R1277" s="51">
        <f>IF(Q1277=1,F1277-D1277,0)</f>
        <v/>
      </c>
      <c r="S1277" s="51">
        <f>IF(Q1277=1,IF(F1277&lt;=E1277,1,0),0)</f>
        <v/>
      </c>
      <c r="T1277" s="51">
        <f>IF(Q1277=1,IF(H1277&gt;=G1277,1,0),0)</f>
        <v/>
      </c>
      <c r="U1277" s="51">
        <f>S1277*T1277</f>
        <v/>
      </c>
      <c r="V1277" s="51">
        <f>IF(Q1277=1,MAX(0,F1277-E1277),0)</f>
        <v/>
      </c>
    </row>
    <row r="1278">
      <c r="A1278" s="43" t="inlineStr">
        <is>
          <t>PO100283</t>
        </is>
      </c>
      <c r="B1278" s="43" t="inlineStr">
        <is>
          <t>CMD-0013</t>
        </is>
      </c>
      <c r="C1278" s="43" t="inlineStr">
        <is>
          <t>S11</t>
        </is>
      </c>
      <c r="D1278" s="47" t="n">
        <v>46033</v>
      </c>
      <c r="E1278" s="47" t="n">
        <v>46152</v>
      </c>
      <c r="F1278" s="47" t="n">
        <v>46151</v>
      </c>
      <c r="G1278" s="46" t="n">
        <v>747</v>
      </c>
      <c r="H1278" s="46" t="n">
        <v>747</v>
      </c>
      <c r="I1278" s="46" t="n">
        <v>3</v>
      </c>
      <c r="J1278" s="44" t="n">
        <v>7.965</v>
      </c>
      <c r="K1278" s="43" t="inlineStr">
        <is>
          <t>Received</t>
        </is>
      </c>
      <c r="L1278" s="17">
        <f>INDEX(Items!$C$2:$C$117,MATCH(B1278,Items!$A$2:$A$117,0))</f>
        <v/>
      </c>
      <c r="M1278" s="49">
        <f>INDEX(Items!$E$2:$E$117,MATCH(B1278,Items!$A$2:$A$117,0))</f>
        <v/>
      </c>
      <c r="N1278" s="17">
        <f>TEXT(D1278,"yyyy-mm")</f>
        <v/>
      </c>
      <c r="O1278" s="50">
        <f>G1278*J1278</f>
        <v/>
      </c>
      <c r="P1278" s="50">
        <f>(J1278-M1278)*G1278</f>
        <v/>
      </c>
      <c r="Q1278" s="51">
        <f>IF(K1278="Received",1,0)</f>
        <v/>
      </c>
      <c r="R1278" s="51">
        <f>IF(Q1278=1,F1278-D1278,0)</f>
        <v/>
      </c>
      <c r="S1278" s="51">
        <f>IF(Q1278=1,IF(F1278&lt;=E1278,1,0),0)</f>
        <v/>
      </c>
      <c r="T1278" s="51">
        <f>IF(Q1278=1,IF(H1278&gt;=G1278,1,0),0)</f>
        <v/>
      </c>
      <c r="U1278" s="51">
        <f>S1278*T1278</f>
        <v/>
      </c>
      <c r="V1278" s="51">
        <f>IF(Q1278=1,MAX(0,F1278-E1278),0)</f>
        <v/>
      </c>
    </row>
    <row r="1279">
      <c r="A1279" s="43" t="inlineStr">
        <is>
          <t>PO100655</t>
        </is>
      </c>
      <c r="B1279" s="43" t="inlineStr">
        <is>
          <t>CMD-0029</t>
        </is>
      </c>
      <c r="C1279" s="43" t="inlineStr">
        <is>
          <t>S11</t>
        </is>
      </c>
      <c r="D1279" s="47" t="n">
        <v>46033</v>
      </c>
      <c r="E1279" s="47" t="n">
        <v>46110</v>
      </c>
      <c r="F1279" s="47" t="n">
        <v>46107</v>
      </c>
      <c r="G1279" s="46" t="n">
        <v>4262</v>
      </c>
      <c r="H1279" s="46" t="n">
        <v>4262</v>
      </c>
      <c r="I1279" s="46" t="n">
        <v>10</v>
      </c>
      <c r="J1279" s="44" t="n">
        <v>7.0761</v>
      </c>
      <c r="K1279" s="43" t="inlineStr">
        <is>
          <t>Received</t>
        </is>
      </c>
      <c r="L1279" s="17">
        <f>INDEX(Items!$C$2:$C$117,MATCH(B1279,Items!$A$2:$A$117,0))</f>
        <v/>
      </c>
      <c r="M1279" s="49">
        <f>INDEX(Items!$E$2:$E$117,MATCH(B1279,Items!$A$2:$A$117,0))</f>
        <v/>
      </c>
      <c r="N1279" s="17">
        <f>TEXT(D1279,"yyyy-mm")</f>
        <v/>
      </c>
      <c r="O1279" s="50">
        <f>G1279*J1279</f>
        <v/>
      </c>
      <c r="P1279" s="50">
        <f>(J1279-M1279)*G1279</f>
        <v/>
      </c>
      <c r="Q1279" s="51">
        <f>IF(K1279="Received",1,0)</f>
        <v/>
      </c>
      <c r="R1279" s="51">
        <f>IF(Q1279=1,F1279-D1279,0)</f>
        <v/>
      </c>
      <c r="S1279" s="51">
        <f>IF(Q1279=1,IF(F1279&lt;=E1279,1,0),0)</f>
        <v/>
      </c>
      <c r="T1279" s="51">
        <f>IF(Q1279=1,IF(H1279&gt;=G1279,1,0),0)</f>
        <v/>
      </c>
      <c r="U1279" s="51">
        <f>S1279*T1279</f>
        <v/>
      </c>
      <c r="V1279" s="51">
        <f>IF(Q1279=1,MAX(0,F1279-E1279),0)</f>
        <v/>
      </c>
    </row>
    <row r="1280">
      <c r="A1280" s="43" t="inlineStr">
        <is>
          <t>PO100015</t>
        </is>
      </c>
      <c r="B1280" s="43" t="inlineStr">
        <is>
          <t>CMD-0001</t>
        </is>
      </c>
      <c r="C1280" s="43" t="inlineStr">
        <is>
          <t>S07</t>
        </is>
      </c>
      <c r="D1280" s="47" t="n">
        <v>46033</v>
      </c>
      <c r="E1280" s="47" t="n">
        <v>46124</v>
      </c>
      <c r="F1280" s="47" t="n">
        <v>46123</v>
      </c>
      <c r="G1280" s="46" t="n">
        <v>6433</v>
      </c>
      <c r="H1280" s="46" t="n">
        <v>6433</v>
      </c>
      <c r="I1280" s="46" t="n">
        <v>61</v>
      </c>
      <c r="J1280" s="44" t="n">
        <v>16.8268</v>
      </c>
      <c r="K1280" s="43" t="inlineStr">
        <is>
          <t>Received</t>
        </is>
      </c>
      <c r="L1280" s="17">
        <f>INDEX(Items!$C$2:$C$117,MATCH(B1280,Items!$A$2:$A$117,0))</f>
        <v/>
      </c>
      <c r="M1280" s="49">
        <f>INDEX(Items!$E$2:$E$117,MATCH(B1280,Items!$A$2:$A$117,0))</f>
        <v/>
      </c>
      <c r="N1280" s="17">
        <f>TEXT(D1280,"yyyy-mm")</f>
        <v/>
      </c>
      <c r="O1280" s="50">
        <f>G1280*J1280</f>
        <v/>
      </c>
      <c r="P1280" s="50">
        <f>(J1280-M1280)*G1280</f>
        <v/>
      </c>
      <c r="Q1280" s="51">
        <f>IF(K1280="Received",1,0)</f>
        <v/>
      </c>
      <c r="R1280" s="51">
        <f>IF(Q1280=1,F1280-D1280,0)</f>
        <v/>
      </c>
      <c r="S1280" s="51">
        <f>IF(Q1280=1,IF(F1280&lt;=E1280,1,0),0)</f>
        <v/>
      </c>
      <c r="T1280" s="51">
        <f>IF(Q1280=1,IF(H1280&gt;=G1280,1,0),0)</f>
        <v/>
      </c>
      <c r="U1280" s="51">
        <f>S1280*T1280</f>
        <v/>
      </c>
      <c r="V1280" s="51">
        <f>IF(Q1280=1,MAX(0,F1280-E1280),0)</f>
        <v/>
      </c>
    </row>
    <row r="1281">
      <c r="A1281" s="43" t="inlineStr">
        <is>
          <t>PO100761</t>
        </is>
      </c>
      <c r="B1281" s="43" t="inlineStr">
        <is>
          <t>CMD-0034</t>
        </is>
      </c>
      <c r="C1281" s="43" t="inlineStr">
        <is>
          <t>S04</t>
        </is>
      </c>
      <c r="D1281" s="47" t="n">
        <v>46034</v>
      </c>
      <c r="E1281" s="47" t="n">
        <v>46076</v>
      </c>
      <c r="F1281" s="47" t="n">
        <v>46074</v>
      </c>
      <c r="G1281" s="46" t="n">
        <v>696</v>
      </c>
      <c r="H1281" s="46" t="n">
        <v>696</v>
      </c>
      <c r="I1281" s="46" t="n">
        <v>10</v>
      </c>
      <c r="J1281" s="44" t="n">
        <v>10.8665</v>
      </c>
      <c r="K1281" s="43" t="inlineStr">
        <is>
          <t>Received</t>
        </is>
      </c>
      <c r="L1281" s="17">
        <f>INDEX(Items!$C$2:$C$117,MATCH(B1281,Items!$A$2:$A$117,0))</f>
        <v/>
      </c>
      <c r="M1281" s="49">
        <f>INDEX(Items!$E$2:$E$117,MATCH(B1281,Items!$A$2:$A$117,0))</f>
        <v/>
      </c>
      <c r="N1281" s="17">
        <f>TEXT(D1281,"yyyy-mm")</f>
        <v/>
      </c>
      <c r="O1281" s="50">
        <f>G1281*J1281</f>
        <v/>
      </c>
      <c r="P1281" s="50">
        <f>(J1281-M1281)*G1281</f>
        <v/>
      </c>
      <c r="Q1281" s="51">
        <f>IF(K1281="Received",1,0)</f>
        <v/>
      </c>
      <c r="R1281" s="51">
        <f>IF(Q1281=1,F1281-D1281,0)</f>
        <v/>
      </c>
      <c r="S1281" s="51">
        <f>IF(Q1281=1,IF(F1281&lt;=E1281,1,0),0)</f>
        <v/>
      </c>
      <c r="T1281" s="51">
        <f>IF(Q1281=1,IF(H1281&gt;=G1281,1,0),0)</f>
        <v/>
      </c>
      <c r="U1281" s="51">
        <f>S1281*T1281</f>
        <v/>
      </c>
      <c r="V1281" s="51">
        <f>IF(Q1281=1,MAX(0,F1281-E1281),0)</f>
        <v/>
      </c>
    </row>
    <row r="1282">
      <c r="A1282" s="43" t="inlineStr">
        <is>
          <t>PO100809</t>
        </is>
      </c>
      <c r="B1282" s="43" t="inlineStr">
        <is>
          <t>CMD-0036</t>
        </is>
      </c>
      <c r="C1282" s="43" t="inlineStr">
        <is>
          <t>S04</t>
        </is>
      </c>
      <c r="D1282" s="47" t="n">
        <v>46034</v>
      </c>
      <c r="E1282" s="47" t="n">
        <v>46076</v>
      </c>
      <c r="F1282" s="47" t="n">
        <v>46073</v>
      </c>
      <c r="G1282" s="46" t="n">
        <v>434</v>
      </c>
      <c r="H1282" s="46" t="n">
        <v>434</v>
      </c>
      <c r="I1282" s="46" t="n">
        <v>1</v>
      </c>
      <c r="J1282" s="44" t="n">
        <v>12.7308</v>
      </c>
      <c r="K1282" s="43" t="inlineStr">
        <is>
          <t>Received</t>
        </is>
      </c>
      <c r="L1282" s="17">
        <f>INDEX(Items!$C$2:$C$117,MATCH(B1282,Items!$A$2:$A$117,0))</f>
        <v/>
      </c>
      <c r="M1282" s="49">
        <f>INDEX(Items!$E$2:$E$117,MATCH(B1282,Items!$A$2:$A$117,0))</f>
        <v/>
      </c>
      <c r="N1282" s="17">
        <f>TEXT(D1282,"yyyy-mm")</f>
        <v/>
      </c>
      <c r="O1282" s="50">
        <f>G1282*J1282</f>
        <v/>
      </c>
      <c r="P1282" s="50">
        <f>(J1282-M1282)*G1282</f>
        <v/>
      </c>
      <c r="Q1282" s="51">
        <f>IF(K1282="Received",1,0)</f>
        <v/>
      </c>
      <c r="R1282" s="51">
        <f>IF(Q1282=1,F1282-D1282,0)</f>
        <v/>
      </c>
      <c r="S1282" s="51">
        <f>IF(Q1282=1,IF(F1282&lt;=E1282,1,0),0)</f>
        <v/>
      </c>
      <c r="T1282" s="51">
        <f>IF(Q1282=1,IF(H1282&gt;=G1282,1,0),0)</f>
        <v/>
      </c>
      <c r="U1282" s="51">
        <f>S1282*T1282</f>
        <v/>
      </c>
      <c r="V1282" s="51">
        <f>IF(Q1282=1,MAX(0,F1282-E1282),0)</f>
        <v/>
      </c>
    </row>
    <row r="1283">
      <c r="A1283" s="43" t="inlineStr">
        <is>
          <t>PO100307</t>
        </is>
      </c>
      <c r="B1283" s="43" t="inlineStr">
        <is>
          <t>CMD-0014</t>
        </is>
      </c>
      <c r="C1283" s="43" t="inlineStr">
        <is>
          <t>S03</t>
        </is>
      </c>
      <c r="D1283" s="47" t="n">
        <v>46034</v>
      </c>
      <c r="E1283" s="47" t="n">
        <v>46167</v>
      </c>
      <c r="F1283" s="47" t="n">
        <v>46165</v>
      </c>
      <c r="G1283" s="46" t="n">
        <v>4825</v>
      </c>
      <c r="H1283" s="46" t="n">
        <v>4825</v>
      </c>
      <c r="I1283" s="46" t="n">
        <v>37</v>
      </c>
      <c r="J1283" s="44" t="n">
        <v>14.8916</v>
      </c>
      <c r="K1283" s="43" t="inlineStr">
        <is>
          <t>Received</t>
        </is>
      </c>
      <c r="L1283" s="17">
        <f>INDEX(Items!$C$2:$C$117,MATCH(B1283,Items!$A$2:$A$117,0))</f>
        <v/>
      </c>
      <c r="M1283" s="49">
        <f>INDEX(Items!$E$2:$E$117,MATCH(B1283,Items!$A$2:$A$117,0))</f>
        <v/>
      </c>
      <c r="N1283" s="17">
        <f>TEXT(D1283,"yyyy-mm")</f>
        <v/>
      </c>
      <c r="O1283" s="50">
        <f>G1283*J1283</f>
        <v/>
      </c>
      <c r="P1283" s="50">
        <f>(J1283-M1283)*G1283</f>
        <v/>
      </c>
      <c r="Q1283" s="51">
        <f>IF(K1283="Received",1,0)</f>
        <v/>
      </c>
      <c r="R1283" s="51">
        <f>IF(Q1283=1,F1283-D1283,0)</f>
        <v/>
      </c>
      <c r="S1283" s="51">
        <f>IF(Q1283=1,IF(F1283&lt;=E1283,1,0),0)</f>
        <v/>
      </c>
      <c r="T1283" s="51">
        <f>IF(Q1283=1,IF(H1283&gt;=G1283,1,0),0)</f>
        <v/>
      </c>
      <c r="U1283" s="51">
        <f>S1283*T1283</f>
        <v/>
      </c>
      <c r="V1283" s="51">
        <f>IF(Q1283=1,MAX(0,F1283-E1283),0)</f>
        <v/>
      </c>
    </row>
    <row r="1284">
      <c r="A1284" s="43" t="inlineStr">
        <is>
          <t>PO100881</t>
        </is>
      </c>
      <c r="B1284" s="43" t="inlineStr">
        <is>
          <t>CMD-0039</t>
        </is>
      </c>
      <c r="C1284" s="43" t="inlineStr">
        <is>
          <t>S07</t>
        </is>
      </c>
      <c r="D1284" s="47" t="n">
        <v>46034</v>
      </c>
      <c r="E1284" s="47" t="n">
        <v>46076</v>
      </c>
      <c r="F1284" s="47" t="n">
        <v>46074</v>
      </c>
      <c r="G1284" s="46" t="n">
        <v>373</v>
      </c>
      <c r="H1284" s="46" t="n">
        <v>373</v>
      </c>
      <c r="I1284" s="46" t="n">
        <v>3</v>
      </c>
      <c r="J1284" s="44" t="n">
        <v>53.5497</v>
      </c>
      <c r="K1284" s="43" t="inlineStr">
        <is>
          <t>Received</t>
        </is>
      </c>
      <c r="L1284" s="17">
        <f>INDEX(Items!$C$2:$C$117,MATCH(B1284,Items!$A$2:$A$117,0))</f>
        <v/>
      </c>
      <c r="M1284" s="49">
        <f>INDEX(Items!$E$2:$E$117,MATCH(B1284,Items!$A$2:$A$117,0))</f>
        <v/>
      </c>
      <c r="N1284" s="17">
        <f>TEXT(D1284,"yyyy-mm")</f>
        <v/>
      </c>
      <c r="O1284" s="50">
        <f>G1284*J1284</f>
        <v/>
      </c>
      <c r="P1284" s="50">
        <f>(J1284-M1284)*G1284</f>
        <v/>
      </c>
      <c r="Q1284" s="51">
        <f>IF(K1284="Received",1,0)</f>
        <v/>
      </c>
      <c r="R1284" s="51">
        <f>IF(Q1284=1,F1284-D1284,0)</f>
        <v/>
      </c>
      <c r="S1284" s="51">
        <f>IF(Q1284=1,IF(F1284&lt;=E1284,1,0),0)</f>
        <v/>
      </c>
      <c r="T1284" s="51">
        <f>IF(Q1284=1,IF(H1284&gt;=G1284,1,0),0)</f>
        <v/>
      </c>
      <c r="U1284" s="51">
        <f>S1284*T1284</f>
        <v/>
      </c>
      <c r="V1284" s="51">
        <f>IF(Q1284=1,MAX(0,F1284-E1284),0)</f>
        <v/>
      </c>
    </row>
    <row r="1285">
      <c r="A1285" s="43" t="inlineStr">
        <is>
          <t>PO100159</t>
        </is>
      </c>
      <c r="B1285" s="43" t="inlineStr">
        <is>
          <t>CMD-0007</t>
        </is>
      </c>
      <c r="C1285" s="43" t="inlineStr">
        <is>
          <t>S03</t>
        </is>
      </c>
      <c r="D1285" s="47" t="n">
        <v>46034</v>
      </c>
      <c r="E1285" s="47" t="n">
        <v>46167</v>
      </c>
      <c r="F1285" s="47" t="n">
        <v>46181</v>
      </c>
      <c r="G1285" s="46" t="n">
        <v>5307</v>
      </c>
      <c r="H1285" s="46" t="n">
        <v>5307</v>
      </c>
      <c r="I1285" s="46" t="n">
        <v>33</v>
      </c>
      <c r="J1285" s="44" t="n">
        <v>22.8802</v>
      </c>
      <c r="K1285" s="43" t="inlineStr">
        <is>
          <t>Received</t>
        </is>
      </c>
      <c r="L1285" s="17">
        <f>INDEX(Items!$C$2:$C$117,MATCH(B1285,Items!$A$2:$A$117,0))</f>
        <v/>
      </c>
      <c r="M1285" s="49">
        <f>INDEX(Items!$E$2:$E$117,MATCH(B1285,Items!$A$2:$A$117,0))</f>
        <v/>
      </c>
      <c r="N1285" s="17">
        <f>TEXT(D1285,"yyyy-mm")</f>
        <v/>
      </c>
      <c r="O1285" s="50">
        <f>G1285*J1285</f>
        <v/>
      </c>
      <c r="P1285" s="50">
        <f>(J1285-M1285)*G1285</f>
        <v/>
      </c>
      <c r="Q1285" s="51">
        <f>IF(K1285="Received",1,0)</f>
        <v/>
      </c>
      <c r="R1285" s="51">
        <f>IF(Q1285=1,F1285-D1285,0)</f>
        <v/>
      </c>
      <c r="S1285" s="51">
        <f>IF(Q1285=1,IF(F1285&lt;=E1285,1,0),0)</f>
        <v/>
      </c>
      <c r="T1285" s="51">
        <f>IF(Q1285=1,IF(H1285&gt;=G1285,1,0),0)</f>
        <v/>
      </c>
      <c r="U1285" s="51">
        <f>S1285*T1285</f>
        <v/>
      </c>
      <c r="V1285" s="51">
        <f>IF(Q1285=1,MAX(0,F1285-E1285),0)</f>
        <v/>
      </c>
    </row>
    <row r="1286">
      <c r="A1286" s="43" t="inlineStr">
        <is>
          <t>PO101447</t>
        </is>
      </c>
      <c r="B1286" s="43" t="inlineStr">
        <is>
          <t>CMD-0077</t>
        </is>
      </c>
      <c r="C1286" s="43" t="inlineStr">
        <is>
          <t>S01</t>
        </is>
      </c>
      <c r="D1286" s="47" t="n">
        <v>46035</v>
      </c>
      <c r="E1286" s="47" t="n">
        <v>46049</v>
      </c>
      <c r="F1286" s="47" t="n">
        <v>46049</v>
      </c>
      <c r="G1286" s="46" t="n">
        <v>3883</v>
      </c>
      <c r="H1286" s="46" t="n">
        <v>3883</v>
      </c>
      <c r="I1286" s="46" t="n">
        <v>6</v>
      </c>
      <c r="J1286" s="44" t="n">
        <v>9.012499999999999</v>
      </c>
      <c r="K1286" s="43" t="inlineStr">
        <is>
          <t>Received</t>
        </is>
      </c>
      <c r="L1286" s="17">
        <f>INDEX(Items!$C$2:$C$117,MATCH(B1286,Items!$A$2:$A$117,0))</f>
        <v/>
      </c>
      <c r="M1286" s="49">
        <f>INDEX(Items!$E$2:$E$117,MATCH(B1286,Items!$A$2:$A$117,0))</f>
        <v/>
      </c>
      <c r="N1286" s="17">
        <f>TEXT(D1286,"yyyy-mm")</f>
        <v/>
      </c>
      <c r="O1286" s="50">
        <f>G1286*J1286</f>
        <v/>
      </c>
      <c r="P1286" s="50">
        <f>(J1286-M1286)*G1286</f>
        <v/>
      </c>
      <c r="Q1286" s="51">
        <f>IF(K1286="Received",1,0)</f>
        <v/>
      </c>
      <c r="R1286" s="51">
        <f>IF(Q1286=1,F1286-D1286,0)</f>
        <v/>
      </c>
      <c r="S1286" s="51">
        <f>IF(Q1286=1,IF(F1286&lt;=E1286,1,0),0)</f>
        <v/>
      </c>
      <c r="T1286" s="51">
        <f>IF(Q1286=1,IF(H1286&gt;=G1286,1,0),0)</f>
        <v/>
      </c>
      <c r="U1286" s="51">
        <f>S1286*T1286</f>
        <v/>
      </c>
      <c r="V1286" s="51">
        <f>IF(Q1286=1,MAX(0,F1286-E1286),0)</f>
        <v/>
      </c>
    </row>
    <row r="1287">
      <c r="A1287" s="43" t="inlineStr">
        <is>
          <t>PO100331</t>
        </is>
      </c>
      <c r="B1287" s="43" t="inlineStr">
        <is>
          <t>CMD-0015</t>
        </is>
      </c>
      <c r="C1287" s="43" t="inlineStr">
        <is>
          <t>S03</t>
        </is>
      </c>
      <c r="D1287" s="47" t="n">
        <v>46035</v>
      </c>
      <c r="E1287" s="47" t="n">
        <v>46168</v>
      </c>
      <c r="F1287" s="47" t="n">
        <v>46166</v>
      </c>
      <c r="G1287" s="46" t="n">
        <v>4056</v>
      </c>
      <c r="H1287" s="46" t="n">
        <v>4056</v>
      </c>
      <c r="I1287" s="46" t="n">
        <v>21</v>
      </c>
      <c r="J1287" s="44" t="n">
        <v>6.6788</v>
      </c>
      <c r="K1287" s="43" t="inlineStr">
        <is>
          <t>Received</t>
        </is>
      </c>
      <c r="L1287" s="17">
        <f>INDEX(Items!$C$2:$C$117,MATCH(B1287,Items!$A$2:$A$117,0))</f>
        <v/>
      </c>
      <c r="M1287" s="49">
        <f>INDEX(Items!$E$2:$E$117,MATCH(B1287,Items!$A$2:$A$117,0))</f>
        <v/>
      </c>
      <c r="N1287" s="17">
        <f>TEXT(D1287,"yyyy-mm")</f>
        <v/>
      </c>
      <c r="O1287" s="50">
        <f>G1287*J1287</f>
        <v/>
      </c>
      <c r="P1287" s="50">
        <f>(J1287-M1287)*G1287</f>
        <v/>
      </c>
      <c r="Q1287" s="51">
        <f>IF(K1287="Received",1,0)</f>
        <v/>
      </c>
      <c r="R1287" s="51">
        <f>IF(Q1287=1,F1287-D1287,0)</f>
        <v/>
      </c>
      <c r="S1287" s="51">
        <f>IF(Q1287=1,IF(F1287&lt;=E1287,1,0),0)</f>
        <v/>
      </c>
      <c r="T1287" s="51">
        <f>IF(Q1287=1,IF(H1287&gt;=G1287,1,0),0)</f>
        <v/>
      </c>
      <c r="U1287" s="51">
        <f>S1287*T1287</f>
        <v/>
      </c>
      <c r="V1287" s="51">
        <f>IF(Q1287=1,MAX(0,F1287-E1287),0)</f>
        <v/>
      </c>
    </row>
    <row r="1288">
      <c r="A1288" s="43" t="inlineStr">
        <is>
          <t>PO100583</t>
        </is>
      </c>
      <c r="B1288" s="43" t="inlineStr">
        <is>
          <t>CMD-0026</t>
        </is>
      </c>
      <c r="C1288" s="43" t="inlineStr">
        <is>
          <t>S04</t>
        </is>
      </c>
      <c r="D1288" s="47" t="n">
        <v>46035</v>
      </c>
      <c r="E1288" s="47" t="n">
        <v>46105</v>
      </c>
      <c r="F1288" s="47" t="n">
        <v>46104</v>
      </c>
      <c r="G1288" s="46" t="n">
        <v>8616</v>
      </c>
      <c r="H1288" s="46" t="n">
        <v>8616</v>
      </c>
      <c r="I1288" s="46" t="n">
        <v>99</v>
      </c>
      <c r="J1288" s="44" t="n">
        <v>6.1388</v>
      </c>
      <c r="K1288" s="43" t="inlineStr">
        <is>
          <t>Received</t>
        </is>
      </c>
      <c r="L1288" s="17">
        <f>INDEX(Items!$C$2:$C$117,MATCH(B1288,Items!$A$2:$A$117,0))</f>
        <v/>
      </c>
      <c r="M1288" s="49">
        <f>INDEX(Items!$E$2:$E$117,MATCH(B1288,Items!$A$2:$A$117,0))</f>
        <v/>
      </c>
      <c r="N1288" s="17">
        <f>TEXT(D1288,"yyyy-mm")</f>
        <v/>
      </c>
      <c r="O1288" s="50">
        <f>G1288*J1288</f>
        <v/>
      </c>
      <c r="P1288" s="50">
        <f>(J1288-M1288)*G1288</f>
        <v/>
      </c>
      <c r="Q1288" s="51">
        <f>IF(K1288="Received",1,0)</f>
        <v/>
      </c>
      <c r="R1288" s="51">
        <f>IF(Q1288=1,F1288-D1288,0)</f>
        <v/>
      </c>
      <c r="S1288" s="51">
        <f>IF(Q1288=1,IF(F1288&lt;=E1288,1,0),0)</f>
        <v/>
      </c>
      <c r="T1288" s="51">
        <f>IF(Q1288=1,IF(H1288&gt;=G1288,1,0),0)</f>
        <v/>
      </c>
      <c r="U1288" s="51">
        <f>S1288*T1288</f>
        <v/>
      </c>
      <c r="V1288" s="51">
        <f>IF(Q1288=1,MAX(0,F1288-E1288),0)</f>
        <v/>
      </c>
    </row>
    <row r="1289">
      <c r="A1289" s="43" t="inlineStr">
        <is>
          <t>PO100183</t>
        </is>
      </c>
      <c r="B1289" s="43" t="inlineStr">
        <is>
          <t>CMD-0008</t>
        </is>
      </c>
      <c r="C1289" s="43" t="inlineStr">
        <is>
          <t>S03</t>
        </is>
      </c>
      <c r="D1289" s="47" t="n">
        <v>46035</v>
      </c>
      <c r="E1289" s="47" t="n">
        <v>46168</v>
      </c>
      <c r="F1289" s="47" t="n">
        <v>46184</v>
      </c>
      <c r="G1289" s="46" t="n">
        <v>1312</v>
      </c>
      <c r="H1289" s="46" t="n">
        <v>1312</v>
      </c>
      <c r="I1289" s="46" t="n">
        <v>9</v>
      </c>
      <c r="J1289" s="44" t="n">
        <v>27.9188</v>
      </c>
      <c r="K1289" s="43" t="inlineStr">
        <is>
          <t>Received</t>
        </is>
      </c>
      <c r="L1289" s="17">
        <f>INDEX(Items!$C$2:$C$117,MATCH(B1289,Items!$A$2:$A$117,0))</f>
        <v/>
      </c>
      <c r="M1289" s="49">
        <f>INDEX(Items!$E$2:$E$117,MATCH(B1289,Items!$A$2:$A$117,0))</f>
        <v/>
      </c>
      <c r="N1289" s="17">
        <f>TEXT(D1289,"yyyy-mm")</f>
        <v/>
      </c>
      <c r="O1289" s="50">
        <f>G1289*J1289</f>
        <v/>
      </c>
      <c r="P1289" s="50">
        <f>(J1289-M1289)*G1289</f>
        <v/>
      </c>
      <c r="Q1289" s="51">
        <f>IF(K1289="Received",1,0)</f>
        <v/>
      </c>
      <c r="R1289" s="51">
        <f>IF(Q1289=1,F1289-D1289,0)</f>
        <v/>
      </c>
      <c r="S1289" s="51">
        <f>IF(Q1289=1,IF(F1289&lt;=E1289,1,0),0)</f>
        <v/>
      </c>
      <c r="T1289" s="51">
        <f>IF(Q1289=1,IF(H1289&gt;=G1289,1,0),0)</f>
        <v/>
      </c>
      <c r="U1289" s="51">
        <f>S1289*T1289</f>
        <v/>
      </c>
      <c r="V1289" s="51">
        <f>IF(Q1289=1,MAX(0,F1289-E1289),0)</f>
        <v/>
      </c>
    </row>
    <row r="1290">
      <c r="A1290" s="43" t="inlineStr">
        <is>
          <t>PO100949</t>
        </is>
      </c>
      <c r="B1290" s="43" t="inlineStr">
        <is>
          <t>CMD-0043</t>
        </is>
      </c>
      <c r="C1290" s="43" t="inlineStr">
        <is>
          <t>S05</t>
        </is>
      </c>
      <c r="D1290" s="47" t="n">
        <v>46035</v>
      </c>
      <c r="E1290" s="47" t="n">
        <v>46140</v>
      </c>
      <c r="F1290" s="47" t="n">
        <v>46146</v>
      </c>
      <c r="G1290" s="46" t="n">
        <v>5136</v>
      </c>
      <c r="H1290" s="46" t="n">
        <v>5136</v>
      </c>
      <c r="I1290" s="46" t="n">
        <v>99</v>
      </c>
      <c r="J1290" s="44" t="n">
        <v>3.8007</v>
      </c>
      <c r="K1290" s="43" t="inlineStr">
        <is>
          <t>Received</t>
        </is>
      </c>
      <c r="L1290" s="17">
        <f>INDEX(Items!$C$2:$C$117,MATCH(B1290,Items!$A$2:$A$117,0))</f>
        <v/>
      </c>
      <c r="M1290" s="49">
        <f>INDEX(Items!$E$2:$E$117,MATCH(B1290,Items!$A$2:$A$117,0))</f>
        <v/>
      </c>
      <c r="N1290" s="17">
        <f>TEXT(D1290,"yyyy-mm")</f>
        <v/>
      </c>
      <c r="O1290" s="50">
        <f>G1290*J1290</f>
        <v/>
      </c>
      <c r="P1290" s="50">
        <f>(J1290-M1290)*G1290</f>
        <v/>
      </c>
      <c r="Q1290" s="51">
        <f>IF(K1290="Received",1,0)</f>
        <v/>
      </c>
      <c r="R1290" s="51">
        <f>IF(Q1290=1,F1290-D1290,0)</f>
        <v/>
      </c>
      <c r="S1290" s="51">
        <f>IF(Q1290=1,IF(F1290&lt;=E1290,1,0),0)</f>
        <v/>
      </c>
      <c r="T1290" s="51">
        <f>IF(Q1290=1,IF(H1290&gt;=G1290,1,0),0)</f>
        <v/>
      </c>
      <c r="U1290" s="51">
        <f>S1290*T1290</f>
        <v/>
      </c>
      <c r="V1290" s="51">
        <f>IF(Q1290=1,MAX(0,F1290-E1290),0)</f>
        <v/>
      </c>
    </row>
    <row r="1291">
      <c r="A1291" s="43" t="inlineStr">
        <is>
          <t>PO101579</t>
        </is>
      </c>
      <c r="B1291" s="43" t="inlineStr">
        <is>
          <t>CMD-0085</t>
        </is>
      </c>
      <c r="C1291" s="43" t="inlineStr">
        <is>
          <t>S06</t>
        </is>
      </c>
      <c r="D1291" s="47" t="n">
        <v>46035</v>
      </c>
      <c r="E1291" s="47" t="n">
        <v>46056</v>
      </c>
      <c r="F1291" s="47" t="n">
        <v>46054</v>
      </c>
      <c r="G1291" s="46" t="n">
        <v>845</v>
      </c>
      <c r="H1291" s="46" t="n">
        <v>845</v>
      </c>
      <c r="I1291" s="46" t="n">
        <v>9</v>
      </c>
      <c r="J1291" s="44" t="n">
        <v>10.8768</v>
      </c>
      <c r="K1291" s="43" t="inlineStr">
        <is>
          <t>Received</t>
        </is>
      </c>
      <c r="L1291" s="17">
        <f>INDEX(Items!$C$2:$C$117,MATCH(B1291,Items!$A$2:$A$117,0))</f>
        <v/>
      </c>
      <c r="M1291" s="49">
        <f>INDEX(Items!$E$2:$E$117,MATCH(B1291,Items!$A$2:$A$117,0))</f>
        <v/>
      </c>
      <c r="N1291" s="17">
        <f>TEXT(D1291,"yyyy-mm")</f>
        <v/>
      </c>
      <c r="O1291" s="50">
        <f>G1291*J1291</f>
        <v/>
      </c>
      <c r="P1291" s="50">
        <f>(J1291-M1291)*G1291</f>
        <v/>
      </c>
      <c r="Q1291" s="51">
        <f>IF(K1291="Received",1,0)</f>
        <v/>
      </c>
      <c r="R1291" s="51">
        <f>IF(Q1291=1,F1291-D1291,0)</f>
        <v/>
      </c>
      <c r="S1291" s="51">
        <f>IF(Q1291=1,IF(F1291&lt;=E1291,1,0),0)</f>
        <v/>
      </c>
      <c r="T1291" s="51">
        <f>IF(Q1291=1,IF(H1291&gt;=G1291,1,0),0)</f>
        <v/>
      </c>
      <c r="U1291" s="51">
        <f>S1291*T1291</f>
        <v/>
      </c>
      <c r="V1291" s="51">
        <f>IF(Q1291=1,MAX(0,F1291-E1291),0)</f>
        <v/>
      </c>
    </row>
    <row r="1292">
      <c r="A1292" s="43" t="inlineStr">
        <is>
          <t>PO101975</t>
        </is>
      </c>
      <c r="B1292" s="43" t="inlineStr">
        <is>
          <t>CMD-0109</t>
        </is>
      </c>
      <c r="C1292" s="43" t="inlineStr">
        <is>
          <t>S12</t>
        </is>
      </c>
      <c r="D1292" s="47" t="n">
        <v>46035</v>
      </c>
      <c r="E1292" s="47" t="n">
        <v>46042</v>
      </c>
      <c r="F1292" s="47" t="n">
        <v>46041</v>
      </c>
      <c r="G1292" s="46" t="n">
        <v>6540</v>
      </c>
      <c r="H1292" s="46" t="n">
        <v>6540</v>
      </c>
      <c r="I1292" s="46" t="n">
        <v>7</v>
      </c>
      <c r="J1292" s="44" t="n">
        <v>1.751</v>
      </c>
      <c r="K1292" s="43" t="inlineStr">
        <is>
          <t>Received</t>
        </is>
      </c>
      <c r="L1292" s="17">
        <f>INDEX(Items!$C$2:$C$117,MATCH(B1292,Items!$A$2:$A$117,0))</f>
        <v/>
      </c>
      <c r="M1292" s="49">
        <f>INDEX(Items!$E$2:$E$117,MATCH(B1292,Items!$A$2:$A$117,0))</f>
        <v/>
      </c>
      <c r="N1292" s="17">
        <f>TEXT(D1292,"yyyy-mm")</f>
        <v/>
      </c>
      <c r="O1292" s="50">
        <f>G1292*J1292</f>
        <v/>
      </c>
      <c r="P1292" s="50">
        <f>(J1292-M1292)*G1292</f>
        <v/>
      </c>
      <c r="Q1292" s="51">
        <f>IF(K1292="Received",1,0)</f>
        <v/>
      </c>
      <c r="R1292" s="51">
        <f>IF(Q1292=1,F1292-D1292,0)</f>
        <v/>
      </c>
      <c r="S1292" s="51">
        <f>IF(Q1292=1,IF(F1292&lt;=E1292,1,0),0)</f>
        <v/>
      </c>
      <c r="T1292" s="51">
        <f>IF(Q1292=1,IF(H1292&gt;=G1292,1,0),0)</f>
        <v/>
      </c>
      <c r="U1292" s="51">
        <f>S1292*T1292</f>
        <v/>
      </c>
      <c r="V1292" s="51">
        <f>IF(Q1292=1,MAX(0,F1292-E1292),0)</f>
        <v/>
      </c>
    </row>
    <row r="1293">
      <c r="A1293" s="43" t="inlineStr">
        <is>
          <t>PO100973</t>
        </is>
      </c>
      <c r="B1293" s="43" t="inlineStr">
        <is>
          <t>CMD-0044</t>
        </is>
      </c>
      <c r="C1293" s="43" t="inlineStr">
        <is>
          <t>S05</t>
        </is>
      </c>
      <c r="D1293" s="47" t="n">
        <v>46035</v>
      </c>
      <c r="E1293" s="47" t="n">
        <v>46140</v>
      </c>
      <c r="F1293" s="47" t="n">
        <v>46138</v>
      </c>
      <c r="G1293" s="46" t="n">
        <v>7308</v>
      </c>
      <c r="H1293" s="46" t="n">
        <v>7308</v>
      </c>
      <c r="I1293" s="46" t="n">
        <v>134</v>
      </c>
      <c r="J1293" s="44" t="n">
        <v>11.9171</v>
      </c>
      <c r="K1293" s="43" t="inlineStr">
        <is>
          <t>Received</t>
        </is>
      </c>
      <c r="L1293" s="17">
        <f>INDEX(Items!$C$2:$C$117,MATCH(B1293,Items!$A$2:$A$117,0))</f>
        <v/>
      </c>
      <c r="M1293" s="49">
        <f>INDEX(Items!$E$2:$E$117,MATCH(B1293,Items!$A$2:$A$117,0))</f>
        <v/>
      </c>
      <c r="N1293" s="17">
        <f>TEXT(D1293,"yyyy-mm")</f>
        <v/>
      </c>
      <c r="O1293" s="50">
        <f>G1293*J1293</f>
        <v/>
      </c>
      <c r="P1293" s="50">
        <f>(J1293-M1293)*G1293</f>
        <v/>
      </c>
      <c r="Q1293" s="51">
        <f>IF(K1293="Received",1,0)</f>
        <v/>
      </c>
      <c r="R1293" s="51">
        <f>IF(Q1293=1,F1293-D1293,0)</f>
        <v/>
      </c>
      <c r="S1293" s="51">
        <f>IF(Q1293=1,IF(F1293&lt;=E1293,1,0),0)</f>
        <v/>
      </c>
      <c r="T1293" s="51">
        <f>IF(Q1293=1,IF(H1293&gt;=G1293,1,0),0)</f>
        <v/>
      </c>
      <c r="U1293" s="51">
        <f>S1293*T1293</f>
        <v/>
      </c>
      <c r="V1293" s="51">
        <f>IF(Q1293=1,MAX(0,F1293-E1293),0)</f>
        <v/>
      </c>
    </row>
    <row r="1294">
      <c r="A1294" s="43" t="inlineStr">
        <is>
          <t>PO101611</t>
        </is>
      </c>
      <c r="B1294" s="43" t="inlineStr">
        <is>
          <t>CMD-0089</t>
        </is>
      </c>
      <c r="C1294" s="43" t="inlineStr">
        <is>
          <t>S01</t>
        </is>
      </c>
      <c r="D1294" s="47" t="n">
        <v>46035</v>
      </c>
      <c r="E1294" s="47" t="n">
        <v>46049</v>
      </c>
      <c r="F1294" s="47" t="n">
        <v>46049</v>
      </c>
      <c r="G1294" s="46" t="n">
        <v>660</v>
      </c>
      <c r="H1294" s="46" t="n">
        <v>660</v>
      </c>
      <c r="I1294" s="46" t="n">
        <v>2</v>
      </c>
      <c r="J1294" s="44" t="n">
        <v>9.774699999999999</v>
      </c>
      <c r="K1294" s="43" t="inlineStr">
        <is>
          <t>Received</t>
        </is>
      </c>
      <c r="L1294" s="17">
        <f>INDEX(Items!$C$2:$C$117,MATCH(B1294,Items!$A$2:$A$117,0))</f>
        <v/>
      </c>
      <c r="M1294" s="49">
        <f>INDEX(Items!$E$2:$E$117,MATCH(B1294,Items!$A$2:$A$117,0))</f>
        <v/>
      </c>
      <c r="N1294" s="17">
        <f>TEXT(D1294,"yyyy-mm")</f>
        <v/>
      </c>
      <c r="O1294" s="50">
        <f>G1294*J1294</f>
        <v/>
      </c>
      <c r="P1294" s="50">
        <f>(J1294-M1294)*G1294</f>
        <v/>
      </c>
      <c r="Q1294" s="51">
        <f>IF(K1294="Received",1,0)</f>
        <v/>
      </c>
      <c r="R1294" s="51">
        <f>IF(Q1294=1,F1294-D1294,0)</f>
        <v/>
      </c>
      <c r="S1294" s="51">
        <f>IF(Q1294=1,IF(F1294&lt;=E1294,1,0),0)</f>
        <v/>
      </c>
      <c r="T1294" s="51">
        <f>IF(Q1294=1,IF(H1294&gt;=G1294,1,0),0)</f>
        <v/>
      </c>
      <c r="U1294" s="51">
        <f>S1294*T1294</f>
        <v/>
      </c>
      <c r="V1294" s="51">
        <f>IF(Q1294=1,MAX(0,F1294-E1294),0)</f>
        <v/>
      </c>
    </row>
    <row r="1295">
      <c r="A1295" s="43" t="inlineStr">
        <is>
          <t>PO101947</t>
        </is>
      </c>
      <c r="B1295" s="43" t="inlineStr">
        <is>
          <t>CMD-0107</t>
        </is>
      </c>
      <c r="C1295" s="43" t="inlineStr">
        <is>
          <t>S09</t>
        </is>
      </c>
      <c r="D1295" s="47" t="n">
        <v>46035</v>
      </c>
      <c r="E1295" s="47" t="n">
        <v>46056</v>
      </c>
      <c r="F1295" s="47" t="n">
        <v>46055</v>
      </c>
      <c r="G1295" s="46" t="n">
        <v>1236</v>
      </c>
      <c r="H1295" s="46" t="n">
        <v>1236</v>
      </c>
      <c r="I1295" s="46" t="n">
        <v>3</v>
      </c>
      <c r="J1295" s="44" t="n">
        <v>7.1585</v>
      </c>
      <c r="K1295" s="43" t="inlineStr">
        <is>
          <t>Received</t>
        </is>
      </c>
      <c r="L1295" s="17">
        <f>INDEX(Items!$C$2:$C$117,MATCH(B1295,Items!$A$2:$A$117,0))</f>
        <v/>
      </c>
      <c r="M1295" s="49">
        <f>INDEX(Items!$E$2:$E$117,MATCH(B1295,Items!$A$2:$A$117,0))</f>
        <v/>
      </c>
      <c r="N1295" s="17">
        <f>TEXT(D1295,"yyyy-mm")</f>
        <v/>
      </c>
      <c r="O1295" s="50">
        <f>G1295*J1295</f>
        <v/>
      </c>
      <c r="P1295" s="50">
        <f>(J1295-M1295)*G1295</f>
        <v/>
      </c>
      <c r="Q1295" s="51">
        <f>IF(K1295="Received",1,0)</f>
        <v/>
      </c>
      <c r="R1295" s="51">
        <f>IF(Q1295=1,F1295-D1295,0)</f>
        <v/>
      </c>
      <c r="S1295" s="51">
        <f>IF(Q1295=1,IF(F1295&lt;=E1295,1,0),0)</f>
        <v/>
      </c>
      <c r="T1295" s="51">
        <f>IF(Q1295=1,IF(H1295&gt;=G1295,1,0),0)</f>
        <v/>
      </c>
      <c r="U1295" s="51">
        <f>S1295*T1295</f>
        <v/>
      </c>
      <c r="V1295" s="51">
        <f>IF(Q1295=1,MAX(0,F1295-E1295),0)</f>
        <v/>
      </c>
    </row>
    <row r="1296">
      <c r="A1296" s="43" t="inlineStr">
        <is>
          <t>PO100423</t>
        </is>
      </c>
      <c r="B1296" s="43" t="inlineStr">
        <is>
          <t>CMD-0019</t>
        </is>
      </c>
      <c r="C1296" s="43" t="inlineStr">
        <is>
          <t>S11</t>
        </is>
      </c>
      <c r="D1296" s="47" t="n">
        <v>46035</v>
      </c>
      <c r="E1296" s="47" t="n">
        <v>46112</v>
      </c>
      <c r="F1296" s="47" t="n">
        <v>46109</v>
      </c>
      <c r="G1296" s="46" t="n">
        <v>946</v>
      </c>
      <c r="H1296" s="46" t="n">
        <v>946</v>
      </c>
      <c r="I1296" s="46" t="n">
        <v>1</v>
      </c>
      <c r="J1296" s="44" t="n">
        <v>7.4675</v>
      </c>
      <c r="K1296" s="43" t="inlineStr">
        <is>
          <t>Received</t>
        </is>
      </c>
      <c r="L1296" s="17">
        <f>INDEX(Items!$C$2:$C$117,MATCH(B1296,Items!$A$2:$A$117,0))</f>
        <v/>
      </c>
      <c r="M1296" s="49">
        <f>INDEX(Items!$E$2:$E$117,MATCH(B1296,Items!$A$2:$A$117,0))</f>
        <v/>
      </c>
      <c r="N1296" s="17">
        <f>TEXT(D1296,"yyyy-mm")</f>
        <v/>
      </c>
      <c r="O1296" s="50">
        <f>G1296*J1296</f>
        <v/>
      </c>
      <c r="P1296" s="50">
        <f>(J1296-M1296)*G1296</f>
        <v/>
      </c>
      <c r="Q1296" s="51">
        <f>IF(K1296="Received",1,0)</f>
        <v/>
      </c>
      <c r="R1296" s="51">
        <f>IF(Q1296=1,F1296-D1296,0)</f>
        <v/>
      </c>
      <c r="S1296" s="51">
        <f>IF(Q1296=1,IF(F1296&lt;=E1296,1,0),0)</f>
        <v/>
      </c>
      <c r="T1296" s="51">
        <f>IF(Q1296=1,IF(H1296&gt;=G1296,1,0),0)</f>
        <v/>
      </c>
      <c r="U1296" s="51">
        <f>S1296*T1296</f>
        <v/>
      </c>
      <c r="V1296" s="51">
        <f>IF(Q1296=1,MAX(0,F1296-E1296),0)</f>
        <v/>
      </c>
    </row>
    <row r="1297">
      <c r="A1297" s="43" t="inlineStr">
        <is>
          <t>PO100403</t>
        </is>
      </c>
      <c r="B1297" s="43" t="inlineStr">
        <is>
          <t>CMD-0018</t>
        </is>
      </c>
      <c r="C1297" s="43" t="inlineStr">
        <is>
          <t>S02</t>
        </is>
      </c>
      <c r="D1297" s="47" t="n">
        <v>46036</v>
      </c>
      <c r="E1297" s="47" t="n">
        <v>46092</v>
      </c>
      <c r="F1297" s="47" t="n">
        <v>46102</v>
      </c>
      <c r="G1297" s="46" t="n">
        <v>6564</v>
      </c>
      <c r="H1297" s="46" t="n">
        <v>6564</v>
      </c>
      <c r="I1297" s="46" t="n">
        <v>28</v>
      </c>
      <c r="J1297" s="44" t="n">
        <v>39.0576</v>
      </c>
      <c r="K1297" s="43" t="inlineStr">
        <is>
          <t>Received</t>
        </is>
      </c>
      <c r="L1297" s="17">
        <f>INDEX(Items!$C$2:$C$117,MATCH(B1297,Items!$A$2:$A$117,0))</f>
        <v/>
      </c>
      <c r="M1297" s="49">
        <f>INDEX(Items!$E$2:$E$117,MATCH(B1297,Items!$A$2:$A$117,0))</f>
        <v/>
      </c>
      <c r="N1297" s="17">
        <f>TEXT(D1297,"yyyy-mm")</f>
        <v/>
      </c>
      <c r="O1297" s="50">
        <f>G1297*J1297</f>
        <v/>
      </c>
      <c r="P1297" s="50">
        <f>(J1297-M1297)*G1297</f>
        <v/>
      </c>
      <c r="Q1297" s="51">
        <f>IF(K1297="Received",1,0)</f>
        <v/>
      </c>
      <c r="R1297" s="51">
        <f>IF(Q1297=1,F1297-D1297,0)</f>
        <v/>
      </c>
      <c r="S1297" s="51">
        <f>IF(Q1297=1,IF(F1297&lt;=E1297,1,0),0)</f>
        <v/>
      </c>
      <c r="T1297" s="51">
        <f>IF(Q1297=1,IF(H1297&gt;=G1297,1,0),0)</f>
        <v/>
      </c>
      <c r="U1297" s="51">
        <f>S1297*T1297</f>
        <v/>
      </c>
      <c r="V1297" s="51">
        <f>IF(Q1297=1,MAX(0,F1297-E1297),0)</f>
        <v/>
      </c>
    </row>
    <row r="1298">
      <c r="A1298" s="43" t="inlineStr">
        <is>
          <t>PO101633</t>
        </is>
      </c>
      <c r="B1298" s="43" t="inlineStr">
        <is>
          <t>CMD-0090</t>
        </is>
      </c>
      <c r="C1298" s="43" t="inlineStr">
        <is>
          <t>S01</t>
        </is>
      </c>
      <c r="D1298" s="47" t="n">
        <v>46036</v>
      </c>
      <c r="E1298" s="47" t="n">
        <v>46050</v>
      </c>
      <c r="F1298" s="47" t="n">
        <v>46048</v>
      </c>
      <c r="G1298" s="46" t="n">
        <v>4570</v>
      </c>
      <c r="H1298" s="46" t="n">
        <v>4570</v>
      </c>
      <c r="I1298" s="46" t="n">
        <v>7</v>
      </c>
      <c r="J1298" s="44" t="n">
        <v>7.1997</v>
      </c>
      <c r="K1298" s="43" t="inlineStr">
        <is>
          <t>Received</t>
        </is>
      </c>
      <c r="L1298" s="17">
        <f>INDEX(Items!$C$2:$C$117,MATCH(B1298,Items!$A$2:$A$117,0))</f>
        <v/>
      </c>
      <c r="M1298" s="49">
        <f>INDEX(Items!$E$2:$E$117,MATCH(B1298,Items!$A$2:$A$117,0))</f>
        <v/>
      </c>
      <c r="N1298" s="17">
        <f>TEXT(D1298,"yyyy-mm")</f>
        <v/>
      </c>
      <c r="O1298" s="50">
        <f>G1298*J1298</f>
        <v/>
      </c>
      <c r="P1298" s="50">
        <f>(J1298-M1298)*G1298</f>
        <v/>
      </c>
      <c r="Q1298" s="51">
        <f>IF(K1298="Received",1,0)</f>
        <v/>
      </c>
      <c r="R1298" s="51">
        <f>IF(Q1298=1,F1298-D1298,0)</f>
        <v/>
      </c>
      <c r="S1298" s="51">
        <f>IF(Q1298=1,IF(F1298&lt;=E1298,1,0),0)</f>
        <v/>
      </c>
      <c r="T1298" s="51">
        <f>IF(Q1298=1,IF(H1298&gt;=G1298,1,0),0)</f>
        <v/>
      </c>
      <c r="U1298" s="51">
        <f>S1298*T1298</f>
        <v/>
      </c>
      <c r="V1298" s="51">
        <f>IF(Q1298=1,MAX(0,F1298-E1298),0)</f>
        <v/>
      </c>
    </row>
    <row r="1299">
      <c r="A1299" s="43" t="inlineStr">
        <is>
          <t>PO101471</t>
        </is>
      </c>
      <c r="B1299" s="43" t="inlineStr">
        <is>
          <t>CMD-0078</t>
        </is>
      </c>
      <c r="C1299" s="43" t="inlineStr">
        <is>
          <t>S06</t>
        </is>
      </c>
      <c r="D1299" s="47" t="n">
        <v>46036</v>
      </c>
      <c r="E1299" s="47" t="n">
        <v>46057</v>
      </c>
      <c r="F1299" s="47" t="n">
        <v>46054</v>
      </c>
      <c r="G1299" s="46" t="n">
        <v>4424</v>
      </c>
      <c r="H1299" s="46" t="n">
        <v>4424</v>
      </c>
      <c r="I1299" s="46" t="n">
        <v>12</v>
      </c>
      <c r="J1299" s="44" t="n">
        <v>2.678</v>
      </c>
      <c r="K1299" s="43" t="inlineStr">
        <is>
          <t>Received</t>
        </is>
      </c>
      <c r="L1299" s="17">
        <f>INDEX(Items!$C$2:$C$117,MATCH(B1299,Items!$A$2:$A$117,0))</f>
        <v/>
      </c>
      <c r="M1299" s="49">
        <f>INDEX(Items!$E$2:$E$117,MATCH(B1299,Items!$A$2:$A$117,0))</f>
        <v/>
      </c>
      <c r="N1299" s="17">
        <f>TEXT(D1299,"yyyy-mm")</f>
        <v/>
      </c>
      <c r="O1299" s="50">
        <f>G1299*J1299</f>
        <v/>
      </c>
      <c r="P1299" s="50">
        <f>(J1299-M1299)*G1299</f>
        <v/>
      </c>
      <c r="Q1299" s="51">
        <f>IF(K1299="Received",1,0)</f>
        <v/>
      </c>
      <c r="R1299" s="51">
        <f>IF(Q1299=1,F1299-D1299,0)</f>
        <v/>
      </c>
      <c r="S1299" s="51">
        <f>IF(Q1299=1,IF(F1299&lt;=E1299,1,0),0)</f>
        <v/>
      </c>
      <c r="T1299" s="51">
        <f>IF(Q1299=1,IF(H1299&gt;=G1299,1,0),0)</f>
        <v/>
      </c>
      <c r="U1299" s="51">
        <f>S1299*T1299</f>
        <v/>
      </c>
      <c r="V1299" s="51">
        <f>IF(Q1299=1,MAX(0,F1299-E1299),0)</f>
        <v/>
      </c>
    </row>
    <row r="1300">
      <c r="A1300" s="43" t="inlineStr">
        <is>
          <t>PO100465</t>
        </is>
      </c>
      <c r="B1300" s="43" t="inlineStr">
        <is>
          <t>CMD-0021</t>
        </is>
      </c>
      <c r="C1300" s="43" t="inlineStr">
        <is>
          <t>S04</t>
        </is>
      </c>
      <c r="D1300" s="47" t="n">
        <v>46036</v>
      </c>
      <c r="E1300" s="47" t="n">
        <v>46106</v>
      </c>
      <c r="F1300" s="47" t="n">
        <v>46105</v>
      </c>
      <c r="G1300" s="46" t="n">
        <v>998</v>
      </c>
      <c r="H1300" s="46" t="n">
        <v>998</v>
      </c>
      <c r="I1300" s="46" t="n">
        <v>14</v>
      </c>
      <c r="J1300" s="44" t="n">
        <v>5.0882</v>
      </c>
      <c r="K1300" s="43" t="inlineStr">
        <is>
          <t>Received</t>
        </is>
      </c>
      <c r="L1300" s="17">
        <f>INDEX(Items!$C$2:$C$117,MATCH(B1300,Items!$A$2:$A$117,0))</f>
        <v/>
      </c>
      <c r="M1300" s="49">
        <f>INDEX(Items!$E$2:$E$117,MATCH(B1300,Items!$A$2:$A$117,0))</f>
        <v/>
      </c>
      <c r="N1300" s="17">
        <f>TEXT(D1300,"yyyy-mm")</f>
        <v/>
      </c>
      <c r="O1300" s="50">
        <f>G1300*J1300</f>
        <v/>
      </c>
      <c r="P1300" s="50">
        <f>(J1300-M1300)*G1300</f>
        <v/>
      </c>
      <c r="Q1300" s="51">
        <f>IF(K1300="Received",1,0)</f>
        <v/>
      </c>
      <c r="R1300" s="51">
        <f>IF(Q1300=1,F1300-D1300,0)</f>
        <v/>
      </c>
      <c r="S1300" s="51">
        <f>IF(Q1300=1,IF(F1300&lt;=E1300,1,0),0)</f>
        <v/>
      </c>
      <c r="T1300" s="51">
        <f>IF(Q1300=1,IF(H1300&gt;=G1300,1,0),0)</f>
        <v/>
      </c>
      <c r="U1300" s="51">
        <f>S1300*T1300</f>
        <v/>
      </c>
      <c r="V1300" s="51">
        <f>IF(Q1300=1,MAX(0,F1300-E1300),0)</f>
        <v/>
      </c>
    </row>
    <row r="1301">
      <c r="A1301" s="43" t="inlineStr">
        <is>
          <t>PO100997</t>
        </is>
      </c>
      <c r="B1301" s="43" t="inlineStr">
        <is>
          <t>CMD-0045</t>
        </is>
      </c>
      <c r="C1301" s="43" t="inlineStr">
        <is>
          <t>S05</t>
        </is>
      </c>
      <c r="D1301" s="47" t="n">
        <v>46036</v>
      </c>
      <c r="E1301" s="47" t="n">
        <v>46141</v>
      </c>
      <c r="F1301" s="47" t="n">
        <v>46141</v>
      </c>
      <c r="G1301" s="46" t="n">
        <v>4455</v>
      </c>
      <c r="H1301" s="46" t="n">
        <v>3871</v>
      </c>
      <c r="I1301" s="46" t="n">
        <v>77</v>
      </c>
      <c r="J1301" s="44" t="n">
        <v>9.2597</v>
      </c>
      <c r="K1301" s="43" t="inlineStr">
        <is>
          <t>Received</t>
        </is>
      </c>
      <c r="L1301" s="17">
        <f>INDEX(Items!$C$2:$C$117,MATCH(B1301,Items!$A$2:$A$117,0))</f>
        <v/>
      </c>
      <c r="M1301" s="49">
        <f>INDEX(Items!$E$2:$E$117,MATCH(B1301,Items!$A$2:$A$117,0))</f>
        <v/>
      </c>
      <c r="N1301" s="17">
        <f>TEXT(D1301,"yyyy-mm")</f>
        <v/>
      </c>
      <c r="O1301" s="50">
        <f>G1301*J1301</f>
        <v/>
      </c>
      <c r="P1301" s="50">
        <f>(J1301-M1301)*G1301</f>
        <v/>
      </c>
      <c r="Q1301" s="51">
        <f>IF(K1301="Received",1,0)</f>
        <v/>
      </c>
      <c r="R1301" s="51">
        <f>IF(Q1301=1,F1301-D1301,0)</f>
        <v/>
      </c>
      <c r="S1301" s="51">
        <f>IF(Q1301=1,IF(F1301&lt;=E1301,1,0),0)</f>
        <v/>
      </c>
      <c r="T1301" s="51">
        <f>IF(Q1301=1,IF(H1301&gt;=G1301,1,0),0)</f>
        <v/>
      </c>
      <c r="U1301" s="51">
        <f>S1301*T1301</f>
        <v/>
      </c>
      <c r="V1301" s="51">
        <f>IF(Q1301=1,MAX(0,F1301-E1301),0)</f>
        <v/>
      </c>
    </row>
    <row r="1302">
      <c r="A1302" s="43" t="inlineStr">
        <is>
          <t>PO101021</t>
        </is>
      </c>
      <c r="B1302" s="43" t="inlineStr">
        <is>
          <t>CMD-0046</t>
        </is>
      </c>
      <c r="C1302" s="43" t="inlineStr">
        <is>
          <t>S05</t>
        </is>
      </c>
      <c r="D1302" s="47" t="n">
        <v>46036</v>
      </c>
      <c r="E1302" s="47" t="n">
        <v>46141</v>
      </c>
      <c r="F1302" s="47" t="n">
        <v>46139</v>
      </c>
      <c r="G1302" s="46" t="n">
        <v>8540</v>
      </c>
      <c r="H1302" s="46" t="n">
        <v>5229</v>
      </c>
      <c r="I1302" s="46" t="n">
        <v>98</v>
      </c>
      <c r="J1302" s="44" t="n">
        <v>10.8871</v>
      </c>
      <c r="K1302" s="43" t="inlineStr">
        <is>
          <t>Received</t>
        </is>
      </c>
      <c r="L1302" s="17">
        <f>INDEX(Items!$C$2:$C$117,MATCH(B1302,Items!$A$2:$A$117,0))</f>
        <v/>
      </c>
      <c r="M1302" s="49">
        <f>INDEX(Items!$E$2:$E$117,MATCH(B1302,Items!$A$2:$A$117,0))</f>
        <v/>
      </c>
      <c r="N1302" s="17">
        <f>TEXT(D1302,"yyyy-mm")</f>
        <v/>
      </c>
      <c r="O1302" s="50">
        <f>G1302*J1302</f>
        <v/>
      </c>
      <c r="P1302" s="50">
        <f>(J1302-M1302)*G1302</f>
        <v/>
      </c>
      <c r="Q1302" s="51">
        <f>IF(K1302="Received",1,0)</f>
        <v/>
      </c>
      <c r="R1302" s="51">
        <f>IF(Q1302=1,F1302-D1302,0)</f>
        <v/>
      </c>
      <c r="S1302" s="51">
        <f>IF(Q1302=1,IF(F1302&lt;=E1302,1,0),0)</f>
        <v/>
      </c>
      <c r="T1302" s="51">
        <f>IF(Q1302=1,IF(H1302&gt;=G1302,1,0),0)</f>
        <v/>
      </c>
      <c r="U1302" s="51">
        <f>S1302*T1302</f>
        <v/>
      </c>
      <c r="V1302" s="51">
        <f>IF(Q1302=1,MAX(0,F1302-E1302),0)</f>
        <v/>
      </c>
    </row>
    <row r="1303">
      <c r="A1303" s="43" t="inlineStr">
        <is>
          <t>PO101519</t>
        </is>
      </c>
      <c r="B1303" s="43" t="inlineStr">
        <is>
          <t>CMD-0080</t>
        </is>
      </c>
      <c r="C1303" s="43" t="inlineStr">
        <is>
          <t>S06</t>
        </is>
      </c>
      <c r="D1303" s="47" t="n">
        <v>46036</v>
      </c>
      <c r="E1303" s="47" t="n">
        <v>46057</v>
      </c>
      <c r="F1303" s="47" t="n">
        <v>46054</v>
      </c>
      <c r="G1303" s="46" t="n">
        <v>5138</v>
      </c>
      <c r="H1303" s="46" t="n">
        <v>5138</v>
      </c>
      <c r="I1303" s="46" t="n">
        <v>27</v>
      </c>
      <c r="J1303" s="44" t="n">
        <v>5.6959</v>
      </c>
      <c r="K1303" s="43" t="inlineStr">
        <is>
          <t>Received</t>
        </is>
      </c>
      <c r="L1303" s="17">
        <f>INDEX(Items!$C$2:$C$117,MATCH(B1303,Items!$A$2:$A$117,0))</f>
        <v/>
      </c>
      <c r="M1303" s="49">
        <f>INDEX(Items!$E$2:$E$117,MATCH(B1303,Items!$A$2:$A$117,0))</f>
        <v/>
      </c>
      <c r="N1303" s="17">
        <f>TEXT(D1303,"yyyy-mm")</f>
        <v/>
      </c>
      <c r="O1303" s="50">
        <f>G1303*J1303</f>
        <v/>
      </c>
      <c r="P1303" s="50">
        <f>(J1303-M1303)*G1303</f>
        <v/>
      </c>
      <c r="Q1303" s="51">
        <f>IF(K1303="Received",1,0)</f>
        <v/>
      </c>
      <c r="R1303" s="51">
        <f>IF(Q1303=1,F1303-D1303,0)</f>
        <v/>
      </c>
      <c r="S1303" s="51">
        <f>IF(Q1303=1,IF(F1303&lt;=E1303,1,0),0)</f>
        <v/>
      </c>
      <c r="T1303" s="51">
        <f>IF(Q1303=1,IF(H1303&gt;=G1303,1,0),0)</f>
        <v/>
      </c>
      <c r="U1303" s="51">
        <f>S1303*T1303</f>
        <v/>
      </c>
      <c r="V1303" s="51">
        <f>IF(Q1303=1,MAX(0,F1303-E1303),0)</f>
        <v/>
      </c>
    </row>
    <row r="1304">
      <c r="A1304" s="43" t="inlineStr">
        <is>
          <t>PO101173</t>
        </is>
      </c>
      <c r="B1304" s="43" t="inlineStr">
        <is>
          <t>CMD-0054</t>
        </is>
      </c>
      <c r="C1304" s="43" t="inlineStr">
        <is>
          <t>S10</t>
        </is>
      </c>
      <c r="D1304" s="47" t="n">
        <v>46036</v>
      </c>
      <c r="E1304" s="47" t="n">
        <v>46064</v>
      </c>
      <c r="F1304" s="47" t="n">
        <v>46062</v>
      </c>
      <c r="G1304" s="46" t="n">
        <v>46572</v>
      </c>
      <c r="H1304" s="46" t="n">
        <v>46572</v>
      </c>
      <c r="I1304" s="46" t="n">
        <v>48</v>
      </c>
      <c r="J1304" s="44" t="n">
        <v>0.1738</v>
      </c>
      <c r="K1304" s="43" t="inlineStr">
        <is>
          <t>Received</t>
        </is>
      </c>
      <c r="L1304" s="17">
        <f>INDEX(Items!$C$2:$C$117,MATCH(B1304,Items!$A$2:$A$117,0))</f>
        <v/>
      </c>
      <c r="M1304" s="49">
        <f>INDEX(Items!$E$2:$E$117,MATCH(B1304,Items!$A$2:$A$117,0))</f>
        <v/>
      </c>
      <c r="N1304" s="17">
        <f>TEXT(D1304,"yyyy-mm")</f>
        <v/>
      </c>
      <c r="O1304" s="50">
        <f>G1304*J1304</f>
        <v/>
      </c>
      <c r="P1304" s="50">
        <f>(J1304-M1304)*G1304</f>
        <v/>
      </c>
      <c r="Q1304" s="51">
        <f>IF(K1304="Received",1,0)</f>
        <v/>
      </c>
      <c r="R1304" s="51">
        <f>IF(Q1304=1,F1304-D1304,0)</f>
        <v/>
      </c>
      <c r="S1304" s="51">
        <f>IF(Q1304=1,IF(F1304&lt;=E1304,1,0),0)</f>
        <v/>
      </c>
      <c r="T1304" s="51">
        <f>IF(Q1304=1,IF(H1304&gt;=G1304,1,0),0)</f>
        <v/>
      </c>
      <c r="U1304" s="51">
        <f>S1304*T1304</f>
        <v/>
      </c>
      <c r="V1304" s="51">
        <f>IF(Q1304=1,MAX(0,F1304-E1304),0)</f>
        <v/>
      </c>
    </row>
    <row r="1305">
      <c r="A1305" s="43" t="inlineStr">
        <is>
          <t>PO101777</t>
        </is>
      </c>
      <c r="B1305" s="43" t="inlineStr">
        <is>
          <t>CMD-0096</t>
        </is>
      </c>
      <c r="C1305" s="43" t="inlineStr">
        <is>
          <t>S09</t>
        </is>
      </c>
      <c r="D1305" s="47" t="n">
        <v>46036</v>
      </c>
      <c r="E1305" s="47" t="n">
        <v>46057</v>
      </c>
      <c r="F1305" s="47" t="n">
        <v>46077</v>
      </c>
      <c r="G1305" s="46" t="n">
        <v>932</v>
      </c>
      <c r="H1305" s="46" t="n">
        <v>932</v>
      </c>
      <c r="I1305" s="46" t="n">
        <v>3</v>
      </c>
      <c r="J1305" s="44" t="n">
        <v>6.6126</v>
      </c>
      <c r="K1305" s="43" t="inlineStr">
        <is>
          <t>Received</t>
        </is>
      </c>
      <c r="L1305" s="17">
        <f>INDEX(Items!$C$2:$C$117,MATCH(B1305,Items!$A$2:$A$117,0))</f>
        <v/>
      </c>
      <c r="M1305" s="49">
        <f>INDEX(Items!$E$2:$E$117,MATCH(B1305,Items!$A$2:$A$117,0))</f>
        <v/>
      </c>
      <c r="N1305" s="17">
        <f>TEXT(D1305,"yyyy-mm")</f>
        <v/>
      </c>
      <c r="O1305" s="50">
        <f>G1305*J1305</f>
        <v/>
      </c>
      <c r="P1305" s="50">
        <f>(J1305-M1305)*G1305</f>
        <v/>
      </c>
      <c r="Q1305" s="51">
        <f>IF(K1305="Received",1,0)</f>
        <v/>
      </c>
      <c r="R1305" s="51">
        <f>IF(Q1305=1,F1305-D1305,0)</f>
        <v/>
      </c>
      <c r="S1305" s="51">
        <f>IF(Q1305=1,IF(F1305&lt;=E1305,1,0),0)</f>
        <v/>
      </c>
      <c r="T1305" s="51">
        <f>IF(Q1305=1,IF(H1305&gt;=G1305,1,0),0)</f>
        <v/>
      </c>
      <c r="U1305" s="51">
        <f>S1305*T1305</f>
        <v/>
      </c>
      <c r="V1305" s="51">
        <f>IF(Q1305=1,MAX(0,F1305-E1305),0)</f>
        <v/>
      </c>
    </row>
    <row r="1306">
      <c r="A1306" s="43" t="inlineStr">
        <is>
          <t>PO100039</t>
        </is>
      </c>
      <c r="B1306" s="43" t="inlineStr">
        <is>
          <t>CMD-0002</t>
        </is>
      </c>
      <c r="C1306" s="43" t="inlineStr">
        <is>
          <t>S11</t>
        </is>
      </c>
      <c r="D1306" s="47" t="n">
        <v>46036</v>
      </c>
      <c r="E1306" s="47" t="n">
        <v>46155</v>
      </c>
      <c r="F1306" s="47" t="n">
        <v>46152</v>
      </c>
      <c r="G1306" s="46" t="n">
        <v>6074</v>
      </c>
      <c r="H1306" s="46" t="n">
        <v>6074</v>
      </c>
      <c r="I1306" s="46" t="n">
        <v>12</v>
      </c>
      <c r="J1306" s="44" t="n">
        <v>8.083</v>
      </c>
      <c r="K1306" s="43" t="inlineStr">
        <is>
          <t>Received</t>
        </is>
      </c>
      <c r="L1306" s="17">
        <f>INDEX(Items!$C$2:$C$117,MATCH(B1306,Items!$A$2:$A$117,0))</f>
        <v/>
      </c>
      <c r="M1306" s="49">
        <f>INDEX(Items!$E$2:$E$117,MATCH(B1306,Items!$A$2:$A$117,0))</f>
        <v/>
      </c>
      <c r="N1306" s="17">
        <f>TEXT(D1306,"yyyy-mm")</f>
        <v/>
      </c>
      <c r="O1306" s="50">
        <f>G1306*J1306</f>
        <v/>
      </c>
      <c r="P1306" s="50">
        <f>(J1306-M1306)*G1306</f>
        <v/>
      </c>
      <c r="Q1306" s="51">
        <f>IF(K1306="Received",1,0)</f>
        <v/>
      </c>
      <c r="R1306" s="51">
        <f>IF(Q1306=1,F1306-D1306,0)</f>
        <v/>
      </c>
      <c r="S1306" s="51">
        <f>IF(Q1306=1,IF(F1306&lt;=E1306,1,0),0)</f>
        <v/>
      </c>
      <c r="T1306" s="51">
        <f>IF(Q1306=1,IF(H1306&gt;=G1306,1,0),0)</f>
        <v/>
      </c>
      <c r="U1306" s="51">
        <f>S1306*T1306</f>
        <v/>
      </c>
      <c r="V1306" s="51">
        <f>IF(Q1306=1,MAX(0,F1306-E1306),0)</f>
        <v/>
      </c>
    </row>
    <row r="1307">
      <c r="A1307" s="43" t="inlineStr">
        <is>
          <t>PO100737</t>
        </is>
      </c>
      <c r="B1307" s="43" t="inlineStr">
        <is>
          <t>CMD-0033</t>
        </is>
      </c>
      <c r="C1307" s="43" t="inlineStr">
        <is>
          <t>S07</t>
        </is>
      </c>
      <c r="D1307" s="47" t="n">
        <v>46037</v>
      </c>
      <c r="E1307" s="47" t="n">
        <v>46079</v>
      </c>
      <c r="F1307" s="47" t="n">
        <v>46077</v>
      </c>
      <c r="G1307" s="46" t="n">
        <v>4492</v>
      </c>
      <c r="H1307" s="46" t="n">
        <v>4492</v>
      </c>
      <c r="I1307" s="46" t="n">
        <v>42</v>
      </c>
      <c r="J1307" s="44" t="n">
        <v>60.1108</v>
      </c>
      <c r="K1307" s="43" t="inlineStr">
        <is>
          <t>Received</t>
        </is>
      </c>
      <c r="L1307" s="17">
        <f>INDEX(Items!$C$2:$C$117,MATCH(B1307,Items!$A$2:$A$117,0))</f>
        <v/>
      </c>
      <c r="M1307" s="49">
        <f>INDEX(Items!$E$2:$E$117,MATCH(B1307,Items!$A$2:$A$117,0))</f>
        <v/>
      </c>
      <c r="N1307" s="17">
        <f>TEXT(D1307,"yyyy-mm")</f>
        <v/>
      </c>
      <c r="O1307" s="50">
        <f>G1307*J1307</f>
        <v/>
      </c>
      <c r="P1307" s="50">
        <f>(J1307-M1307)*G1307</f>
        <v/>
      </c>
      <c r="Q1307" s="51">
        <f>IF(K1307="Received",1,0)</f>
        <v/>
      </c>
      <c r="R1307" s="51">
        <f>IF(Q1307=1,F1307-D1307,0)</f>
        <v/>
      </c>
      <c r="S1307" s="51">
        <f>IF(Q1307=1,IF(F1307&lt;=E1307,1,0),0)</f>
        <v/>
      </c>
      <c r="T1307" s="51">
        <f>IF(Q1307=1,IF(H1307&gt;=G1307,1,0),0)</f>
        <v/>
      </c>
      <c r="U1307" s="51">
        <f>S1307*T1307</f>
        <v/>
      </c>
      <c r="V1307" s="51">
        <f>IF(Q1307=1,MAX(0,F1307-E1307),0)</f>
        <v/>
      </c>
    </row>
    <row r="1308">
      <c r="A1308" s="43" t="inlineStr">
        <is>
          <t>PO101753</t>
        </is>
      </c>
      <c r="B1308" s="43" t="inlineStr">
        <is>
          <t>CMD-0095</t>
        </is>
      </c>
      <c r="C1308" s="43" t="inlineStr">
        <is>
          <t>S08</t>
        </is>
      </c>
      <c r="D1308" s="47" t="n">
        <v>46037</v>
      </c>
      <c r="E1308" s="47" t="n">
        <v>46114</v>
      </c>
      <c r="F1308" s="47" t="n">
        <v>46113</v>
      </c>
      <c r="G1308" s="46" t="n">
        <v>334</v>
      </c>
      <c r="H1308" s="46" t="n">
        <v>334</v>
      </c>
      <c r="I1308" s="46" t="n">
        <v>3</v>
      </c>
      <c r="J1308" s="44" t="n">
        <v>94.5849</v>
      </c>
      <c r="K1308" s="43" t="inlineStr">
        <is>
          <t>Received</t>
        </is>
      </c>
      <c r="L1308" s="17">
        <f>INDEX(Items!$C$2:$C$117,MATCH(B1308,Items!$A$2:$A$117,0))</f>
        <v/>
      </c>
      <c r="M1308" s="49">
        <f>INDEX(Items!$E$2:$E$117,MATCH(B1308,Items!$A$2:$A$117,0))</f>
        <v/>
      </c>
      <c r="N1308" s="17">
        <f>TEXT(D1308,"yyyy-mm")</f>
        <v/>
      </c>
      <c r="O1308" s="50">
        <f>G1308*J1308</f>
        <v/>
      </c>
      <c r="P1308" s="50">
        <f>(J1308-M1308)*G1308</f>
        <v/>
      </c>
      <c r="Q1308" s="51">
        <f>IF(K1308="Received",1,0)</f>
        <v/>
      </c>
      <c r="R1308" s="51">
        <f>IF(Q1308=1,F1308-D1308,0)</f>
        <v/>
      </c>
      <c r="S1308" s="51">
        <f>IF(Q1308=1,IF(F1308&lt;=E1308,1,0),0)</f>
        <v/>
      </c>
      <c r="T1308" s="51">
        <f>IF(Q1308=1,IF(H1308&gt;=G1308,1,0),0)</f>
        <v/>
      </c>
      <c r="U1308" s="51">
        <f>S1308*T1308</f>
        <v/>
      </c>
      <c r="V1308" s="51">
        <f>IF(Q1308=1,MAX(0,F1308-E1308),0)</f>
        <v/>
      </c>
    </row>
    <row r="1309">
      <c r="A1309" s="43" t="inlineStr">
        <is>
          <t>PO101323</t>
        </is>
      </c>
      <c r="B1309" s="43" t="inlineStr">
        <is>
          <t>CMD-0065</t>
        </is>
      </c>
      <c r="C1309" s="43" t="inlineStr">
        <is>
          <t>S10</t>
        </is>
      </c>
      <c r="D1309" s="47" t="n">
        <v>46037</v>
      </c>
      <c r="E1309" s="47" t="n">
        <v>46065</v>
      </c>
      <c r="F1309" s="47" t="n">
        <v>46063</v>
      </c>
      <c r="G1309" s="46" t="n">
        <v>92400</v>
      </c>
      <c r="H1309" s="46" t="n">
        <v>92400</v>
      </c>
      <c r="I1309" s="46" t="n">
        <v>88</v>
      </c>
      <c r="J1309" s="44" t="n">
        <v>0.119</v>
      </c>
      <c r="K1309" s="43" t="inlineStr">
        <is>
          <t>Received</t>
        </is>
      </c>
      <c r="L1309" s="17">
        <f>INDEX(Items!$C$2:$C$117,MATCH(B1309,Items!$A$2:$A$117,0))</f>
        <v/>
      </c>
      <c r="M1309" s="49">
        <f>INDEX(Items!$E$2:$E$117,MATCH(B1309,Items!$A$2:$A$117,0))</f>
        <v/>
      </c>
      <c r="N1309" s="17">
        <f>TEXT(D1309,"yyyy-mm")</f>
        <v/>
      </c>
      <c r="O1309" s="50">
        <f>G1309*J1309</f>
        <v/>
      </c>
      <c r="P1309" s="50">
        <f>(J1309-M1309)*G1309</f>
        <v/>
      </c>
      <c r="Q1309" s="51">
        <f>IF(K1309="Received",1,0)</f>
        <v/>
      </c>
      <c r="R1309" s="51">
        <f>IF(Q1309=1,F1309-D1309,0)</f>
        <v/>
      </c>
      <c r="S1309" s="51">
        <f>IF(Q1309=1,IF(F1309&lt;=E1309,1,0),0)</f>
        <v/>
      </c>
      <c r="T1309" s="51">
        <f>IF(Q1309=1,IF(H1309&gt;=G1309,1,0),0)</f>
        <v/>
      </c>
      <c r="U1309" s="51">
        <f>S1309*T1309</f>
        <v/>
      </c>
      <c r="V1309" s="51">
        <f>IF(Q1309=1,MAX(0,F1309-E1309),0)</f>
        <v/>
      </c>
    </row>
    <row r="1310">
      <c r="A1310" s="43" t="inlineStr">
        <is>
          <t>PO101547</t>
        </is>
      </c>
      <c r="B1310" s="43" t="inlineStr">
        <is>
          <t>CMD-0082</t>
        </is>
      </c>
      <c r="C1310" s="43" t="inlineStr">
        <is>
          <t>S01</t>
        </is>
      </c>
      <c r="D1310" s="47" t="n">
        <v>46037</v>
      </c>
      <c r="E1310" s="47" t="n">
        <v>46051</v>
      </c>
      <c r="F1310" s="47" t="n">
        <v>46050</v>
      </c>
      <c r="G1310" s="46" t="n">
        <v>8181</v>
      </c>
      <c r="H1310" s="46" t="n">
        <v>8181</v>
      </c>
      <c r="I1310" s="46" t="n">
        <v>17</v>
      </c>
      <c r="J1310" s="44" t="n">
        <v>2.3896</v>
      </c>
      <c r="K1310" s="43" t="inlineStr">
        <is>
          <t>Received</t>
        </is>
      </c>
      <c r="L1310" s="17">
        <f>INDEX(Items!$C$2:$C$117,MATCH(B1310,Items!$A$2:$A$117,0))</f>
        <v/>
      </c>
      <c r="M1310" s="49">
        <f>INDEX(Items!$E$2:$E$117,MATCH(B1310,Items!$A$2:$A$117,0))</f>
        <v/>
      </c>
      <c r="N1310" s="17">
        <f>TEXT(D1310,"yyyy-mm")</f>
        <v/>
      </c>
      <c r="O1310" s="50">
        <f>G1310*J1310</f>
        <v/>
      </c>
      <c r="P1310" s="50">
        <f>(J1310-M1310)*G1310</f>
        <v/>
      </c>
      <c r="Q1310" s="51">
        <f>IF(K1310="Received",1,0)</f>
        <v/>
      </c>
      <c r="R1310" s="51">
        <f>IF(Q1310=1,F1310-D1310,0)</f>
        <v/>
      </c>
      <c r="S1310" s="51">
        <f>IF(Q1310=1,IF(F1310&lt;=E1310,1,0),0)</f>
        <v/>
      </c>
      <c r="T1310" s="51">
        <f>IF(Q1310=1,IF(H1310&gt;=G1310,1,0),0)</f>
        <v/>
      </c>
      <c r="U1310" s="51">
        <f>S1310*T1310</f>
        <v/>
      </c>
      <c r="V1310" s="51">
        <f>IF(Q1310=1,MAX(0,F1310-E1310),0)</f>
        <v/>
      </c>
    </row>
    <row r="1311">
      <c r="A1311" s="43" t="inlineStr">
        <is>
          <t>PO101835</t>
        </is>
      </c>
      <c r="B1311" s="43" t="inlineStr">
        <is>
          <t>CMD-0100</t>
        </is>
      </c>
      <c r="C1311" s="43" t="inlineStr">
        <is>
          <t>S09</t>
        </is>
      </c>
      <c r="D1311" s="47" t="n">
        <v>46037</v>
      </c>
      <c r="E1311" s="47" t="n">
        <v>46058</v>
      </c>
      <c r="F1311" s="47" t="n">
        <v>46056</v>
      </c>
      <c r="G1311" s="46" t="n">
        <v>7608</v>
      </c>
      <c r="H1311" s="46" t="n">
        <v>7608</v>
      </c>
      <c r="I1311" s="46" t="n">
        <v>26</v>
      </c>
      <c r="J1311" s="44" t="n">
        <v>5.0882</v>
      </c>
      <c r="K1311" s="43" t="inlineStr">
        <is>
          <t>Received</t>
        </is>
      </c>
      <c r="L1311" s="17">
        <f>INDEX(Items!$C$2:$C$117,MATCH(B1311,Items!$A$2:$A$117,0))</f>
        <v/>
      </c>
      <c r="M1311" s="49">
        <f>INDEX(Items!$E$2:$E$117,MATCH(B1311,Items!$A$2:$A$117,0))</f>
        <v/>
      </c>
      <c r="N1311" s="17">
        <f>TEXT(D1311,"yyyy-mm")</f>
        <v/>
      </c>
      <c r="O1311" s="50">
        <f>G1311*J1311</f>
        <v/>
      </c>
      <c r="P1311" s="50">
        <f>(J1311-M1311)*G1311</f>
        <v/>
      </c>
      <c r="Q1311" s="51">
        <f>IF(K1311="Received",1,0)</f>
        <v/>
      </c>
      <c r="R1311" s="51">
        <f>IF(Q1311=1,F1311-D1311,0)</f>
        <v/>
      </c>
      <c r="S1311" s="51">
        <f>IF(Q1311=1,IF(F1311&lt;=E1311,1,0),0)</f>
        <v/>
      </c>
      <c r="T1311" s="51">
        <f>IF(Q1311=1,IF(H1311&gt;=G1311,1,0),0)</f>
        <v/>
      </c>
      <c r="U1311" s="51">
        <f>S1311*T1311</f>
        <v/>
      </c>
      <c r="V1311" s="51">
        <f>IF(Q1311=1,MAX(0,F1311-E1311),0)</f>
        <v/>
      </c>
    </row>
    <row r="1312">
      <c r="A1312" s="43" t="inlineStr">
        <is>
          <t>PO101729</t>
        </is>
      </c>
      <c r="B1312" s="43" t="inlineStr">
        <is>
          <t>CMD-0094</t>
        </is>
      </c>
      <c r="C1312" s="43" t="inlineStr">
        <is>
          <t>S08</t>
        </is>
      </c>
      <c r="D1312" s="47" t="n">
        <v>46038</v>
      </c>
      <c r="E1312" s="47" t="n">
        <v>46115</v>
      </c>
      <c r="F1312" s="47" t="n">
        <v>46131</v>
      </c>
      <c r="G1312" s="46" t="n">
        <v>429</v>
      </c>
      <c r="H1312" s="46" t="n">
        <v>429</v>
      </c>
      <c r="I1312" s="46" t="n">
        <v>3</v>
      </c>
      <c r="J1312" s="44" t="n">
        <v>76.31270000000001</v>
      </c>
      <c r="K1312" s="43" t="inlineStr">
        <is>
          <t>Received</t>
        </is>
      </c>
      <c r="L1312" s="17">
        <f>INDEX(Items!$C$2:$C$117,MATCH(B1312,Items!$A$2:$A$117,0))</f>
        <v/>
      </c>
      <c r="M1312" s="49">
        <f>INDEX(Items!$E$2:$E$117,MATCH(B1312,Items!$A$2:$A$117,0))</f>
        <v/>
      </c>
      <c r="N1312" s="17">
        <f>TEXT(D1312,"yyyy-mm")</f>
        <v/>
      </c>
      <c r="O1312" s="50">
        <f>G1312*J1312</f>
        <v/>
      </c>
      <c r="P1312" s="50">
        <f>(J1312-M1312)*G1312</f>
        <v/>
      </c>
      <c r="Q1312" s="51">
        <f>IF(K1312="Received",1,0)</f>
        <v/>
      </c>
      <c r="R1312" s="51">
        <f>IF(Q1312=1,F1312-D1312,0)</f>
        <v/>
      </c>
      <c r="S1312" s="51">
        <f>IF(Q1312=1,IF(F1312&lt;=E1312,1,0),0)</f>
        <v/>
      </c>
      <c r="T1312" s="51">
        <f>IF(Q1312=1,IF(H1312&gt;=G1312,1,0),0)</f>
        <v/>
      </c>
      <c r="U1312" s="51">
        <f>S1312*T1312</f>
        <v/>
      </c>
      <c r="V1312" s="51">
        <f>IF(Q1312=1,MAX(0,F1312-E1312),0)</f>
        <v/>
      </c>
    </row>
    <row r="1313">
      <c r="A1313" s="43" t="inlineStr">
        <is>
          <t>PO101067</t>
        </is>
      </c>
      <c r="B1313" s="43" t="inlineStr">
        <is>
          <t>CMD-0048</t>
        </is>
      </c>
      <c r="C1313" s="43" t="inlineStr">
        <is>
          <t>S10</t>
        </is>
      </c>
      <c r="D1313" s="47" t="n">
        <v>46038</v>
      </c>
      <c r="E1313" s="47" t="n">
        <v>46066</v>
      </c>
      <c r="F1313" s="47" t="n">
        <v>46065</v>
      </c>
      <c r="G1313" s="46" t="n">
        <v>15138</v>
      </c>
      <c r="H1313" s="46" t="n">
        <v>15138</v>
      </c>
      <c r="I1313" s="46" t="n">
        <v>14</v>
      </c>
      <c r="J1313" s="44" t="n">
        <v>0.3328</v>
      </c>
      <c r="K1313" s="43" t="inlineStr">
        <is>
          <t>Received</t>
        </is>
      </c>
      <c r="L1313" s="17">
        <f>INDEX(Items!$C$2:$C$117,MATCH(B1313,Items!$A$2:$A$117,0))</f>
        <v/>
      </c>
      <c r="M1313" s="49">
        <f>INDEX(Items!$E$2:$E$117,MATCH(B1313,Items!$A$2:$A$117,0))</f>
        <v/>
      </c>
      <c r="N1313" s="17">
        <f>TEXT(D1313,"yyyy-mm")</f>
        <v/>
      </c>
      <c r="O1313" s="50">
        <f>G1313*J1313</f>
        <v/>
      </c>
      <c r="P1313" s="50">
        <f>(J1313-M1313)*G1313</f>
        <v/>
      </c>
      <c r="Q1313" s="51">
        <f>IF(K1313="Received",1,0)</f>
        <v/>
      </c>
      <c r="R1313" s="51">
        <f>IF(Q1313=1,F1313-D1313,0)</f>
        <v/>
      </c>
      <c r="S1313" s="51">
        <f>IF(Q1313=1,IF(F1313&lt;=E1313,1,0),0)</f>
        <v/>
      </c>
      <c r="T1313" s="51">
        <f>IF(Q1313=1,IF(H1313&gt;=G1313,1,0),0)</f>
        <v/>
      </c>
      <c r="U1313" s="51">
        <f>S1313*T1313</f>
        <v/>
      </c>
      <c r="V1313" s="51">
        <f>IF(Q1313=1,MAX(0,F1313-E1313),0)</f>
        <v/>
      </c>
    </row>
    <row r="1314">
      <c r="A1314" s="43" t="inlineStr">
        <is>
          <t>PO100231</t>
        </is>
      </c>
      <c r="B1314" s="43" t="inlineStr">
        <is>
          <t>CMD-0010</t>
        </is>
      </c>
      <c r="C1314" s="43" t="inlineStr">
        <is>
          <t>S03</t>
        </is>
      </c>
      <c r="D1314" s="47" t="n">
        <v>46038</v>
      </c>
      <c r="E1314" s="47" t="n">
        <v>46171</v>
      </c>
      <c r="F1314" s="47" t="n">
        <v>46172</v>
      </c>
      <c r="G1314" s="46" t="n">
        <v>5417</v>
      </c>
      <c r="H1314" s="46" t="n">
        <v>5417</v>
      </c>
      <c r="I1314" s="46" t="n">
        <v>21</v>
      </c>
      <c r="J1314" s="44" t="n">
        <v>5.4634</v>
      </c>
      <c r="K1314" s="43" t="inlineStr">
        <is>
          <t>Received</t>
        </is>
      </c>
      <c r="L1314" s="17">
        <f>INDEX(Items!$C$2:$C$117,MATCH(B1314,Items!$A$2:$A$117,0))</f>
        <v/>
      </c>
      <c r="M1314" s="49">
        <f>INDEX(Items!$E$2:$E$117,MATCH(B1314,Items!$A$2:$A$117,0))</f>
        <v/>
      </c>
      <c r="N1314" s="17">
        <f>TEXT(D1314,"yyyy-mm")</f>
        <v/>
      </c>
      <c r="O1314" s="50">
        <f>G1314*J1314</f>
        <v/>
      </c>
      <c r="P1314" s="50">
        <f>(J1314-M1314)*G1314</f>
        <v/>
      </c>
      <c r="Q1314" s="51">
        <f>IF(K1314="Received",1,0)</f>
        <v/>
      </c>
      <c r="R1314" s="51">
        <f>IF(Q1314=1,F1314-D1314,0)</f>
        <v/>
      </c>
      <c r="S1314" s="51">
        <f>IF(Q1314=1,IF(F1314&lt;=E1314,1,0),0)</f>
        <v/>
      </c>
      <c r="T1314" s="51">
        <f>IF(Q1314=1,IF(H1314&gt;=G1314,1,0),0)</f>
        <v/>
      </c>
      <c r="U1314" s="51">
        <f>S1314*T1314</f>
        <v/>
      </c>
      <c r="V1314" s="51">
        <f>IF(Q1314=1,MAX(0,F1314-E1314),0)</f>
        <v/>
      </c>
    </row>
    <row r="1315">
      <c r="A1315" s="43" t="inlineStr">
        <is>
          <t>PO100379</t>
        </is>
      </c>
      <c r="B1315" s="43" t="inlineStr">
        <is>
          <t>CMD-0017</t>
        </is>
      </c>
      <c r="C1315" s="43" t="inlineStr">
        <is>
          <t>S11</t>
        </is>
      </c>
      <c r="D1315" s="47" t="n">
        <v>46038</v>
      </c>
      <c r="E1315" s="47" t="n">
        <v>46115</v>
      </c>
      <c r="F1315" s="47" t="n">
        <v>46114</v>
      </c>
      <c r="G1315" s="46" t="n">
        <v>6531</v>
      </c>
      <c r="H1315" s="46" t="n">
        <v>6531</v>
      </c>
      <c r="I1315" s="46" t="n">
        <v>16</v>
      </c>
      <c r="J1315" s="44" t="n">
        <v>13.0707</v>
      </c>
      <c r="K1315" s="43" t="inlineStr">
        <is>
          <t>Received</t>
        </is>
      </c>
      <c r="L1315" s="17">
        <f>INDEX(Items!$C$2:$C$117,MATCH(B1315,Items!$A$2:$A$117,0))</f>
        <v/>
      </c>
      <c r="M1315" s="49">
        <f>INDEX(Items!$E$2:$E$117,MATCH(B1315,Items!$A$2:$A$117,0))</f>
        <v/>
      </c>
      <c r="N1315" s="17">
        <f>TEXT(D1315,"yyyy-mm")</f>
        <v/>
      </c>
      <c r="O1315" s="50">
        <f>G1315*J1315</f>
        <v/>
      </c>
      <c r="P1315" s="50">
        <f>(J1315-M1315)*G1315</f>
        <v/>
      </c>
      <c r="Q1315" s="51">
        <f>IF(K1315="Received",1,0)</f>
        <v/>
      </c>
      <c r="R1315" s="51">
        <f>IF(Q1315=1,F1315-D1315,0)</f>
        <v/>
      </c>
      <c r="S1315" s="51">
        <f>IF(Q1315=1,IF(F1315&lt;=E1315,1,0),0)</f>
        <v/>
      </c>
      <c r="T1315" s="51">
        <f>IF(Q1315=1,IF(H1315&gt;=G1315,1,0),0)</f>
        <v/>
      </c>
      <c r="U1315" s="51">
        <f>S1315*T1315</f>
        <v/>
      </c>
      <c r="V1315" s="51">
        <f>IF(Q1315=1,MAX(0,F1315-E1315),0)</f>
        <v/>
      </c>
    </row>
    <row r="1316">
      <c r="A1316" s="43" t="inlineStr">
        <is>
          <t>PO101243</t>
        </is>
      </c>
      <c r="B1316" s="43" t="inlineStr">
        <is>
          <t>CMD-0058</t>
        </is>
      </c>
      <c r="C1316" s="43" t="inlineStr">
        <is>
          <t>S04</t>
        </is>
      </c>
      <c r="D1316" s="47" t="n">
        <v>46038</v>
      </c>
      <c r="E1316" s="47" t="n">
        <v>46073</v>
      </c>
      <c r="F1316" s="47" t="n">
        <v>46072</v>
      </c>
      <c r="G1316" s="46" t="n">
        <v>66543</v>
      </c>
      <c r="H1316" s="46" t="n">
        <v>66543</v>
      </c>
      <c r="I1316" s="46" t="n">
        <v>696</v>
      </c>
      <c r="J1316" s="44" t="n">
        <v>0.1213</v>
      </c>
      <c r="K1316" s="43" t="inlineStr">
        <is>
          <t>Received</t>
        </is>
      </c>
      <c r="L1316" s="17">
        <f>INDEX(Items!$C$2:$C$117,MATCH(B1316,Items!$A$2:$A$117,0))</f>
        <v/>
      </c>
      <c r="M1316" s="49">
        <f>INDEX(Items!$E$2:$E$117,MATCH(B1316,Items!$A$2:$A$117,0))</f>
        <v/>
      </c>
      <c r="N1316" s="17">
        <f>TEXT(D1316,"yyyy-mm")</f>
        <v/>
      </c>
      <c r="O1316" s="50">
        <f>G1316*J1316</f>
        <v/>
      </c>
      <c r="P1316" s="50">
        <f>(J1316-M1316)*G1316</f>
        <v/>
      </c>
      <c r="Q1316" s="51">
        <f>IF(K1316="Received",1,0)</f>
        <v/>
      </c>
      <c r="R1316" s="51">
        <f>IF(Q1316=1,F1316-D1316,0)</f>
        <v/>
      </c>
      <c r="S1316" s="51">
        <f>IF(Q1316=1,IF(F1316&lt;=E1316,1,0),0)</f>
        <v/>
      </c>
      <c r="T1316" s="51">
        <f>IF(Q1316=1,IF(H1316&gt;=G1316,1,0),0)</f>
        <v/>
      </c>
      <c r="U1316" s="51">
        <f>S1316*T1316</f>
        <v/>
      </c>
      <c r="V1316" s="51">
        <f>IF(Q1316=1,MAX(0,F1316-E1316),0)</f>
        <v/>
      </c>
    </row>
    <row r="1317">
      <c r="A1317" s="43" t="inlineStr">
        <is>
          <t>PO101097</t>
        </is>
      </c>
      <c r="B1317" s="43" t="inlineStr">
        <is>
          <t>CMD-0050</t>
        </is>
      </c>
      <c r="C1317" s="43" t="inlineStr">
        <is>
          <t>S10</t>
        </is>
      </c>
      <c r="D1317" s="47" t="n">
        <v>46038</v>
      </c>
      <c r="E1317" s="47" t="n">
        <v>46066</v>
      </c>
      <c r="F1317" s="47" t="n">
        <v>46066</v>
      </c>
      <c r="G1317" s="46" t="n">
        <v>68825</v>
      </c>
      <c r="H1317" s="46" t="n">
        <v>68825</v>
      </c>
      <c r="I1317" s="46" t="n">
        <v>55</v>
      </c>
      <c r="J1317" s="44" t="n">
        <v>0.0772</v>
      </c>
      <c r="K1317" s="43" t="inlineStr">
        <is>
          <t>Received</t>
        </is>
      </c>
      <c r="L1317" s="17">
        <f>INDEX(Items!$C$2:$C$117,MATCH(B1317,Items!$A$2:$A$117,0))</f>
        <v/>
      </c>
      <c r="M1317" s="49">
        <f>INDEX(Items!$E$2:$E$117,MATCH(B1317,Items!$A$2:$A$117,0))</f>
        <v/>
      </c>
      <c r="N1317" s="17">
        <f>TEXT(D1317,"yyyy-mm")</f>
        <v/>
      </c>
      <c r="O1317" s="50">
        <f>G1317*J1317</f>
        <v/>
      </c>
      <c r="P1317" s="50">
        <f>(J1317-M1317)*G1317</f>
        <v/>
      </c>
      <c r="Q1317" s="51">
        <f>IF(K1317="Received",1,0)</f>
        <v/>
      </c>
      <c r="R1317" s="51">
        <f>IF(Q1317=1,F1317-D1317,0)</f>
        <v/>
      </c>
      <c r="S1317" s="51">
        <f>IF(Q1317=1,IF(F1317&lt;=E1317,1,0),0)</f>
        <v/>
      </c>
      <c r="T1317" s="51">
        <f>IF(Q1317=1,IF(H1317&gt;=G1317,1,0),0)</f>
        <v/>
      </c>
      <c r="U1317" s="51">
        <f>S1317*T1317</f>
        <v/>
      </c>
      <c r="V1317" s="51">
        <f>IF(Q1317=1,MAX(0,F1317-E1317),0)</f>
        <v/>
      </c>
    </row>
    <row r="1318">
      <c r="A1318" s="43" t="inlineStr">
        <is>
          <t>PO101135</t>
        </is>
      </c>
      <c r="B1318" s="43" t="inlineStr">
        <is>
          <t>CMD-0052</t>
        </is>
      </c>
      <c r="C1318" s="43" t="inlineStr">
        <is>
          <t>S01</t>
        </is>
      </c>
      <c r="D1318" s="47" t="n">
        <v>46039</v>
      </c>
      <c r="E1318" s="47" t="n">
        <v>46060</v>
      </c>
      <c r="F1318" s="47" t="n">
        <v>46057</v>
      </c>
      <c r="G1318" s="46" t="n">
        <v>125216</v>
      </c>
      <c r="H1318" s="46" t="n">
        <v>125216</v>
      </c>
      <c r="I1318" s="46" t="n">
        <v>274</v>
      </c>
      <c r="J1318" s="44" t="n">
        <v>0.2076</v>
      </c>
      <c r="K1318" s="43" t="inlineStr">
        <is>
          <t>Received</t>
        </is>
      </c>
      <c r="L1318" s="17">
        <f>INDEX(Items!$C$2:$C$117,MATCH(B1318,Items!$A$2:$A$117,0))</f>
        <v/>
      </c>
      <c r="M1318" s="49">
        <f>INDEX(Items!$E$2:$E$117,MATCH(B1318,Items!$A$2:$A$117,0))</f>
        <v/>
      </c>
      <c r="N1318" s="17">
        <f>TEXT(D1318,"yyyy-mm")</f>
        <v/>
      </c>
      <c r="O1318" s="50">
        <f>G1318*J1318</f>
        <v/>
      </c>
      <c r="P1318" s="50">
        <f>(J1318-M1318)*G1318</f>
        <v/>
      </c>
      <c r="Q1318" s="51">
        <f>IF(K1318="Received",1,0)</f>
        <v/>
      </c>
      <c r="R1318" s="51">
        <f>IF(Q1318=1,F1318-D1318,0)</f>
        <v/>
      </c>
      <c r="S1318" s="51">
        <f>IF(Q1318=1,IF(F1318&lt;=E1318,1,0),0)</f>
        <v/>
      </c>
      <c r="T1318" s="51">
        <f>IF(Q1318=1,IF(H1318&gt;=G1318,1,0),0)</f>
        <v/>
      </c>
      <c r="U1318" s="51">
        <f>S1318*T1318</f>
        <v/>
      </c>
      <c r="V1318" s="51">
        <f>IF(Q1318=1,MAX(0,F1318-E1318),0)</f>
        <v/>
      </c>
    </row>
    <row r="1319">
      <c r="A1319" s="43" t="inlineStr">
        <is>
          <t>PO100511</t>
        </is>
      </c>
      <c r="B1319" s="43" t="inlineStr">
        <is>
          <t>CMD-0023</t>
        </is>
      </c>
      <c r="C1319" s="43" t="inlineStr">
        <is>
          <t>S04</t>
        </is>
      </c>
      <c r="D1319" s="47" t="n">
        <v>46039</v>
      </c>
      <c r="E1319" s="47" t="n">
        <v>46109</v>
      </c>
      <c r="F1319" s="47" t="n">
        <v>46109</v>
      </c>
      <c r="G1319" s="46" t="n">
        <v>4387</v>
      </c>
      <c r="H1319" s="46" t="n">
        <v>4387</v>
      </c>
      <c r="I1319" s="46" t="n">
        <v>46</v>
      </c>
      <c r="J1319" s="44" t="n">
        <v>9.064</v>
      </c>
      <c r="K1319" s="43" t="inlineStr">
        <is>
          <t>Received</t>
        </is>
      </c>
      <c r="L1319" s="17">
        <f>INDEX(Items!$C$2:$C$117,MATCH(B1319,Items!$A$2:$A$117,0))</f>
        <v/>
      </c>
      <c r="M1319" s="49">
        <f>INDEX(Items!$E$2:$E$117,MATCH(B1319,Items!$A$2:$A$117,0))</f>
        <v/>
      </c>
      <c r="N1319" s="17">
        <f>TEXT(D1319,"yyyy-mm")</f>
        <v/>
      </c>
      <c r="O1319" s="50">
        <f>G1319*J1319</f>
        <v/>
      </c>
      <c r="P1319" s="50">
        <f>(J1319-M1319)*G1319</f>
        <v/>
      </c>
      <c r="Q1319" s="51">
        <f>IF(K1319="Received",1,0)</f>
        <v/>
      </c>
      <c r="R1319" s="51">
        <f>IF(Q1319=1,F1319-D1319,0)</f>
        <v/>
      </c>
      <c r="S1319" s="51">
        <f>IF(Q1319=1,IF(F1319&lt;=E1319,1,0),0)</f>
        <v/>
      </c>
      <c r="T1319" s="51">
        <f>IF(Q1319=1,IF(H1319&gt;=G1319,1,0),0)</f>
        <v/>
      </c>
      <c r="U1319" s="51">
        <f>S1319*T1319</f>
        <v/>
      </c>
      <c r="V1319" s="51">
        <f>IF(Q1319=1,MAX(0,F1319-E1319),0)</f>
        <v/>
      </c>
    </row>
    <row r="1320">
      <c r="A1320" s="43" t="inlineStr">
        <is>
          <t>PO100857</t>
        </is>
      </c>
      <c r="B1320" s="43" t="inlineStr">
        <is>
          <t>CMD-0038</t>
        </is>
      </c>
      <c r="C1320" s="43" t="inlineStr">
        <is>
          <t>S01</t>
        </is>
      </c>
      <c r="D1320" s="47" t="n">
        <v>46039</v>
      </c>
      <c r="E1320" s="47" t="n">
        <v>46067</v>
      </c>
      <c r="F1320" s="47" t="n">
        <v>46065</v>
      </c>
      <c r="G1320" s="46" t="n">
        <v>960</v>
      </c>
      <c r="H1320" s="46" t="n">
        <v>960</v>
      </c>
      <c r="I1320" s="46" t="n">
        <v>4</v>
      </c>
      <c r="J1320" s="44" t="n">
        <v>22.1347</v>
      </c>
      <c r="K1320" s="43" t="inlineStr">
        <is>
          <t>Received</t>
        </is>
      </c>
      <c r="L1320" s="17">
        <f>INDEX(Items!$C$2:$C$117,MATCH(B1320,Items!$A$2:$A$117,0))</f>
        <v/>
      </c>
      <c r="M1320" s="49">
        <f>INDEX(Items!$E$2:$E$117,MATCH(B1320,Items!$A$2:$A$117,0))</f>
        <v/>
      </c>
      <c r="N1320" s="17">
        <f>TEXT(D1320,"yyyy-mm")</f>
        <v/>
      </c>
      <c r="O1320" s="50">
        <f>G1320*J1320</f>
        <v/>
      </c>
      <c r="P1320" s="50">
        <f>(J1320-M1320)*G1320</f>
        <v/>
      </c>
      <c r="Q1320" s="51">
        <f>IF(K1320="Received",1,0)</f>
        <v/>
      </c>
      <c r="R1320" s="51">
        <f>IF(Q1320=1,F1320-D1320,0)</f>
        <v/>
      </c>
      <c r="S1320" s="51">
        <f>IF(Q1320=1,IF(F1320&lt;=E1320,1,0),0)</f>
        <v/>
      </c>
      <c r="T1320" s="51">
        <f>IF(Q1320=1,IF(H1320&gt;=G1320,1,0),0)</f>
        <v/>
      </c>
      <c r="U1320" s="51">
        <f>S1320*T1320</f>
        <v/>
      </c>
      <c r="V1320" s="51">
        <f>IF(Q1320=1,MAX(0,F1320-E1320),0)</f>
        <v/>
      </c>
    </row>
    <row r="1321">
      <c r="A1321" s="43" t="inlineStr">
        <is>
          <t>PO100559</t>
        </is>
      </c>
      <c r="B1321" s="43" t="inlineStr">
        <is>
          <t>CMD-0025</t>
        </is>
      </c>
      <c r="C1321" s="43" t="inlineStr">
        <is>
          <t>S02</t>
        </is>
      </c>
      <c r="D1321" s="47" t="n">
        <v>46039</v>
      </c>
      <c r="E1321" s="47" t="n">
        <v>46095</v>
      </c>
      <c r="F1321" s="47" t="n">
        <v>46095</v>
      </c>
      <c r="G1321" s="46" t="n">
        <v>1166</v>
      </c>
      <c r="H1321" s="46" t="n">
        <v>1166</v>
      </c>
      <c r="I1321" s="46" t="n">
        <v>4</v>
      </c>
      <c r="J1321" s="44" t="n">
        <v>10.8356</v>
      </c>
      <c r="K1321" s="43" t="inlineStr">
        <is>
          <t>Received</t>
        </is>
      </c>
      <c r="L1321" s="17">
        <f>INDEX(Items!$C$2:$C$117,MATCH(B1321,Items!$A$2:$A$117,0))</f>
        <v/>
      </c>
      <c r="M1321" s="49">
        <f>INDEX(Items!$E$2:$E$117,MATCH(B1321,Items!$A$2:$A$117,0))</f>
        <v/>
      </c>
      <c r="N1321" s="17">
        <f>TEXT(D1321,"yyyy-mm")</f>
        <v/>
      </c>
      <c r="O1321" s="50">
        <f>G1321*J1321</f>
        <v/>
      </c>
      <c r="P1321" s="50">
        <f>(J1321-M1321)*G1321</f>
        <v/>
      </c>
      <c r="Q1321" s="51">
        <f>IF(K1321="Received",1,0)</f>
        <v/>
      </c>
      <c r="R1321" s="51">
        <f>IF(Q1321=1,F1321-D1321,0)</f>
        <v/>
      </c>
      <c r="S1321" s="51">
        <f>IF(Q1321=1,IF(F1321&lt;=E1321,1,0),0)</f>
        <v/>
      </c>
      <c r="T1321" s="51">
        <f>IF(Q1321=1,IF(H1321&gt;=G1321,1,0),0)</f>
        <v/>
      </c>
      <c r="U1321" s="51">
        <f>S1321*T1321</f>
        <v/>
      </c>
      <c r="V1321" s="51">
        <f>IF(Q1321=1,MAX(0,F1321-E1321),0)</f>
        <v/>
      </c>
    </row>
    <row r="1322">
      <c r="A1322" s="43" t="inlineStr">
        <is>
          <t>PO101883</t>
        </is>
      </c>
      <c r="B1322" s="43" t="inlineStr">
        <is>
          <t>CMD-0102</t>
        </is>
      </c>
      <c r="C1322" s="43" t="inlineStr">
        <is>
          <t>S09</t>
        </is>
      </c>
      <c r="D1322" s="47" t="n">
        <v>46039</v>
      </c>
      <c r="E1322" s="47" t="n">
        <v>46060</v>
      </c>
      <c r="F1322" s="47" t="n">
        <v>46060</v>
      </c>
      <c r="G1322" s="46" t="n">
        <v>2493</v>
      </c>
      <c r="H1322" s="46" t="n">
        <v>2493</v>
      </c>
      <c r="I1322" s="46" t="n">
        <v>8</v>
      </c>
      <c r="J1322" s="44" t="n">
        <v>6.9113</v>
      </c>
      <c r="K1322" s="43" t="inlineStr">
        <is>
          <t>Received</t>
        </is>
      </c>
      <c r="L1322" s="17">
        <f>INDEX(Items!$C$2:$C$117,MATCH(B1322,Items!$A$2:$A$117,0))</f>
        <v/>
      </c>
      <c r="M1322" s="49">
        <f>INDEX(Items!$E$2:$E$117,MATCH(B1322,Items!$A$2:$A$117,0))</f>
        <v/>
      </c>
      <c r="N1322" s="17">
        <f>TEXT(D1322,"yyyy-mm")</f>
        <v/>
      </c>
      <c r="O1322" s="50">
        <f>G1322*J1322</f>
        <v/>
      </c>
      <c r="P1322" s="50">
        <f>(J1322-M1322)*G1322</f>
        <v/>
      </c>
      <c r="Q1322" s="51">
        <f>IF(K1322="Received",1,0)</f>
        <v/>
      </c>
      <c r="R1322" s="51">
        <f>IF(Q1322=1,F1322-D1322,0)</f>
        <v/>
      </c>
      <c r="S1322" s="51">
        <f>IF(Q1322=1,IF(F1322&lt;=E1322,1,0),0)</f>
        <v/>
      </c>
      <c r="T1322" s="51">
        <f>IF(Q1322=1,IF(H1322&gt;=G1322,1,0),0)</f>
        <v/>
      </c>
      <c r="U1322" s="51">
        <f>S1322*T1322</f>
        <v/>
      </c>
      <c r="V1322" s="51">
        <f>IF(Q1322=1,MAX(0,F1322-E1322),0)</f>
        <v/>
      </c>
    </row>
    <row r="1323">
      <c r="A1323" s="43" t="inlineStr">
        <is>
          <t>PO101411</t>
        </is>
      </c>
      <c r="B1323" s="43" t="inlineStr">
        <is>
          <t>CMD-0074</t>
        </is>
      </c>
      <c r="C1323" s="43" t="inlineStr">
        <is>
          <t>S10</t>
        </is>
      </c>
      <c r="D1323" s="47" t="n">
        <v>46039</v>
      </c>
      <c r="E1323" s="47" t="n">
        <v>46067</v>
      </c>
      <c r="F1323" s="47" t="n">
        <v>46064</v>
      </c>
      <c r="G1323" s="46" t="n">
        <v>57973</v>
      </c>
      <c r="H1323" s="46" t="n">
        <v>57973</v>
      </c>
      <c r="I1323" s="46" t="n">
        <v>53</v>
      </c>
      <c r="J1323" s="44" t="n">
        <v>0.3601</v>
      </c>
      <c r="K1323" s="43" t="inlineStr">
        <is>
          <t>Received</t>
        </is>
      </c>
      <c r="L1323" s="17">
        <f>INDEX(Items!$C$2:$C$117,MATCH(B1323,Items!$A$2:$A$117,0))</f>
        <v/>
      </c>
      <c r="M1323" s="49">
        <f>INDEX(Items!$E$2:$E$117,MATCH(B1323,Items!$A$2:$A$117,0))</f>
        <v/>
      </c>
      <c r="N1323" s="17">
        <f>TEXT(D1323,"yyyy-mm")</f>
        <v/>
      </c>
      <c r="O1323" s="50">
        <f>G1323*J1323</f>
        <v/>
      </c>
      <c r="P1323" s="50">
        <f>(J1323-M1323)*G1323</f>
        <v/>
      </c>
      <c r="Q1323" s="51">
        <f>IF(K1323="Received",1,0)</f>
        <v/>
      </c>
      <c r="R1323" s="51">
        <f>IF(Q1323=1,F1323-D1323,0)</f>
        <v/>
      </c>
      <c r="S1323" s="51">
        <f>IF(Q1323=1,IF(F1323&lt;=E1323,1,0),0)</f>
        <v/>
      </c>
      <c r="T1323" s="51">
        <f>IF(Q1323=1,IF(H1323&gt;=G1323,1,0),0)</f>
        <v/>
      </c>
      <c r="U1323" s="51">
        <f>S1323*T1323</f>
        <v/>
      </c>
      <c r="V1323" s="51">
        <f>IF(Q1323=1,MAX(0,F1323-E1323),0)</f>
        <v/>
      </c>
    </row>
    <row r="1324">
      <c r="A1324" s="43" t="inlineStr">
        <is>
          <t>PO100111</t>
        </is>
      </c>
      <c r="B1324" s="43" t="inlineStr">
        <is>
          <t>CMD-0005</t>
        </is>
      </c>
      <c r="C1324" s="43" t="inlineStr">
        <is>
          <t>S07</t>
        </is>
      </c>
      <c r="D1324" s="47" t="n">
        <v>46040</v>
      </c>
      <c r="E1324" s="47" t="n">
        <v>46131</v>
      </c>
      <c r="F1324" s="47" t="n">
        <v>46128</v>
      </c>
      <c r="G1324" s="46" t="n">
        <v>4328</v>
      </c>
      <c r="H1324" s="46" t="n">
        <v>4328</v>
      </c>
      <c r="I1324" s="46" t="n">
        <v>34</v>
      </c>
      <c r="J1324" s="44" t="n">
        <v>6.6434</v>
      </c>
      <c r="K1324" s="43" t="inlineStr">
        <is>
          <t>Received</t>
        </is>
      </c>
      <c r="L1324" s="17">
        <f>INDEX(Items!$C$2:$C$117,MATCH(B1324,Items!$A$2:$A$117,0))</f>
        <v/>
      </c>
      <c r="M1324" s="49">
        <f>INDEX(Items!$E$2:$E$117,MATCH(B1324,Items!$A$2:$A$117,0))</f>
        <v/>
      </c>
      <c r="N1324" s="17">
        <f>TEXT(D1324,"yyyy-mm")</f>
        <v/>
      </c>
      <c r="O1324" s="50">
        <f>G1324*J1324</f>
        <v/>
      </c>
      <c r="P1324" s="50">
        <f>(J1324-M1324)*G1324</f>
        <v/>
      </c>
      <c r="Q1324" s="51">
        <f>IF(K1324="Received",1,0)</f>
        <v/>
      </c>
      <c r="R1324" s="51">
        <f>IF(Q1324=1,F1324-D1324,0)</f>
        <v/>
      </c>
      <c r="S1324" s="51">
        <f>IF(Q1324=1,IF(F1324&lt;=E1324,1,0),0)</f>
        <v/>
      </c>
      <c r="T1324" s="51">
        <f>IF(Q1324=1,IF(H1324&gt;=G1324,1,0),0)</f>
        <v/>
      </c>
      <c r="U1324" s="51">
        <f>S1324*T1324</f>
        <v/>
      </c>
      <c r="V1324" s="51">
        <f>IF(Q1324=1,MAX(0,F1324-E1324),0)</f>
        <v/>
      </c>
    </row>
    <row r="1325">
      <c r="A1325" s="43" t="inlineStr">
        <is>
          <t>PO100833</t>
        </is>
      </c>
      <c r="B1325" s="43" t="inlineStr">
        <is>
          <t>CMD-0037</t>
        </is>
      </c>
      <c r="C1325" s="43" t="inlineStr">
        <is>
          <t>S07</t>
        </is>
      </c>
      <c r="D1325" s="47" t="n">
        <v>46040</v>
      </c>
      <c r="E1325" s="47" t="n">
        <v>46082</v>
      </c>
      <c r="F1325" s="47" t="n">
        <v>46082</v>
      </c>
      <c r="G1325" s="46" t="n">
        <v>460</v>
      </c>
      <c r="H1325" s="46" t="n">
        <v>460</v>
      </c>
      <c r="I1325" s="46" t="n">
        <v>4</v>
      </c>
      <c r="J1325" s="44" t="n">
        <v>55.2286</v>
      </c>
      <c r="K1325" s="43" t="inlineStr">
        <is>
          <t>Received</t>
        </is>
      </c>
      <c r="L1325" s="17">
        <f>INDEX(Items!$C$2:$C$117,MATCH(B1325,Items!$A$2:$A$117,0))</f>
        <v/>
      </c>
      <c r="M1325" s="49">
        <f>INDEX(Items!$E$2:$E$117,MATCH(B1325,Items!$A$2:$A$117,0))</f>
        <v/>
      </c>
      <c r="N1325" s="17">
        <f>TEXT(D1325,"yyyy-mm")</f>
        <v/>
      </c>
      <c r="O1325" s="50">
        <f>G1325*J1325</f>
        <v/>
      </c>
      <c r="P1325" s="50">
        <f>(J1325-M1325)*G1325</f>
        <v/>
      </c>
      <c r="Q1325" s="51">
        <f>IF(K1325="Received",1,0)</f>
        <v/>
      </c>
      <c r="R1325" s="51">
        <f>IF(Q1325=1,F1325-D1325,0)</f>
        <v/>
      </c>
      <c r="S1325" s="51">
        <f>IF(Q1325=1,IF(F1325&lt;=E1325,1,0),0)</f>
        <v/>
      </c>
      <c r="T1325" s="51">
        <f>IF(Q1325=1,IF(H1325&gt;=G1325,1,0),0)</f>
        <v/>
      </c>
      <c r="U1325" s="51">
        <f>S1325*T1325</f>
        <v/>
      </c>
      <c r="V1325" s="51">
        <f>IF(Q1325=1,MAX(0,F1325-E1325),0)</f>
        <v/>
      </c>
    </row>
    <row r="1326">
      <c r="A1326" s="43" t="inlineStr">
        <is>
          <t>PO100487</t>
        </is>
      </c>
      <c r="B1326" s="43" t="inlineStr">
        <is>
          <t>CMD-0022</t>
        </is>
      </c>
      <c r="C1326" s="43" t="inlineStr">
        <is>
          <t>S02</t>
        </is>
      </c>
      <c r="D1326" s="47" t="n">
        <v>46040</v>
      </c>
      <c r="E1326" s="47" t="n">
        <v>46096</v>
      </c>
      <c r="F1326" s="47" t="n">
        <v>46094</v>
      </c>
      <c r="G1326" s="46" t="n">
        <v>4231</v>
      </c>
      <c r="H1326" s="46" t="n">
        <v>4231</v>
      </c>
      <c r="I1326" s="46" t="n">
        <v>23</v>
      </c>
      <c r="J1326" s="44" t="n">
        <v>17.6954</v>
      </c>
      <c r="K1326" s="43" t="inlineStr">
        <is>
          <t>Received</t>
        </is>
      </c>
      <c r="L1326" s="17">
        <f>INDEX(Items!$C$2:$C$117,MATCH(B1326,Items!$A$2:$A$117,0))</f>
        <v/>
      </c>
      <c r="M1326" s="49">
        <f>INDEX(Items!$E$2:$E$117,MATCH(B1326,Items!$A$2:$A$117,0))</f>
        <v/>
      </c>
      <c r="N1326" s="17">
        <f>TEXT(D1326,"yyyy-mm")</f>
        <v/>
      </c>
      <c r="O1326" s="50">
        <f>G1326*J1326</f>
        <v/>
      </c>
      <c r="P1326" s="50">
        <f>(J1326-M1326)*G1326</f>
        <v/>
      </c>
      <c r="Q1326" s="51">
        <f>IF(K1326="Received",1,0)</f>
        <v/>
      </c>
      <c r="R1326" s="51">
        <f>IF(Q1326=1,F1326-D1326,0)</f>
        <v/>
      </c>
      <c r="S1326" s="51">
        <f>IF(Q1326=1,IF(F1326&lt;=E1326,1,0),0)</f>
        <v/>
      </c>
      <c r="T1326" s="51">
        <f>IF(Q1326=1,IF(H1326&gt;=G1326,1,0),0)</f>
        <v/>
      </c>
      <c r="U1326" s="51">
        <f>S1326*T1326</f>
        <v/>
      </c>
      <c r="V1326" s="51">
        <f>IF(Q1326=1,MAX(0,F1326-E1326),0)</f>
        <v/>
      </c>
    </row>
    <row r="1327">
      <c r="A1327" s="43" t="inlineStr">
        <is>
          <t>PO101657</t>
        </is>
      </c>
      <c r="B1327" s="43" t="inlineStr">
        <is>
          <t>CMD-0091</t>
        </is>
      </c>
      <c r="C1327" s="43" t="inlineStr">
        <is>
          <t>S08</t>
        </is>
      </c>
      <c r="D1327" s="47" t="n">
        <v>46040</v>
      </c>
      <c r="E1327" s="47" t="n">
        <v>46117</v>
      </c>
      <c r="F1327" s="47" t="n">
        <v>46116</v>
      </c>
      <c r="G1327" s="46" t="n">
        <v>774</v>
      </c>
      <c r="H1327" s="46" t="n">
        <v>774</v>
      </c>
      <c r="I1327" s="46" t="n">
        <v>7</v>
      </c>
      <c r="J1327" s="44" t="n">
        <v>24.514</v>
      </c>
      <c r="K1327" s="43" t="inlineStr">
        <is>
          <t>Received</t>
        </is>
      </c>
      <c r="L1327" s="17">
        <f>INDEX(Items!$C$2:$C$117,MATCH(B1327,Items!$A$2:$A$117,0))</f>
        <v/>
      </c>
      <c r="M1327" s="49">
        <f>INDEX(Items!$E$2:$E$117,MATCH(B1327,Items!$A$2:$A$117,0))</f>
        <v/>
      </c>
      <c r="N1327" s="17">
        <f>TEXT(D1327,"yyyy-mm")</f>
        <v/>
      </c>
      <c r="O1327" s="50">
        <f>G1327*J1327</f>
        <v/>
      </c>
      <c r="P1327" s="50">
        <f>(J1327-M1327)*G1327</f>
        <v/>
      </c>
      <c r="Q1327" s="51">
        <f>IF(K1327="Received",1,0)</f>
        <v/>
      </c>
      <c r="R1327" s="51">
        <f>IF(Q1327=1,F1327-D1327,0)</f>
        <v/>
      </c>
      <c r="S1327" s="51">
        <f>IF(Q1327=1,IF(F1327&lt;=E1327,1,0),0)</f>
        <v/>
      </c>
      <c r="T1327" s="51">
        <f>IF(Q1327=1,IF(H1327&gt;=G1327,1,0),0)</f>
        <v/>
      </c>
      <c r="U1327" s="51">
        <f>S1327*T1327</f>
        <v/>
      </c>
      <c r="V1327" s="51">
        <f>IF(Q1327=1,MAX(0,F1327-E1327),0)</f>
        <v/>
      </c>
    </row>
    <row r="1328">
      <c r="A1328" s="43" t="inlineStr">
        <is>
          <t>PO101197</t>
        </is>
      </c>
      <c r="B1328" s="43" t="inlineStr">
        <is>
          <t>CMD-0055</t>
        </is>
      </c>
      <c r="C1328" s="43" t="inlineStr">
        <is>
          <t>S04</t>
        </is>
      </c>
      <c r="D1328" s="47" t="n">
        <v>46040</v>
      </c>
      <c r="E1328" s="47" t="n">
        <v>46075</v>
      </c>
      <c r="F1328" s="47" t="n">
        <v>46075</v>
      </c>
      <c r="G1328" s="46" t="n">
        <v>112994</v>
      </c>
      <c r="H1328" s="46" t="n">
        <v>112994</v>
      </c>
      <c r="I1328" s="46" t="n">
        <v>1091</v>
      </c>
      <c r="J1328" s="44" t="n">
        <v>0.09660000000000001</v>
      </c>
      <c r="K1328" s="43" t="inlineStr">
        <is>
          <t>Received</t>
        </is>
      </c>
      <c r="L1328" s="17">
        <f>INDEX(Items!$C$2:$C$117,MATCH(B1328,Items!$A$2:$A$117,0))</f>
        <v/>
      </c>
      <c r="M1328" s="49">
        <f>INDEX(Items!$E$2:$E$117,MATCH(B1328,Items!$A$2:$A$117,0))</f>
        <v/>
      </c>
      <c r="N1328" s="17">
        <f>TEXT(D1328,"yyyy-mm")</f>
        <v/>
      </c>
      <c r="O1328" s="50">
        <f>G1328*J1328</f>
        <v/>
      </c>
      <c r="P1328" s="50">
        <f>(J1328-M1328)*G1328</f>
        <v/>
      </c>
      <c r="Q1328" s="51">
        <f>IF(K1328="Received",1,0)</f>
        <v/>
      </c>
      <c r="R1328" s="51">
        <f>IF(Q1328=1,F1328-D1328,0)</f>
        <v/>
      </c>
      <c r="S1328" s="51">
        <f>IF(Q1328=1,IF(F1328&lt;=E1328,1,0),0)</f>
        <v/>
      </c>
      <c r="T1328" s="51">
        <f>IF(Q1328=1,IF(H1328&gt;=G1328,1,0),0)</f>
        <v/>
      </c>
      <c r="U1328" s="51">
        <f>S1328*T1328</f>
        <v/>
      </c>
      <c r="V1328" s="51">
        <f>IF(Q1328=1,MAX(0,F1328-E1328),0)</f>
        <v/>
      </c>
    </row>
    <row r="1329">
      <c r="A1329" s="43" t="inlineStr">
        <is>
          <t>PO101291</t>
        </is>
      </c>
      <c r="B1329" s="43" t="inlineStr">
        <is>
          <t>CMD-0062</t>
        </is>
      </c>
      <c r="C1329" s="43" t="inlineStr">
        <is>
          <t>S01</t>
        </is>
      </c>
      <c r="D1329" s="47" t="n">
        <v>46040</v>
      </c>
      <c r="E1329" s="47" t="n">
        <v>46061</v>
      </c>
      <c r="F1329" s="47" t="n">
        <v>46061</v>
      </c>
      <c r="G1329" s="46" t="n">
        <v>84115</v>
      </c>
      <c r="H1329" s="46" t="n">
        <v>84115</v>
      </c>
      <c r="I1329" s="46" t="n">
        <v>188</v>
      </c>
      <c r="J1329" s="44" t="n">
        <v>0.1173</v>
      </c>
      <c r="K1329" s="43" t="inlineStr">
        <is>
          <t>Received</t>
        </is>
      </c>
      <c r="L1329" s="17">
        <f>INDEX(Items!$C$2:$C$117,MATCH(B1329,Items!$A$2:$A$117,0))</f>
        <v/>
      </c>
      <c r="M1329" s="49">
        <f>INDEX(Items!$E$2:$E$117,MATCH(B1329,Items!$A$2:$A$117,0))</f>
        <v/>
      </c>
      <c r="N1329" s="17">
        <f>TEXT(D1329,"yyyy-mm")</f>
        <v/>
      </c>
      <c r="O1329" s="50">
        <f>G1329*J1329</f>
        <v/>
      </c>
      <c r="P1329" s="50">
        <f>(J1329-M1329)*G1329</f>
        <v/>
      </c>
      <c r="Q1329" s="51">
        <f>IF(K1329="Received",1,0)</f>
        <v/>
      </c>
      <c r="R1329" s="51">
        <f>IF(Q1329=1,F1329-D1329,0)</f>
        <v/>
      </c>
      <c r="S1329" s="51">
        <f>IF(Q1329=1,IF(F1329&lt;=E1329,1,0),0)</f>
        <v/>
      </c>
      <c r="T1329" s="51">
        <f>IF(Q1329=1,IF(H1329&gt;=G1329,1,0),0)</f>
        <v/>
      </c>
      <c r="U1329" s="51">
        <f>S1329*T1329</f>
        <v/>
      </c>
      <c r="V1329" s="51">
        <f>IF(Q1329=1,MAX(0,F1329-E1329),0)</f>
        <v/>
      </c>
    </row>
    <row r="1330">
      <c r="A1330" s="43" t="inlineStr">
        <is>
          <t>PO100925</t>
        </is>
      </c>
      <c r="B1330" s="43" t="inlineStr">
        <is>
          <t>CMD-0042</t>
        </is>
      </c>
      <c r="C1330" s="43" t="inlineStr">
        <is>
          <t>S05</t>
        </is>
      </c>
      <c r="D1330" s="47" t="n">
        <v>46040</v>
      </c>
      <c r="E1330" s="47" t="n">
        <v>46145</v>
      </c>
      <c r="F1330" s="47" t="n">
        <v>46181</v>
      </c>
      <c r="G1330" s="46" t="n">
        <v>627</v>
      </c>
      <c r="H1330" s="46" t="n">
        <v>418</v>
      </c>
      <c r="I1330" s="46" t="n">
        <v>1</v>
      </c>
      <c r="J1330" s="44" t="n">
        <v>9.177300000000001</v>
      </c>
      <c r="K1330" s="43" t="inlineStr">
        <is>
          <t>Received</t>
        </is>
      </c>
      <c r="L1330" s="17">
        <f>INDEX(Items!$C$2:$C$117,MATCH(B1330,Items!$A$2:$A$117,0))</f>
        <v/>
      </c>
      <c r="M1330" s="49">
        <f>INDEX(Items!$E$2:$E$117,MATCH(B1330,Items!$A$2:$A$117,0))</f>
        <v/>
      </c>
      <c r="N1330" s="17">
        <f>TEXT(D1330,"yyyy-mm")</f>
        <v/>
      </c>
      <c r="O1330" s="50">
        <f>G1330*J1330</f>
        <v/>
      </c>
      <c r="P1330" s="50">
        <f>(J1330-M1330)*G1330</f>
        <v/>
      </c>
      <c r="Q1330" s="51">
        <f>IF(K1330="Received",1,0)</f>
        <v/>
      </c>
      <c r="R1330" s="51">
        <f>IF(Q1330=1,F1330-D1330,0)</f>
        <v/>
      </c>
      <c r="S1330" s="51">
        <f>IF(Q1330=1,IF(F1330&lt;=E1330,1,0),0)</f>
        <v/>
      </c>
      <c r="T1330" s="51">
        <f>IF(Q1330=1,IF(H1330&gt;=G1330,1,0),0)</f>
        <v/>
      </c>
      <c r="U1330" s="51">
        <f>S1330*T1330</f>
        <v/>
      </c>
      <c r="V1330" s="51">
        <f>IF(Q1330=1,MAX(0,F1330-E1330),0)</f>
        <v/>
      </c>
    </row>
    <row r="1331">
      <c r="A1331" s="43" t="inlineStr">
        <is>
          <t>PO101394</t>
        </is>
      </c>
      <c r="B1331" s="43" t="inlineStr">
        <is>
          <t>CMD-0073</t>
        </is>
      </c>
      <c r="C1331" s="43" t="inlineStr">
        <is>
          <t>S04</t>
        </is>
      </c>
      <c r="D1331" s="47" t="n">
        <v>46042</v>
      </c>
      <c r="E1331" s="47" t="n">
        <v>46077</v>
      </c>
      <c r="F1331" s="47" t="n">
        <v>46074</v>
      </c>
      <c r="G1331" s="46" t="n">
        <v>406640</v>
      </c>
      <c r="H1331" s="46" t="n">
        <v>406640</v>
      </c>
      <c r="I1331" s="46" t="n">
        <v>4094</v>
      </c>
      <c r="J1331" s="44" t="n">
        <v>0.015</v>
      </c>
      <c r="K1331" s="43" t="inlineStr">
        <is>
          <t>Received</t>
        </is>
      </c>
      <c r="L1331" s="17">
        <f>INDEX(Items!$C$2:$C$117,MATCH(B1331,Items!$A$2:$A$117,0))</f>
        <v/>
      </c>
      <c r="M1331" s="49">
        <f>INDEX(Items!$E$2:$E$117,MATCH(B1331,Items!$A$2:$A$117,0))</f>
        <v/>
      </c>
      <c r="N1331" s="17">
        <f>TEXT(D1331,"yyyy-mm")</f>
        <v/>
      </c>
      <c r="O1331" s="50">
        <f>G1331*J1331</f>
        <v/>
      </c>
      <c r="P1331" s="50">
        <f>(J1331-M1331)*G1331</f>
        <v/>
      </c>
      <c r="Q1331" s="51">
        <f>IF(K1331="Received",1,0)</f>
        <v/>
      </c>
      <c r="R1331" s="51">
        <f>IF(Q1331=1,F1331-D1331,0)</f>
        <v/>
      </c>
      <c r="S1331" s="51">
        <f>IF(Q1331=1,IF(F1331&lt;=E1331,1,0),0)</f>
        <v/>
      </c>
      <c r="T1331" s="51">
        <f>IF(Q1331=1,IF(H1331&gt;=G1331,1,0),0)</f>
        <v/>
      </c>
      <c r="U1331" s="51">
        <f>S1331*T1331</f>
        <v/>
      </c>
      <c r="V1331" s="51">
        <f>IF(Q1331=1,MAX(0,F1331-E1331),0)</f>
        <v/>
      </c>
    </row>
    <row r="1332">
      <c r="A1332" s="43" t="inlineStr">
        <is>
          <t>PO101044</t>
        </is>
      </c>
      <c r="B1332" s="43" t="inlineStr">
        <is>
          <t>CMD-0047</t>
        </is>
      </c>
      <c r="C1332" s="43" t="inlineStr">
        <is>
          <t>S04</t>
        </is>
      </c>
      <c r="D1332" s="47" t="n">
        <v>46042</v>
      </c>
      <c r="E1332" s="47" t="n">
        <v>46077</v>
      </c>
      <c r="F1332" s="47" t="n">
        <v>46076</v>
      </c>
      <c r="G1332" s="46" t="n">
        <v>18632</v>
      </c>
      <c r="H1332" s="46" t="n">
        <v>18632</v>
      </c>
      <c r="I1332" s="46" t="n">
        <v>186</v>
      </c>
      <c r="J1332" s="44" t="n">
        <v>0.3049</v>
      </c>
      <c r="K1332" s="43" t="inlineStr">
        <is>
          <t>Received</t>
        </is>
      </c>
      <c r="L1332" s="17">
        <f>INDEX(Items!$C$2:$C$117,MATCH(B1332,Items!$A$2:$A$117,0))</f>
        <v/>
      </c>
      <c r="M1332" s="49">
        <f>INDEX(Items!$E$2:$E$117,MATCH(B1332,Items!$A$2:$A$117,0))</f>
        <v/>
      </c>
      <c r="N1332" s="17">
        <f>TEXT(D1332,"yyyy-mm")</f>
        <v/>
      </c>
      <c r="O1332" s="50">
        <f>G1332*J1332</f>
        <v/>
      </c>
      <c r="P1332" s="50">
        <f>(J1332-M1332)*G1332</f>
        <v/>
      </c>
      <c r="Q1332" s="51">
        <f>IF(K1332="Received",1,0)</f>
        <v/>
      </c>
      <c r="R1332" s="51">
        <f>IF(Q1332=1,F1332-D1332,0)</f>
        <v/>
      </c>
      <c r="S1332" s="51">
        <f>IF(Q1332=1,IF(F1332&lt;=E1332,1,0),0)</f>
        <v/>
      </c>
      <c r="T1332" s="51">
        <f>IF(Q1332=1,IF(H1332&gt;=G1332,1,0),0)</f>
        <v/>
      </c>
      <c r="U1332" s="51">
        <f>S1332*T1332</f>
        <v/>
      </c>
      <c r="V1332" s="51">
        <f>IF(Q1332=1,MAX(0,F1332-E1332),0)</f>
        <v/>
      </c>
    </row>
    <row r="1333">
      <c r="A1333" s="43" t="inlineStr">
        <is>
          <t>PO102022</t>
        </is>
      </c>
      <c r="B1333" s="43" t="inlineStr">
        <is>
          <t>CMD-0116</t>
        </is>
      </c>
      <c r="C1333" s="43" t="inlineStr">
        <is>
          <t>S12</t>
        </is>
      </c>
      <c r="D1333" s="47" t="n">
        <v>46043</v>
      </c>
      <c r="E1333" s="47" t="n">
        <v>46050</v>
      </c>
      <c r="F1333" s="47" t="n">
        <v>46050</v>
      </c>
      <c r="G1333" s="46" t="n">
        <v>17093</v>
      </c>
      <c r="H1333" s="46" t="n">
        <v>17093</v>
      </c>
      <c r="I1333" s="46" t="n">
        <v>19</v>
      </c>
      <c r="J1333" s="44" t="n">
        <v>0.3753</v>
      </c>
      <c r="K1333" s="43" t="inlineStr">
        <is>
          <t>Received</t>
        </is>
      </c>
      <c r="L1333" s="17">
        <f>INDEX(Items!$C$2:$C$117,MATCH(B1333,Items!$A$2:$A$117,0))</f>
        <v/>
      </c>
      <c r="M1333" s="49">
        <f>INDEX(Items!$E$2:$E$117,MATCH(B1333,Items!$A$2:$A$117,0))</f>
        <v/>
      </c>
      <c r="N1333" s="17">
        <f>TEXT(D1333,"yyyy-mm")</f>
        <v/>
      </c>
      <c r="O1333" s="50">
        <f>G1333*J1333</f>
        <v/>
      </c>
      <c r="P1333" s="50">
        <f>(J1333-M1333)*G1333</f>
        <v/>
      </c>
      <c r="Q1333" s="51">
        <f>IF(K1333="Received",1,0)</f>
        <v/>
      </c>
      <c r="R1333" s="51">
        <f>IF(Q1333=1,F1333-D1333,0)</f>
        <v/>
      </c>
      <c r="S1333" s="51">
        <f>IF(Q1333=1,IF(F1333&lt;=E1333,1,0),0)</f>
        <v/>
      </c>
      <c r="T1333" s="51">
        <f>IF(Q1333=1,IF(H1333&gt;=G1333,1,0),0)</f>
        <v/>
      </c>
      <c r="U1333" s="51">
        <f>S1333*T1333</f>
        <v/>
      </c>
      <c r="V1333" s="51">
        <f>IF(Q1333=1,MAX(0,F1333-E1333),0)</f>
        <v/>
      </c>
    </row>
    <row r="1334">
      <c r="A1334" s="43" t="inlineStr">
        <is>
          <t>PO101916</t>
        </is>
      </c>
      <c r="B1334" s="43" t="inlineStr">
        <is>
          <t>CMD-0105</t>
        </is>
      </c>
      <c r="C1334" s="43" t="inlineStr">
        <is>
          <t>S09</t>
        </is>
      </c>
      <c r="D1334" s="47" t="n">
        <v>46043</v>
      </c>
      <c r="E1334" s="47" t="n">
        <v>46064</v>
      </c>
      <c r="F1334" s="47" t="n">
        <v>46064</v>
      </c>
      <c r="G1334" s="46" t="n">
        <v>2622</v>
      </c>
      <c r="H1334" s="46" t="n">
        <v>2622</v>
      </c>
      <c r="I1334" s="46" t="n">
        <v>9</v>
      </c>
      <c r="J1334" s="44" t="n">
        <v>2.1424</v>
      </c>
      <c r="K1334" s="43" t="inlineStr">
        <is>
          <t>Received</t>
        </is>
      </c>
      <c r="L1334" s="17">
        <f>INDEX(Items!$C$2:$C$117,MATCH(B1334,Items!$A$2:$A$117,0))</f>
        <v/>
      </c>
      <c r="M1334" s="49">
        <f>INDEX(Items!$E$2:$E$117,MATCH(B1334,Items!$A$2:$A$117,0))</f>
        <v/>
      </c>
      <c r="N1334" s="17">
        <f>TEXT(D1334,"yyyy-mm")</f>
        <v/>
      </c>
      <c r="O1334" s="50">
        <f>G1334*J1334</f>
        <v/>
      </c>
      <c r="P1334" s="50">
        <f>(J1334-M1334)*G1334</f>
        <v/>
      </c>
      <c r="Q1334" s="51">
        <f>IF(K1334="Received",1,0)</f>
        <v/>
      </c>
      <c r="R1334" s="51">
        <f>IF(Q1334=1,F1334-D1334,0)</f>
        <v/>
      </c>
      <c r="S1334" s="51">
        <f>IF(Q1334=1,IF(F1334&lt;=E1334,1,0),0)</f>
        <v/>
      </c>
      <c r="T1334" s="51">
        <f>IF(Q1334=1,IF(H1334&gt;=G1334,1,0),0)</f>
        <v/>
      </c>
      <c r="U1334" s="51">
        <f>S1334*T1334</f>
        <v/>
      </c>
      <c r="V1334" s="51">
        <f>IF(Q1334=1,MAX(0,F1334-E1334),0)</f>
        <v/>
      </c>
    </row>
    <row r="1335">
      <c r="A1335" s="43" t="inlineStr">
        <is>
          <t>PO101902</t>
        </is>
      </c>
      <c r="B1335" s="43" t="inlineStr">
        <is>
          <t>CMD-0103</t>
        </is>
      </c>
      <c r="C1335" s="43" t="inlineStr">
        <is>
          <t>S09</t>
        </is>
      </c>
      <c r="D1335" s="47" t="n">
        <v>46044</v>
      </c>
      <c r="E1335" s="47" t="n">
        <v>46065</v>
      </c>
      <c r="F1335" s="47" t="n">
        <v>46065</v>
      </c>
      <c r="G1335" s="46" t="n">
        <v>1413</v>
      </c>
      <c r="H1335" s="46" t="n">
        <v>1413</v>
      </c>
      <c r="I1335" s="46" t="n">
        <v>2</v>
      </c>
      <c r="J1335" s="44" t="n">
        <v>4.3054</v>
      </c>
      <c r="K1335" s="43" t="inlineStr">
        <is>
          <t>Received</t>
        </is>
      </c>
      <c r="L1335" s="17">
        <f>INDEX(Items!$C$2:$C$117,MATCH(B1335,Items!$A$2:$A$117,0))</f>
        <v/>
      </c>
      <c r="M1335" s="49">
        <f>INDEX(Items!$E$2:$E$117,MATCH(B1335,Items!$A$2:$A$117,0))</f>
        <v/>
      </c>
      <c r="N1335" s="17">
        <f>TEXT(D1335,"yyyy-mm")</f>
        <v/>
      </c>
      <c r="O1335" s="50">
        <f>G1335*J1335</f>
        <v/>
      </c>
      <c r="P1335" s="50">
        <f>(J1335-M1335)*G1335</f>
        <v/>
      </c>
      <c r="Q1335" s="51">
        <f>IF(K1335="Received",1,0)</f>
        <v/>
      </c>
      <c r="R1335" s="51">
        <f>IF(Q1335=1,F1335-D1335,0)</f>
        <v/>
      </c>
      <c r="S1335" s="51">
        <f>IF(Q1335=1,IF(F1335&lt;=E1335,1,0),0)</f>
        <v/>
      </c>
      <c r="T1335" s="51">
        <f>IF(Q1335=1,IF(H1335&gt;=G1335,1,0),0)</f>
        <v/>
      </c>
      <c r="U1335" s="51">
        <f>S1335*T1335</f>
        <v/>
      </c>
      <c r="V1335" s="51">
        <f>IF(Q1335=1,MAX(0,F1335-E1335),0)</f>
        <v/>
      </c>
    </row>
    <row r="1336">
      <c r="A1336" s="43" t="inlineStr">
        <is>
          <t>PO100266</t>
        </is>
      </c>
      <c r="B1336" s="43" t="inlineStr">
        <is>
          <t>CMD-0012</t>
        </is>
      </c>
      <c r="C1336" s="43" t="inlineStr">
        <is>
          <t>S03</t>
        </is>
      </c>
      <c r="D1336" s="47" t="n">
        <v>46044</v>
      </c>
      <c r="E1336" s="47" t="n">
        <v>46177</v>
      </c>
      <c r="F1336" s="47" t="n">
        <v>46174</v>
      </c>
      <c r="G1336" s="46" t="n">
        <v>2241</v>
      </c>
      <c r="H1336" s="46" t="n">
        <v>2241</v>
      </c>
      <c r="I1336" s="46" t="n">
        <v>9</v>
      </c>
      <c r="J1336" s="44" t="n">
        <v>3.0562</v>
      </c>
      <c r="K1336" s="43" t="inlineStr">
        <is>
          <t>Received</t>
        </is>
      </c>
      <c r="L1336" s="17">
        <f>INDEX(Items!$C$2:$C$117,MATCH(B1336,Items!$A$2:$A$117,0))</f>
        <v/>
      </c>
      <c r="M1336" s="49">
        <f>INDEX(Items!$E$2:$E$117,MATCH(B1336,Items!$A$2:$A$117,0))</f>
        <v/>
      </c>
      <c r="N1336" s="17">
        <f>TEXT(D1336,"yyyy-mm")</f>
        <v/>
      </c>
      <c r="O1336" s="50">
        <f>G1336*J1336</f>
        <v/>
      </c>
      <c r="P1336" s="50">
        <f>(J1336-M1336)*G1336</f>
        <v/>
      </c>
      <c r="Q1336" s="51">
        <f>IF(K1336="Received",1,0)</f>
        <v/>
      </c>
      <c r="R1336" s="51">
        <f>IF(Q1336=1,F1336-D1336,0)</f>
        <v/>
      </c>
      <c r="S1336" s="51">
        <f>IF(Q1336=1,IF(F1336&lt;=E1336,1,0),0)</f>
        <v/>
      </c>
      <c r="T1336" s="51">
        <f>IF(Q1336=1,IF(H1336&gt;=G1336,1,0),0)</f>
        <v/>
      </c>
      <c r="U1336" s="51">
        <f>S1336*T1336</f>
        <v/>
      </c>
      <c r="V1336" s="51">
        <f>IF(Q1336=1,MAX(0,F1336-E1336),0)</f>
        <v/>
      </c>
    </row>
    <row r="1337">
      <c r="A1337" s="43" t="inlineStr">
        <is>
          <t>PO101958</t>
        </is>
      </c>
      <c r="B1337" s="43" t="inlineStr">
        <is>
          <t>CMD-0108</t>
        </is>
      </c>
      <c r="C1337" s="43" t="inlineStr">
        <is>
          <t>S12</t>
        </is>
      </c>
      <c r="D1337" s="47" t="n">
        <v>46044</v>
      </c>
      <c r="E1337" s="47" t="n">
        <v>46051</v>
      </c>
      <c r="F1337" s="47" t="n">
        <v>46049</v>
      </c>
      <c r="G1337" s="46" t="n">
        <v>2874</v>
      </c>
      <c r="H1337" s="46" t="n">
        <v>2874</v>
      </c>
      <c r="I1337" s="46" t="n">
        <v>5</v>
      </c>
      <c r="J1337" s="44" t="n">
        <v>1.6068</v>
      </c>
      <c r="K1337" s="43" t="inlineStr">
        <is>
          <t>Received</t>
        </is>
      </c>
      <c r="L1337" s="17">
        <f>INDEX(Items!$C$2:$C$117,MATCH(B1337,Items!$A$2:$A$117,0))</f>
        <v/>
      </c>
      <c r="M1337" s="49">
        <f>INDEX(Items!$E$2:$E$117,MATCH(B1337,Items!$A$2:$A$117,0))</f>
        <v/>
      </c>
      <c r="N1337" s="17">
        <f>TEXT(D1337,"yyyy-mm")</f>
        <v/>
      </c>
      <c r="O1337" s="50">
        <f>G1337*J1337</f>
        <v/>
      </c>
      <c r="P1337" s="50">
        <f>(J1337-M1337)*G1337</f>
        <v/>
      </c>
      <c r="Q1337" s="51">
        <f>IF(K1337="Received",1,0)</f>
        <v/>
      </c>
      <c r="R1337" s="51">
        <f>IF(Q1337=1,F1337-D1337,0)</f>
        <v/>
      </c>
      <c r="S1337" s="51">
        <f>IF(Q1337=1,IF(F1337&lt;=E1337,1,0),0)</f>
        <v/>
      </c>
      <c r="T1337" s="51">
        <f>IF(Q1337=1,IF(H1337&gt;=G1337,1,0),0)</f>
        <v/>
      </c>
      <c r="U1337" s="51">
        <f>S1337*T1337</f>
        <v/>
      </c>
      <c r="V1337" s="51">
        <f>IF(Q1337=1,MAX(0,F1337-E1337),0)</f>
        <v/>
      </c>
    </row>
    <row r="1338">
      <c r="A1338" s="43" t="inlineStr">
        <is>
          <t>PO101810</t>
        </is>
      </c>
      <c r="B1338" s="43" t="inlineStr">
        <is>
          <t>CMD-0098</t>
        </is>
      </c>
      <c r="C1338" s="43" t="inlineStr">
        <is>
          <t>S09</t>
        </is>
      </c>
      <c r="D1338" s="47" t="n">
        <v>46044</v>
      </c>
      <c r="E1338" s="47" t="n">
        <v>46065</v>
      </c>
      <c r="F1338" s="47" t="n">
        <v>46064</v>
      </c>
      <c r="G1338" s="46" t="n">
        <v>757</v>
      </c>
      <c r="H1338" s="46" t="n">
        <v>757</v>
      </c>
      <c r="I1338" s="46" t="n">
        <v>4</v>
      </c>
      <c r="J1338" s="44" t="n">
        <v>7.416</v>
      </c>
      <c r="K1338" s="43" t="inlineStr">
        <is>
          <t>Received</t>
        </is>
      </c>
      <c r="L1338" s="17">
        <f>INDEX(Items!$C$2:$C$117,MATCH(B1338,Items!$A$2:$A$117,0))</f>
        <v/>
      </c>
      <c r="M1338" s="49">
        <f>INDEX(Items!$E$2:$E$117,MATCH(B1338,Items!$A$2:$A$117,0))</f>
        <v/>
      </c>
      <c r="N1338" s="17">
        <f>TEXT(D1338,"yyyy-mm")</f>
        <v/>
      </c>
      <c r="O1338" s="50">
        <f>G1338*J1338</f>
        <v/>
      </c>
      <c r="P1338" s="50">
        <f>(J1338-M1338)*G1338</f>
        <v/>
      </c>
      <c r="Q1338" s="51">
        <f>IF(K1338="Received",1,0)</f>
        <v/>
      </c>
      <c r="R1338" s="51">
        <f>IF(Q1338=1,F1338-D1338,0)</f>
        <v/>
      </c>
      <c r="S1338" s="51">
        <f>IF(Q1338=1,IF(F1338&lt;=E1338,1,0),0)</f>
        <v/>
      </c>
      <c r="T1338" s="51">
        <f>IF(Q1338=1,IF(H1338&gt;=G1338,1,0),0)</f>
        <v/>
      </c>
      <c r="U1338" s="51">
        <f>S1338*T1338</f>
        <v/>
      </c>
      <c r="V1338" s="51">
        <f>IF(Q1338=1,MAX(0,F1338-E1338),0)</f>
        <v/>
      </c>
    </row>
    <row r="1339">
      <c r="A1339" s="43" t="inlineStr">
        <is>
          <t>PO101364</t>
        </is>
      </c>
      <c r="B1339" s="43" t="inlineStr">
        <is>
          <t>CMD-0069</t>
        </is>
      </c>
      <c r="C1339" s="43" t="inlineStr">
        <is>
          <t>S04</t>
        </is>
      </c>
      <c r="D1339" s="47" t="n">
        <v>46045</v>
      </c>
      <c r="E1339" s="47" t="n">
        <v>46080</v>
      </c>
      <c r="F1339" s="47" t="n">
        <v>46079</v>
      </c>
      <c r="G1339" s="46" t="n">
        <v>50732</v>
      </c>
      <c r="H1339" s="46" t="n">
        <v>50732</v>
      </c>
      <c r="I1339" s="46" t="n">
        <v>534</v>
      </c>
      <c r="J1339" s="44" t="n">
        <v>0.0229</v>
      </c>
      <c r="K1339" s="43" t="inlineStr">
        <is>
          <t>Received</t>
        </is>
      </c>
      <c r="L1339" s="17">
        <f>INDEX(Items!$C$2:$C$117,MATCH(B1339,Items!$A$2:$A$117,0))</f>
        <v/>
      </c>
      <c r="M1339" s="49">
        <f>INDEX(Items!$E$2:$E$117,MATCH(B1339,Items!$A$2:$A$117,0))</f>
        <v/>
      </c>
      <c r="N1339" s="17">
        <f>TEXT(D1339,"yyyy-mm")</f>
        <v/>
      </c>
      <c r="O1339" s="50">
        <f>G1339*J1339</f>
        <v/>
      </c>
      <c r="P1339" s="50">
        <f>(J1339-M1339)*G1339</f>
        <v/>
      </c>
      <c r="Q1339" s="51">
        <f>IF(K1339="Received",1,0)</f>
        <v/>
      </c>
      <c r="R1339" s="51">
        <f>IF(Q1339=1,F1339-D1339,0)</f>
        <v/>
      </c>
      <c r="S1339" s="51">
        <f>IF(Q1339=1,IF(F1339&lt;=E1339,1,0),0)</f>
        <v/>
      </c>
      <c r="T1339" s="51">
        <f>IF(Q1339=1,IF(H1339&gt;=G1339,1,0),0)</f>
        <v/>
      </c>
      <c r="U1339" s="51">
        <f>S1339*T1339</f>
        <v/>
      </c>
      <c r="V1339" s="51">
        <f>IF(Q1339=1,MAX(0,F1339-E1339),0)</f>
        <v/>
      </c>
    </row>
    <row r="1340">
      <c r="A1340" s="43" t="inlineStr">
        <is>
          <t>PO101306</t>
        </is>
      </c>
      <c r="B1340" s="43" t="inlineStr">
        <is>
          <t>CMD-0064</t>
        </is>
      </c>
      <c r="C1340" s="43" t="inlineStr">
        <is>
          <t>S01</t>
        </is>
      </c>
      <c r="D1340" s="47" t="n">
        <v>46046</v>
      </c>
      <c r="E1340" s="47" t="n">
        <v>46067</v>
      </c>
      <c r="F1340" s="47" t="n">
        <v>46065</v>
      </c>
      <c r="G1340" s="46" t="n">
        <v>100595</v>
      </c>
      <c r="H1340" s="46" t="n">
        <v>63991</v>
      </c>
      <c r="I1340" s="46" t="n">
        <v>119</v>
      </c>
      <c r="J1340" s="44" t="n">
        <v>0.0328</v>
      </c>
      <c r="K1340" s="43" t="inlineStr">
        <is>
          <t>Received</t>
        </is>
      </c>
      <c r="L1340" s="17">
        <f>INDEX(Items!$C$2:$C$117,MATCH(B1340,Items!$A$2:$A$117,0))</f>
        <v/>
      </c>
      <c r="M1340" s="49">
        <f>INDEX(Items!$E$2:$E$117,MATCH(B1340,Items!$A$2:$A$117,0))</f>
        <v/>
      </c>
      <c r="N1340" s="17">
        <f>TEXT(D1340,"yyyy-mm")</f>
        <v/>
      </c>
      <c r="O1340" s="50">
        <f>G1340*J1340</f>
        <v/>
      </c>
      <c r="P1340" s="50">
        <f>(J1340-M1340)*G1340</f>
        <v/>
      </c>
      <c r="Q1340" s="51">
        <f>IF(K1340="Received",1,0)</f>
        <v/>
      </c>
      <c r="R1340" s="51">
        <f>IF(Q1340=1,F1340-D1340,0)</f>
        <v/>
      </c>
      <c r="S1340" s="51">
        <f>IF(Q1340=1,IF(F1340&lt;=E1340,1,0),0)</f>
        <v/>
      </c>
      <c r="T1340" s="51">
        <f>IF(Q1340=1,IF(H1340&gt;=G1340,1,0),0)</f>
        <v/>
      </c>
      <c r="U1340" s="51">
        <f>S1340*T1340</f>
        <v/>
      </c>
      <c r="V1340" s="51">
        <f>IF(Q1340=1,MAX(0,F1340-E1340),0)</f>
        <v/>
      </c>
    </row>
    <row r="1341">
      <c r="A1341" s="43" t="inlineStr">
        <is>
          <t>PO101386</t>
        </is>
      </c>
      <c r="B1341" s="43" t="inlineStr">
        <is>
          <t>CMD-0071</t>
        </is>
      </c>
      <c r="C1341" s="43" t="inlineStr">
        <is>
          <t>S01</t>
        </is>
      </c>
      <c r="D1341" s="47" t="n">
        <v>46046</v>
      </c>
      <c r="E1341" s="47" t="n">
        <v>46067</v>
      </c>
      <c r="F1341" s="47" t="n">
        <v>46066</v>
      </c>
      <c r="G1341" s="46" t="n">
        <v>135532</v>
      </c>
      <c r="H1341" s="46" t="n">
        <v>135532</v>
      </c>
      <c r="I1341" s="46" t="n">
        <v>305</v>
      </c>
      <c r="J1341" s="44" t="n">
        <v>0.0366</v>
      </c>
      <c r="K1341" s="43" t="inlineStr">
        <is>
          <t>Received</t>
        </is>
      </c>
      <c r="L1341" s="17">
        <f>INDEX(Items!$C$2:$C$117,MATCH(B1341,Items!$A$2:$A$117,0))</f>
        <v/>
      </c>
      <c r="M1341" s="49">
        <f>INDEX(Items!$E$2:$E$117,MATCH(B1341,Items!$A$2:$A$117,0))</f>
        <v/>
      </c>
      <c r="N1341" s="17">
        <f>TEXT(D1341,"yyyy-mm")</f>
        <v/>
      </c>
      <c r="O1341" s="50">
        <f>G1341*J1341</f>
        <v/>
      </c>
      <c r="P1341" s="50">
        <f>(J1341-M1341)*G1341</f>
        <v/>
      </c>
      <c r="Q1341" s="51">
        <f>IF(K1341="Received",1,0)</f>
        <v/>
      </c>
      <c r="R1341" s="51">
        <f>IF(Q1341=1,F1341-D1341,0)</f>
        <v/>
      </c>
      <c r="S1341" s="51">
        <f>IF(Q1341=1,IF(F1341&lt;=E1341,1,0),0)</f>
        <v/>
      </c>
      <c r="T1341" s="51">
        <f>IF(Q1341=1,IF(H1341&gt;=G1341,1,0),0)</f>
        <v/>
      </c>
      <c r="U1341" s="51">
        <f>S1341*T1341</f>
        <v/>
      </c>
      <c r="V1341" s="51">
        <f>IF(Q1341=1,MAX(0,F1341-E1341),0)</f>
        <v/>
      </c>
    </row>
    <row r="1342">
      <c r="A1342" s="43" t="inlineStr">
        <is>
          <t>PO101302</t>
        </is>
      </c>
      <c r="B1342" s="43" t="inlineStr">
        <is>
          <t>CMD-0063</t>
        </is>
      </c>
      <c r="C1342" s="43" t="inlineStr">
        <is>
          <t>S01</t>
        </is>
      </c>
      <c r="D1342" s="47" t="n">
        <v>46046</v>
      </c>
      <c r="E1342" s="47" t="n">
        <v>46067</v>
      </c>
      <c r="F1342" s="47" t="n">
        <v>46064</v>
      </c>
      <c r="G1342" s="46" t="n">
        <v>75669</v>
      </c>
      <c r="H1342" s="46" t="n">
        <v>75669</v>
      </c>
      <c r="I1342" s="46" t="n">
        <v>158</v>
      </c>
      <c r="J1342" s="44" t="n">
        <v>0.0382</v>
      </c>
      <c r="K1342" s="43" t="inlineStr">
        <is>
          <t>Received</t>
        </is>
      </c>
      <c r="L1342" s="17">
        <f>INDEX(Items!$C$2:$C$117,MATCH(B1342,Items!$A$2:$A$117,0))</f>
        <v/>
      </c>
      <c r="M1342" s="49">
        <f>INDEX(Items!$E$2:$E$117,MATCH(B1342,Items!$A$2:$A$117,0))</f>
        <v/>
      </c>
      <c r="N1342" s="17">
        <f>TEXT(D1342,"yyyy-mm")</f>
        <v/>
      </c>
      <c r="O1342" s="50">
        <f>G1342*J1342</f>
        <v/>
      </c>
      <c r="P1342" s="50">
        <f>(J1342-M1342)*G1342</f>
        <v/>
      </c>
      <c r="Q1342" s="51">
        <f>IF(K1342="Received",1,0)</f>
        <v/>
      </c>
      <c r="R1342" s="51">
        <f>IF(Q1342=1,F1342-D1342,0)</f>
        <v/>
      </c>
      <c r="S1342" s="51">
        <f>IF(Q1342=1,IF(F1342&lt;=E1342,1,0),0)</f>
        <v/>
      </c>
      <c r="T1342" s="51">
        <f>IF(Q1342=1,IF(H1342&gt;=G1342,1,0),0)</f>
        <v/>
      </c>
      <c r="U1342" s="51">
        <f>S1342*T1342</f>
        <v/>
      </c>
      <c r="V1342" s="51">
        <f>IF(Q1342=1,MAX(0,F1342-E1342),0)</f>
        <v/>
      </c>
    </row>
    <row r="1343">
      <c r="A1343" s="43" t="inlineStr">
        <is>
          <t>PO100716</t>
        </is>
      </c>
      <c r="B1343" s="43" t="inlineStr">
        <is>
          <t>CMD-0032</t>
        </is>
      </c>
      <c r="C1343" s="43" t="inlineStr">
        <is>
          <t>S01</t>
        </is>
      </c>
      <c r="D1343" s="47" t="n">
        <v>46047</v>
      </c>
      <c r="E1343" s="47" t="n">
        <v>46075</v>
      </c>
      <c r="F1343" s="47" t="n">
        <v>46074</v>
      </c>
      <c r="G1343" s="46" t="n">
        <v>1243</v>
      </c>
      <c r="H1343" s="46" t="n">
        <v>998</v>
      </c>
      <c r="I1343" s="46" t="n">
        <v>2</v>
      </c>
      <c r="J1343" s="44" t="n">
        <v>5.3045</v>
      </c>
      <c r="K1343" s="43" t="inlineStr">
        <is>
          <t>Received</t>
        </is>
      </c>
      <c r="L1343" s="17">
        <f>INDEX(Items!$C$2:$C$117,MATCH(B1343,Items!$A$2:$A$117,0))</f>
        <v/>
      </c>
      <c r="M1343" s="49">
        <f>INDEX(Items!$E$2:$E$117,MATCH(B1343,Items!$A$2:$A$117,0))</f>
        <v/>
      </c>
      <c r="N1343" s="17">
        <f>TEXT(D1343,"yyyy-mm")</f>
        <v/>
      </c>
      <c r="O1343" s="50">
        <f>G1343*J1343</f>
        <v/>
      </c>
      <c r="P1343" s="50">
        <f>(J1343-M1343)*G1343</f>
        <v/>
      </c>
      <c r="Q1343" s="51">
        <f>IF(K1343="Received",1,0)</f>
        <v/>
      </c>
      <c r="R1343" s="51">
        <f>IF(Q1343=1,F1343-D1343,0)</f>
        <v/>
      </c>
      <c r="S1343" s="51">
        <f>IF(Q1343=1,IF(F1343&lt;=E1343,1,0),0)</f>
        <v/>
      </c>
      <c r="T1343" s="51">
        <f>IF(Q1343=1,IF(H1343&gt;=G1343,1,0),0)</f>
        <v/>
      </c>
      <c r="U1343" s="51">
        <f>S1343*T1343</f>
        <v/>
      </c>
      <c r="V1343" s="51">
        <f>IF(Q1343=1,MAX(0,F1343-E1343),0)</f>
        <v/>
      </c>
    </row>
    <row r="1344">
      <c r="A1344" s="43" t="inlineStr">
        <is>
          <t>PO100896</t>
        </is>
      </c>
      <c r="B1344" s="43" t="inlineStr">
        <is>
          <t>CMD-0040</t>
        </is>
      </c>
      <c r="C1344" s="43" t="inlineStr">
        <is>
          <t>S07</t>
        </is>
      </c>
      <c r="D1344" s="47" t="n">
        <v>46047</v>
      </c>
      <c r="E1344" s="47" t="n">
        <v>46089</v>
      </c>
      <c r="F1344" s="47" t="n">
        <v>46089</v>
      </c>
      <c r="G1344" s="46" t="n">
        <v>701</v>
      </c>
      <c r="H1344" s="46" t="n">
        <v>701</v>
      </c>
      <c r="I1344" s="46" t="n">
        <v>5</v>
      </c>
      <c r="J1344" s="44" t="n">
        <v>9.2288</v>
      </c>
      <c r="K1344" s="43" t="inlineStr">
        <is>
          <t>Received</t>
        </is>
      </c>
      <c r="L1344" s="17">
        <f>INDEX(Items!$C$2:$C$117,MATCH(B1344,Items!$A$2:$A$117,0))</f>
        <v/>
      </c>
      <c r="M1344" s="49">
        <f>INDEX(Items!$E$2:$E$117,MATCH(B1344,Items!$A$2:$A$117,0))</f>
        <v/>
      </c>
      <c r="N1344" s="17">
        <f>TEXT(D1344,"yyyy-mm")</f>
        <v/>
      </c>
      <c r="O1344" s="50">
        <f>G1344*J1344</f>
        <v/>
      </c>
      <c r="P1344" s="50">
        <f>(J1344-M1344)*G1344</f>
        <v/>
      </c>
      <c r="Q1344" s="51">
        <f>IF(K1344="Received",1,0)</f>
        <v/>
      </c>
      <c r="R1344" s="51">
        <f>IF(Q1344=1,F1344-D1344,0)</f>
        <v/>
      </c>
      <c r="S1344" s="51">
        <f>IF(Q1344=1,IF(F1344&lt;=E1344,1,0),0)</f>
        <v/>
      </c>
      <c r="T1344" s="51">
        <f>IF(Q1344=1,IF(H1344&gt;=G1344,1,0),0)</f>
        <v/>
      </c>
      <c r="U1344" s="51">
        <f>S1344*T1344</f>
        <v/>
      </c>
      <c r="V1344" s="51">
        <f>IF(Q1344=1,MAX(0,F1344-E1344),0)</f>
        <v/>
      </c>
    </row>
    <row r="1345">
      <c r="A1345" s="43" t="inlineStr">
        <is>
          <t>PO101334</t>
        </is>
      </c>
      <c r="B1345" s="43" t="inlineStr">
        <is>
          <t>CMD-0066</t>
        </is>
      </c>
      <c r="C1345" s="43" t="inlineStr">
        <is>
          <t>S10</t>
        </is>
      </c>
      <c r="D1345" s="47" t="n">
        <v>46047</v>
      </c>
      <c r="E1345" s="47" t="n">
        <v>46075</v>
      </c>
      <c r="F1345" s="47" t="n">
        <v>46075</v>
      </c>
      <c r="G1345" s="46" t="n">
        <v>53928</v>
      </c>
      <c r="H1345" s="46" t="n">
        <v>53928</v>
      </c>
      <c r="I1345" s="46" t="n">
        <v>56</v>
      </c>
      <c r="J1345" s="44" t="n">
        <v>0.059</v>
      </c>
      <c r="K1345" s="43" t="inlineStr">
        <is>
          <t>Received</t>
        </is>
      </c>
      <c r="L1345" s="17">
        <f>INDEX(Items!$C$2:$C$117,MATCH(B1345,Items!$A$2:$A$117,0))</f>
        <v/>
      </c>
      <c r="M1345" s="49">
        <f>INDEX(Items!$E$2:$E$117,MATCH(B1345,Items!$A$2:$A$117,0))</f>
        <v/>
      </c>
      <c r="N1345" s="17">
        <f>TEXT(D1345,"yyyy-mm")</f>
        <v/>
      </c>
      <c r="O1345" s="50">
        <f>G1345*J1345</f>
        <v/>
      </c>
      <c r="P1345" s="50">
        <f>(J1345-M1345)*G1345</f>
        <v/>
      </c>
      <c r="Q1345" s="51">
        <f>IF(K1345="Received",1,0)</f>
        <v/>
      </c>
      <c r="R1345" s="51">
        <f>IF(Q1345=1,F1345-D1345,0)</f>
        <v/>
      </c>
      <c r="S1345" s="51">
        <f>IF(Q1345=1,IF(F1345&lt;=E1345,1,0),0)</f>
        <v/>
      </c>
      <c r="T1345" s="51">
        <f>IF(Q1345=1,IF(H1345&gt;=G1345,1,0),0)</f>
        <v/>
      </c>
      <c r="U1345" s="51">
        <f>S1345*T1345</f>
        <v/>
      </c>
      <c r="V1345" s="51">
        <f>IF(Q1345=1,MAX(0,F1345-E1345),0)</f>
        <v/>
      </c>
    </row>
    <row r="1346">
      <c r="A1346" s="43" t="inlineStr">
        <is>
          <t>PO101562</t>
        </is>
      </c>
      <c r="B1346" s="43" t="inlineStr">
        <is>
          <t>CMD-0084</t>
        </is>
      </c>
      <c r="C1346" s="43" t="inlineStr">
        <is>
          <t>S06</t>
        </is>
      </c>
      <c r="D1346" s="47" t="n">
        <v>46047</v>
      </c>
      <c r="E1346" s="47" t="n">
        <v>46068</v>
      </c>
      <c r="F1346" s="47" t="n">
        <v>46065</v>
      </c>
      <c r="G1346" s="46" t="n">
        <v>4238</v>
      </c>
      <c r="H1346" s="46" t="n">
        <v>4238</v>
      </c>
      <c r="I1346" s="46" t="n">
        <v>28</v>
      </c>
      <c r="J1346" s="44" t="n">
        <v>1.1845</v>
      </c>
      <c r="K1346" s="43" t="inlineStr">
        <is>
          <t>Received</t>
        </is>
      </c>
      <c r="L1346" s="17">
        <f>INDEX(Items!$C$2:$C$117,MATCH(B1346,Items!$A$2:$A$117,0))</f>
        <v/>
      </c>
      <c r="M1346" s="49">
        <f>INDEX(Items!$E$2:$E$117,MATCH(B1346,Items!$A$2:$A$117,0))</f>
        <v/>
      </c>
      <c r="N1346" s="17">
        <f>TEXT(D1346,"yyyy-mm")</f>
        <v/>
      </c>
      <c r="O1346" s="50">
        <f>G1346*J1346</f>
        <v/>
      </c>
      <c r="P1346" s="50">
        <f>(J1346-M1346)*G1346</f>
        <v/>
      </c>
      <c r="Q1346" s="51">
        <f>IF(K1346="Received",1,0)</f>
        <v/>
      </c>
      <c r="R1346" s="51">
        <f>IF(Q1346=1,F1346-D1346,0)</f>
        <v/>
      </c>
      <c r="S1346" s="51">
        <f>IF(Q1346=1,IF(F1346&lt;=E1346,1,0),0)</f>
        <v/>
      </c>
      <c r="T1346" s="51">
        <f>IF(Q1346=1,IF(H1346&gt;=G1346,1,0),0)</f>
        <v/>
      </c>
      <c r="U1346" s="51">
        <f>S1346*T1346</f>
        <v/>
      </c>
      <c r="V1346" s="51">
        <f>IF(Q1346=1,MAX(0,F1346-E1346),0)</f>
        <v/>
      </c>
    </row>
    <row r="1347">
      <c r="A1347" s="43" t="inlineStr">
        <is>
          <t>PO100906</t>
        </is>
      </c>
      <c r="B1347" s="43" t="inlineStr">
        <is>
          <t>CMD-0041</t>
        </is>
      </c>
      <c r="C1347" s="43" t="inlineStr">
        <is>
          <t>S05</t>
        </is>
      </c>
      <c r="D1347" s="47" t="n">
        <v>46047</v>
      </c>
      <c r="E1347" s="47" t="n">
        <v>46152</v>
      </c>
      <c r="F1347" s="47" t="n">
        <v>46149</v>
      </c>
      <c r="G1347" s="46" t="n">
        <v>1154</v>
      </c>
      <c r="H1347" s="46" t="n">
        <v>1154</v>
      </c>
      <c r="I1347" s="46" t="n">
        <v>28</v>
      </c>
      <c r="J1347" s="44" t="n">
        <v>5.7989</v>
      </c>
      <c r="K1347" s="43" t="inlineStr">
        <is>
          <t>Received</t>
        </is>
      </c>
      <c r="L1347" s="17">
        <f>INDEX(Items!$C$2:$C$117,MATCH(B1347,Items!$A$2:$A$117,0))</f>
        <v/>
      </c>
      <c r="M1347" s="49">
        <f>INDEX(Items!$E$2:$E$117,MATCH(B1347,Items!$A$2:$A$117,0))</f>
        <v/>
      </c>
      <c r="N1347" s="17">
        <f>TEXT(D1347,"yyyy-mm")</f>
        <v/>
      </c>
      <c r="O1347" s="50">
        <f>G1347*J1347</f>
        <v/>
      </c>
      <c r="P1347" s="50">
        <f>(J1347-M1347)*G1347</f>
        <v/>
      </c>
      <c r="Q1347" s="51">
        <f>IF(K1347="Received",1,0)</f>
        <v/>
      </c>
      <c r="R1347" s="51">
        <f>IF(Q1347=1,F1347-D1347,0)</f>
        <v/>
      </c>
      <c r="S1347" s="51">
        <f>IF(Q1347=1,IF(F1347&lt;=E1347,1,0),0)</f>
        <v/>
      </c>
      <c r="T1347" s="51">
        <f>IF(Q1347=1,IF(H1347&gt;=G1347,1,0),0)</f>
        <v/>
      </c>
      <c r="U1347" s="51">
        <f>S1347*T1347</f>
        <v/>
      </c>
      <c r="V1347" s="51">
        <f>IF(Q1347=1,MAX(0,F1347-E1347),0)</f>
        <v/>
      </c>
    </row>
    <row r="1348">
      <c r="A1348" s="43" t="inlineStr">
        <is>
          <t>PO102018</t>
        </is>
      </c>
      <c r="B1348" s="43" t="inlineStr">
        <is>
          <t>CMD-0115</t>
        </is>
      </c>
      <c r="C1348" s="43" t="inlineStr">
        <is>
          <t>S12</t>
        </is>
      </c>
      <c r="D1348" s="47" t="n">
        <v>46047</v>
      </c>
      <c r="E1348" s="47" t="n">
        <v>46054</v>
      </c>
      <c r="F1348" s="47" t="n">
        <v>46051</v>
      </c>
      <c r="G1348" s="46" t="n">
        <v>6082</v>
      </c>
      <c r="H1348" s="46" t="n">
        <v>6082</v>
      </c>
      <c r="I1348" s="46" t="n">
        <v>4</v>
      </c>
      <c r="J1348" s="44" t="n">
        <v>0.5733</v>
      </c>
      <c r="K1348" s="43" t="inlineStr">
        <is>
          <t>Received</t>
        </is>
      </c>
      <c r="L1348" s="17">
        <f>INDEX(Items!$C$2:$C$117,MATCH(B1348,Items!$A$2:$A$117,0))</f>
        <v/>
      </c>
      <c r="M1348" s="49">
        <f>INDEX(Items!$E$2:$E$117,MATCH(B1348,Items!$A$2:$A$117,0))</f>
        <v/>
      </c>
      <c r="N1348" s="17">
        <f>TEXT(D1348,"yyyy-mm")</f>
        <v/>
      </c>
      <c r="O1348" s="50">
        <f>G1348*J1348</f>
        <v/>
      </c>
      <c r="P1348" s="50">
        <f>(J1348-M1348)*G1348</f>
        <v/>
      </c>
      <c r="Q1348" s="51">
        <f>IF(K1348="Received",1,0)</f>
        <v/>
      </c>
      <c r="R1348" s="51">
        <f>IF(Q1348=1,F1348-D1348,0)</f>
        <v/>
      </c>
      <c r="S1348" s="51">
        <f>IF(Q1348=1,IF(F1348&lt;=E1348,1,0),0)</f>
        <v/>
      </c>
      <c r="T1348" s="51">
        <f>IF(Q1348=1,IF(H1348&gt;=G1348,1,0),0)</f>
        <v/>
      </c>
      <c r="U1348" s="51">
        <f>S1348*T1348</f>
        <v/>
      </c>
      <c r="V1348" s="51">
        <f>IF(Q1348=1,MAX(0,F1348-E1348),0)</f>
        <v/>
      </c>
    </row>
    <row r="1349">
      <c r="A1349" s="43" t="inlineStr">
        <is>
          <t>PO101992</t>
        </is>
      </c>
      <c r="B1349" s="43" t="inlineStr">
        <is>
          <t>CMD-0111</t>
        </is>
      </c>
      <c r="C1349" s="43" t="inlineStr">
        <is>
          <t>S12</t>
        </is>
      </c>
      <c r="D1349" s="47" t="n">
        <v>46047</v>
      </c>
      <c r="E1349" s="47" t="n">
        <v>46054</v>
      </c>
      <c r="F1349" s="47" t="n">
        <v>46052</v>
      </c>
      <c r="G1349" s="46" t="n">
        <v>6027</v>
      </c>
      <c r="H1349" s="46" t="n">
        <v>6027</v>
      </c>
      <c r="I1349" s="46" t="n">
        <v>5</v>
      </c>
      <c r="J1349" s="44" t="n">
        <v>0.3014</v>
      </c>
      <c r="K1349" s="43" t="inlineStr">
        <is>
          <t>Received</t>
        </is>
      </c>
      <c r="L1349" s="17">
        <f>INDEX(Items!$C$2:$C$117,MATCH(B1349,Items!$A$2:$A$117,0))</f>
        <v/>
      </c>
      <c r="M1349" s="49">
        <f>INDEX(Items!$E$2:$E$117,MATCH(B1349,Items!$A$2:$A$117,0))</f>
        <v/>
      </c>
      <c r="N1349" s="17">
        <f>TEXT(D1349,"yyyy-mm")</f>
        <v/>
      </c>
      <c r="O1349" s="50">
        <f>G1349*J1349</f>
        <v/>
      </c>
      <c r="P1349" s="50">
        <f>(J1349-M1349)*G1349</f>
        <v/>
      </c>
      <c r="Q1349" s="51">
        <f>IF(K1349="Received",1,0)</f>
        <v/>
      </c>
      <c r="R1349" s="51">
        <f>IF(Q1349=1,F1349-D1349,0)</f>
        <v/>
      </c>
      <c r="S1349" s="51">
        <f>IF(Q1349=1,IF(F1349&lt;=E1349,1,0),0)</f>
        <v/>
      </c>
      <c r="T1349" s="51">
        <f>IF(Q1349=1,IF(H1349&gt;=G1349,1,0),0)</f>
        <v/>
      </c>
      <c r="U1349" s="51">
        <f>S1349*T1349</f>
        <v/>
      </c>
      <c r="V1349" s="51">
        <f>IF(Q1349=1,MAX(0,F1349-E1349),0)</f>
        <v/>
      </c>
    </row>
    <row r="1350">
      <c r="A1350" s="43" t="inlineStr">
        <is>
          <t>PO101598</t>
        </is>
      </c>
      <c r="B1350" s="43" t="inlineStr">
        <is>
          <t>CMD-0088</t>
        </is>
      </c>
      <c r="C1350" s="43" t="inlineStr">
        <is>
          <t>S06</t>
        </is>
      </c>
      <c r="D1350" s="47" t="n">
        <v>46048</v>
      </c>
      <c r="E1350" s="47" t="n">
        <v>46069</v>
      </c>
      <c r="F1350" s="47" t="n">
        <v>46068</v>
      </c>
      <c r="G1350" s="46" t="n">
        <v>2086</v>
      </c>
      <c r="H1350" s="46" t="n">
        <v>2086</v>
      </c>
      <c r="I1350" s="46" t="n">
        <v>17</v>
      </c>
      <c r="J1350" s="44" t="n">
        <v>2.5029</v>
      </c>
      <c r="K1350" s="43" t="inlineStr">
        <is>
          <t>Received</t>
        </is>
      </c>
      <c r="L1350" s="17">
        <f>INDEX(Items!$C$2:$C$117,MATCH(B1350,Items!$A$2:$A$117,0))</f>
        <v/>
      </c>
      <c r="M1350" s="49">
        <f>INDEX(Items!$E$2:$E$117,MATCH(B1350,Items!$A$2:$A$117,0))</f>
        <v/>
      </c>
      <c r="N1350" s="17">
        <f>TEXT(D1350,"yyyy-mm")</f>
        <v/>
      </c>
      <c r="O1350" s="50">
        <f>G1350*J1350</f>
        <v/>
      </c>
      <c r="P1350" s="50">
        <f>(J1350-M1350)*G1350</f>
        <v/>
      </c>
      <c r="Q1350" s="51">
        <f>IF(K1350="Received",1,0)</f>
        <v/>
      </c>
      <c r="R1350" s="51">
        <f>IF(Q1350=1,F1350-D1350,0)</f>
        <v/>
      </c>
      <c r="S1350" s="51">
        <f>IF(Q1350=1,IF(F1350&lt;=E1350,1,0),0)</f>
        <v/>
      </c>
      <c r="T1350" s="51">
        <f>IF(Q1350=1,IF(H1350&gt;=G1350,1,0),0)</f>
        <v/>
      </c>
      <c r="U1350" s="51">
        <f>S1350*T1350</f>
        <v/>
      </c>
      <c r="V1350" s="51">
        <f>IF(Q1350=1,MAX(0,F1350-E1350),0)</f>
        <v/>
      </c>
    </row>
    <row r="1351">
      <c r="A1351" s="43" t="inlineStr">
        <is>
          <t>PO101590</t>
        </is>
      </c>
      <c r="B1351" s="43" t="inlineStr">
        <is>
          <t>CMD-0086</t>
        </is>
      </c>
      <c r="C1351" s="43" t="inlineStr">
        <is>
          <t>S01</t>
        </is>
      </c>
      <c r="D1351" s="47" t="n">
        <v>46048</v>
      </c>
      <c r="E1351" s="47" t="n">
        <v>46062</v>
      </c>
      <c r="F1351" s="47" t="n">
        <v>46059</v>
      </c>
      <c r="G1351" s="46" t="n">
        <v>3611</v>
      </c>
      <c r="H1351" s="46" t="n">
        <v>3611</v>
      </c>
      <c r="I1351" s="46" t="n">
        <v>5</v>
      </c>
      <c r="J1351" s="44" t="n">
        <v>0.4819</v>
      </c>
      <c r="K1351" s="43" t="inlineStr">
        <is>
          <t>Received</t>
        </is>
      </c>
      <c r="L1351" s="17">
        <f>INDEX(Items!$C$2:$C$117,MATCH(B1351,Items!$A$2:$A$117,0))</f>
        <v/>
      </c>
      <c r="M1351" s="49">
        <f>INDEX(Items!$E$2:$E$117,MATCH(B1351,Items!$A$2:$A$117,0))</f>
        <v/>
      </c>
      <c r="N1351" s="17">
        <f>TEXT(D1351,"yyyy-mm")</f>
        <v/>
      </c>
      <c r="O1351" s="50">
        <f>G1351*J1351</f>
        <v/>
      </c>
      <c r="P1351" s="50">
        <f>(J1351-M1351)*G1351</f>
        <v/>
      </c>
      <c r="Q1351" s="51">
        <f>IF(K1351="Received",1,0)</f>
        <v/>
      </c>
      <c r="R1351" s="51">
        <f>IF(Q1351=1,F1351-D1351,0)</f>
        <v/>
      </c>
      <c r="S1351" s="51">
        <f>IF(Q1351=1,IF(F1351&lt;=E1351,1,0),0)</f>
        <v/>
      </c>
      <c r="T1351" s="51">
        <f>IF(Q1351=1,IF(H1351&gt;=G1351,1,0),0)</f>
        <v/>
      </c>
      <c r="U1351" s="51">
        <f>S1351*T1351</f>
        <v/>
      </c>
      <c r="V1351" s="51">
        <f>IF(Q1351=1,MAX(0,F1351-E1351),0)</f>
        <v/>
      </c>
    </row>
    <row r="1352">
      <c r="A1352" s="43" t="inlineStr">
        <is>
          <t>PO101594</t>
        </is>
      </c>
      <c r="B1352" s="43" t="inlineStr">
        <is>
          <t>CMD-0087</t>
        </is>
      </c>
      <c r="C1352" s="43" t="inlineStr">
        <is>
          <t>S01</t>
        </is>
      </c>
      <c r="D1352" s="47" t="n">
        <v>46049</v>
      </c>
      <c r="E1352" s="47" t="n">
        <v>46063</v>
      </c>
      <c r="F1352" s="47" t="n">
        <v>46061</v>
      </c>
      <c r="G1352" s="46" t="n">
        <v>3347</v>
      </c>
      <c r="H1352" s="46" t="n">
        <v>3347</v>
      </c>
      <c r="I1352" s="46" t="n">
        <v>5</v>
      </c>
      <c r="J1352" s="44" t="n">
        <v>0.6652</v>
      </c>
      <c r="K1352" s="43" t="inlineStr">
        <is>
          <t>Received</t>
        </is>
      </c>
      <c r="L1352" s="17">
        <f>INDEX(Items!$C$2:$C$117,MATCH(B1352,Items!$A$2:$A$117,0))</f>
        <v/>
      </c>
      <c r="M1352" s="49">
        <f>INDEX(Items!$E$2:$E$117,MATCH(B1352,Items!$A$2:$A$117,0))</f>
        <v/>
      </c>
      <c r="N1352" s="17">
        <f>TEXT(D1352,"yyyy-mm")</f>
        <v/>
      </c>
      <c r="O1352" s="50">
        <f>G1352*J1352</f>
        <v/>
      </c>
      <c r="P1352" s="50">
        <f>(J1352-M1352)*G1352</f>
        <v/>
      </c>
      <c r="Q1352" s="51">
        <f>IF(K1352="Received",1,0)</f>
        <v/>
      </c>
      <c r="R1352" s="51">
        <f>IF(Q1352=1,F1352-D1352,0)</f>
        <v/>
      </c>
      <c r="S1352" s="51">
        <f>IF(Q1352=1,IF(F1352&lt;=E1352,1,0),0)</f>
        <v/>
      </c>
      <c r="T1352" s="51">
        <f>IF(Q1352=1,IF(H1352&gt;=G1352,1,0),0)</f>
        <v/>
      </c>
      <c r="U1352" s="51">
        <f>S1352*T1352</f>
        <v/>
      </c>
      <c r="V1352" s="51">
        <f>IF(Q1352=1,MAX(0,F1352-E1352),0)</f>
        <v/>
      </c>
    </row>
    <row r="1353">
      <c r="A1353" s="43" t="inlineStr">
        <is>
          <t>PO101558</t>
        </is>
      </c>
      <c r="B1353" s="43" t="inlineStr">
        <is>
          <t>CMD-0083</t>
        </is>
      </c>
      <c r="C1353" s="43" t="inlineStr">
        <is>
          <t>S06</t>
        </is>
      </c>
      <c r="D1353" s="47" t="n">
        <v>46049</v>
      </c>
      <c r="E1353" s="47" t="n">
        <v>46070</v>
      </c>
      <c r="F1353" s="47" t="n">
        <v>46069</v>
      </c>
      <c r="G1353" s="46" t="n">
        <v>7359</v>
      </c>
      <c r="H1353" s="46" t="n">
        <v>7359</v>
      </c>
      <c r="I1353" s="46" t="n">
        <v>37</v>
      </c>
      <c r="J1353" s="44" t="n">
        <v>0.7507</v>
      </c>
      <c r="K1353" s="43" t="inlineStr">
        <is>
          <t>Received</t>
        </is>
      </c>
      <c r="L1353" s="17">
        <f>INDEX(Items!$C$2:$C$117,MATCH(B1353,Items!$A$2:$A$117,0))</f>
        <v/>
      </c>
      <c r="M1353" s="49">
        <f>INDEX(Items!$E$2:$E$117,MATCH(B1353,Items!$A$2:$A$117,0))</f>
        <v/>
      </c>
      <c r="N1353" s="17">
        <f>TEXT(D1353,"yyyy-mm")</f>
        <v/>
      </c>
      <c r="O1353" s="50">
        <f>G1353*J1353</f>
        <v/>
      </c>
      <c r="P1353" s="50">
        <f>(J1353-M1353)*G1353</f>
        <v/>
      </c>
      <c r="Q1353" s="51">
        <f>IF(K1353="Received",1,0)</f>
        <v/>
      </c>
      <c r="R1353" s="51">
        <f>IF(Q1353=1,F1353-D1353,0)</f>
        <v/>
      </c>
      <c r="S1353" s="51">
        <f>IF(Q1353=1,IF(F1353&lt;=E1353,1,0),0)</f>
        <v/>
      </c>
      <c r="T1353" s="51">
        <f>IF(Q1353=1,IF(H1353&gt;=G1353,1,0),0)</f>
        <v/>
      </c>
      <c r="U1353" s="51">
        <f>S1353*T1353</f>
        <v/>
      </c>
      <c r="V1353" s="51">
        <f>IF(Q1353=1,MAX(0,F1353-E1353),0)</f>
        <v/>
      </c>
    </row>
    <row r="1354">
      <c r="A1354" s="43" t="inlineStr">
        <is>
          <t>PO102002</t>
        </is>
      </c>
      <c r="B1354" s="43" t="inlineStr">
        <is>
          <t>CMD-0113</t>
        </is>
      </c>
      <c r="C1354" s="43" t="inlineStr">
        <is>
          <t>S12</t>
        </is>
      </c>
      <c r="D1354" s="47" t="n">
        <v>46049</v>
      </c>
      <c r="E1354" s="47" t="n">
        <v>46056</v>
      </c>
      <c r="F1354" s="47" t="n">
        <v>46055</v>
      </c>
      <c r="G1354" s="46" t="n">
        <v>2073</v>
      </c>
      <c r="H1354" s="46" t="n">
        <v>2073</v>
      </c>
      <c r="I1354" s="46" t="n">
        <v>1</v>
      </c>
      <c r="J1354" s="44" t="n">
        <v>0.2952</v>
      </c>
      <c r="K1354" s="43" t="inlineStr">
        <is>
          <t>Received</t>
        </is>
      </c>
      <c r="L1354" s="17">
        <f>INDEX(Items!$C$2:$C$117,MATCH(B1354,Items!$A$2:$A$117,0))</f>
        <v/>
      </c>
      <c r="M1354" s="49">
        <f>INDEX(Items!$E$2:$E$117,MATCH(B1354,Items!$A$2:$A$117,0))</f>
        <v/>
      </c>
      <c r="N1354" s="17">
        <f>TEXT(D1354,"yyyy-mm")</f>
        <v/>
      </c>
      <c r="O1354" s="50">
        <f>G1354*J1354</f>
        <v/>
      </c>
      <c r="P1354" s="50">
        <f>(J1354-M1354)*G1354</f>
        <v/>
      </c>
      <c r="Q1354" s="51">
        <f>IF(K1354="Received",1,0)</f>
        <v/>
      </c>
      <c r="R1354" s="51">
        <f>IF(Q1354=1,F1354-D1354,0)</f>
        <v/>
      </c>
      <c r="S1354" s="51">
        <f>IF(Q1354=1,IF(F1354&lt;=E1354,1,0),0)</f>
        <v/>
      </c>
      <c r="T1354" s="51">
        <f>IF(Q1354=1,IF(H1354&gt;=G1354,1,0),0)</f>
        <v/>
      </c>
      <c r="U1354" s="51">
        <f>S1354*T1354</f>
        <v/>
      </c>
      <c r="V1354" s="51">
        <f>IF(Q1354=1,MAX(0,F1354-E1354),0)</f>
        <v/>
      </c>
    </row>
    <row r="1355">
      <c r="A1355" s="43" t="inlineStr">
        <is>
          <t>PO101530</t>
        </is>
      </c>
      <c r="B1355" s="43" t="inlineStr">
        <is>
          <t>CMD-0081</t>
        </is>
      </c>
      <c r="C1355" s="43" t="inlineStr">
        <is>
          <t>S06</t>
        </is>
      </c>
      <c r="D1355" s="47" t="n">
        <v>46050</v>
      </c>
      <c r="E1355" s="47" t="n">
        <v>46071</v>
      </c>
      <c r="F1355" s="47" t="n">
        <v>46071</v>
      </c>
      <c r="G1355" s="46" t="n">
        <v>2179</v>
      </c>
      <c r="H1355" s="46" t="n">
        <v>2179</v>
      </c>
      <c r="I1355" s="46" t="n">
        <v>7</v>
      </c>
      <c r="J1355" s="44" t="n">
        <v>0.6084000000000001</v>
      </c>
      <c r="K1355" s="43" t="inlineStr">
        <is>
          <t>Received</t>
        </is>
      </c>
      <c r="L1355" s="17">
        <f>INDEX(Items!$C$2:$C$117,MATCH(B1355,Items!$A$2:$A$117,0))</f>
        <v/>
      </c>
      <c r="M1355" s="49">
        <f>INDEX(Items!$E$2:$E$117,MATCH(B1355,Items!$A$2:$A$117,0))</f>
        <v/>
      </c>
      <c r="N1355" s="17">
        <f>TEXT(D1355,"yyyy-mm")</f>
        <v/>
      </c>
      <c r="O1355" s="50">
        <f>G1355*J1355</f>
        <v/>
      </c>
      <c r="P1355" s="50">
        <f>(J1355-M1355)*G1355</f>
        <v/>
      </c>
      <c r="Q1355" s="51">
        <f>IF(K1355="Received",1,0)</f>
        <v/>
      </c>
      <c r="R1355" s="51">
        <f>IF(Q1355=1,F1355-D1355,0)</f>
        <v/>
      </c>
      <c r="S1355" s="51">
        <f>IF(Q1355=1,IF(F1355&lt;=E1355,1,0),0)</f>
        <v/>
      </c>
      <c r="T1355" s="51">
        <f>IF(Q1355=1,IF(H1355&gt;=G1355,1,0),0)</f>
        <v/>
      </c>
      <c r="U1355" s="51">
        <f>S1355*T1355</f>
        <v/>
      </c>
      <c r="V1355" s="51">
        <f>IF(Q1355=1,MAX(0,F1355-E1355),0)</f>
        <v/>
      </c>
    </row>
    <row r="1356">
      <c r="A1356" s="43" t="inlineStr">
        <is>
          <t>PO101274</t>
        </is>
      </c>
      <c r="B1356" s="43" t="inlineStr">
        <is>
          <t>CMD-0061</t>
        </is>
      </c>
      <c r="C1356" s="43" t="inlineStr">
        <is>
          <t>S01</t>
        </is>
      </c>
      <c r="D1356" s="47" t="n">
        <v>46050</v>
      </c>
      <c r="E1356" s="47" t="n">
        <v>46071</v>
      </c>
      <c r="F1356" s="47" t="n">
        <v>46069</v>
      </c>
      <c r="G1356" s="46" t="n">
        <v>76441</v>
      </c>
      <c r="H1356" s="46" t="n">
        <v>76441</v>
      </c>
      <c r="I1356" s="46" t="n">
        <v>145</v>
      </c>
      <c r="J1356" s="44" t="n">
        <v>0.0242</v>
      </c>
      <c r="K1356" s="43" t="inlineStr">
        <is>
          <t>Received</t>
        </is>
      </c>
      <c r="L1356" s="17">
        <f>INDEX(Items!$C$2:$C$117,MATCH(B1356,Items!$A$2:$A$117,0))</f>
        <v/>
      </c>
      <c r="M1356" s="49">
        <f>INDEX(Items!$E$2:$E$117,MATCH(B1356,Items!$A$2:$A$117,0))</f>
        <v/>
      </c>
      <c r="N1356" s="17">
        <f>TEXT(D1356,"yyyy-mm")</f>
        <v/>
      </c>
      <c r="O1356" s="50">
        <f>G1356*J1356</f>
        <v/>
      </c>
      <c r="P1356" s="50">
        <f>(J1356-M1356)*G1356</f>
        <v/>
      </c>
      <c r="Q1356" s="51">
        <f>IF(K1356="Received",1,0)</f>
        <v/>
      </c>
      <c r="R1356" s="51">
        <f>IF(Q1356=1,F1356-D1356,0)</f>
        <v/>
      </c>
      <c r="S1356" s="51">
        <f>IF(Q1356=1,IF(F1356&lt;=E1356,1,0),0)</f>
        <v/>
      </c>
      <c r="T1356" s="51">
        <f>IF(Q1356=1,IF(H1356&gt;=G1356,1,0),0)</f>
        <v/>
      </c>
      <c r="U1356" s="51">
        <f>S1356*T1356</f>
        <v/>
      </c>
      <c r="V1356" s="51">
        <f>IF(Q1356=1,MAX(0,F1356-E1356),0)</f>
        <v/>
      </c>
    </row>
    <row r="1357">
      <c r="A1357" s="43" t="inlineStr">
        <is>
          <t>PO101390</t>
        </is>
      </c>
      <c r="B1357" s="43" t="inlineStr">
        <is>
          <t>CMD-0072</t>
        </is>
      </c>
      <c r="C1357" s="43" t="inlineStr">
        <is>
          <t>S01</t>
        </is>
      </c>
      <c r="D1357" s="47" t="n">
        <v>46050</v>
      </c>
      <c r="E1357" s="47" t="n">
        <v>46071</v>
      </c>
      <c r="F1357" s="47" t="n">
        <v>46069</v>
      </c>
      <c r="G1357" s="46" t="n">
        <v>66831</v>
      </c>
      <c r="H1357" s="46" t="n">
        <v>66831</v>
      </c>
      <c r="I1357" s="46" t="n">
        <v>144</v>
      </c>
      <c r="J1357" s="44" t="n">
        <v>0.0958</v>
      </c>
      <c r="K1357" s="43" t="inlineStr">
        <is>
          <t>Received</t>
        </is>
      </c>
      <c r="L1357" s="17">
        <f>INDEX(Items!$C$2:$C$117,MATCH(B1357,Items!$A$2:$A$117,0))</f>
        <v/>
      </c>
      <c r="M1357" s="49">
        <f>INDEX(Items!$E$2:$E$117,MATCH(B1357,Items!$A$2:$A$117,0))</f>
        <v/>
      </c>
      <c r="N1357" s="17">
        <f>TEXT(D1357,"yyyy-mm")</f>
        <v/>
      </c>
      <c r="O1357" s="50">
        <f>G1357*J1357</f>
        <v/>
      </c>
      <c r="P1357" s="50">
        <f>(J1357-M1357)*G1357</f>
        <v/>
      </c>
      <c r="Q1357" s="51">
        <f>IF(K1357="Received",1,0)</f>
        <v/>
      </c>
      <c r="R1357" s="51">
        <f>IF(Q1357=1,F1357-D1357,0)</f>
        <v/>
      </c>
      <c r="S1357" s="51">
        <f>IF(Q1357=1,IF(F1357&lt;=E1357,1,0),0)</f>
        <v/>
      </c>
      <c r="T1357" s="51">
        <f>IF(Q1357=1,IF(H1357&gt;=G1357,1,0),0)</f>
        <v/>
      </c>
      <c r="U1357" s="51">
        <f>S1357*T1357</f>
        <v/>
      </c>
      <c r="V1357" s="51">
        <f>IF(Q1357=1,MAX(0,F1357-E1357),0)</f>
        <v/>
      </c>
    </row>
    <row r="1358">
      <c r="A1358" s="43" t="inlineStr">
        <is>
          <t>PO101355</t>
        </is>
      </c>
      <c r="B1358" s="43" t="inlineStr">
        <is>
          <t>CMD-0068</t>
        </is>
      </c>
      <c r="C1358" s="43" t="inlineStr">
        <is>
          <t>S01</t>
        </is>
      </c>
      <c r="D1358" s="47" t="n">
        <v>46057</v>
      </c>
      <c r="E1358" s="47" t="n">
        <v>46078</v>
      </c>
      <c r="F1358" s="47" t="n">
        <v>46075</v>
      </c>
      <c r="G1358" s="46" t="n">
        <v>36014</v>
      </c>
      <c r="H1358" s="46" t="n">
        <v>36014</v>
      </c>
      <c r="I1358" s="46" t="n">
        <v>76</v>
      </c>
      <c r="J1358" s="44" t="n">
        <v>0.1609</v>
      </c>
      <c r="K1358" s="43" t="inlineStr">
        <is>
          <t>Received</t>
        </is>
      </c>
      <c r="L1358" s="17">
        <f>INDEX(Items!$C$2:$C$117,MATCH(B1358,Items!$A$2:$A$117,0))</f>
        <v/>
      </c>
      <c r="M1358" s="49">
        <f>INDEX(Items!$E$2:$E$117,MATCH(B1358,Items!$A$2:$A$117,0))</f>
        <v/>
      </c>
      <c r="N1358" s="17">
        <f>TEXT(D1358,"yyyy-mm")</f>
        <v/>
      </c>
      <c r="O1358" s="50">
        <f>G1358*J1358</f>
        <v/>
      </c>
      <c r="P1358" s="50">
        <f>(J1358-M1358)*G1358</f>
        <v/>
      </c>
      <c r="Q1358" s="51">
        <f>IF(K1358="Received",1,0)</f>
        <v/>
      </c>
      <c r="R1358" s="51">
        <f>IF(Q1358=1,F1358-D1358,0)</f>
        <v/>
      </c>
      <c r="S1358" s="51">
        <f>IF(Q1358=1,IF(F1358&lt;=E1358,1,0),0)</f>
        <v/>
      </c>
      <c r="T1358" s="51">
        <f>IF(Q1358=1,IF(H1358&gt;=G1358,1,0),0)</f>
        <v/>
      </c>
      <c r="U1358" s="51">
        <f>S1358*T1358</f>
        <v/>
      </c>
      <c r="V1358" s="51">
        <f>IF(Q1358=1,MAX(0,F1358-E1358),0)</f>
        <v/>
      </c>
    </row>
    <row r="1359">
      <c r="A1359" s="43" t="inlineStr">
        <is>
          <t>PO101927</t>
        </is>
      </c>
      <c r="B1359" s="43" t="inlineStr">
        <is>
          <t>CMD-0106</t>
        </is>
      </c>
      <c r="C1359" s="43" t="inlineStr">
        <is>
          <t>S09</t>
        </is>
      </c>
      <c r="D1359" s="47" t="n">
        <v>46062</v>
      </c>
      <c r="E1359" s="47" t="n">
        <v>46083</v>
      </c>
      <c r="F1359" s="47" t="n">
        <v>46080</v>
      </c>
      <c r="G1359" s="46" t="n">
        <v>587</v>
      </c>
      <c r="H1359" s="46" t="n">
        <v>587</v>
      </c>
      <c r="I1359" s="46" t="n">
        <v>2</v>
      </c>
      <c r="J1359" s="44" t="n">
        <v>10.7326</v>
      </c>
      <c r="K1359" s="43" t="inlineStr">
        <is>
          <t>Received</t>
        </is>
      </c>
      <c r="L1359" s="17">
        <f>INDEX(Items!$C$2:$C$117,MATCH(B1359,Items!$A$2:$A$117,0))</f>
        <v/>
      </c>
      <c r="M1359" s="49">
        <f>INDEX(Items!$E$2:$E$117,MATCH(B1359,Items!$A$2:$A$117,0))</f>
        <v/>
      </c>
      <c r="N1359" s="17">
        <f>TEXT(D1359,"yyyy-mm")</f>
        <v/>
      </c>
      <c r="O1359" s="50">
        <f>G1359*J1359</f>
        <v/>
      </c>
      <c r="P1359" s="50">
        <f>(J1359-M1359)*G1359</f>
        <v/>
      </c>
      <c r="Q1359" s="51">
        <f>IF(K1359="Received",1,0)</f>
        <v/>
      </c>
      <c r="R1359" s="51">
        <f>IF(Q1359=1,F1359-D1359,0)</f>
        <v/>
      </c>
      <c r="S1359" s="51">
        <f>IF(Q1359=1,IF(F1359&lt;=E1359,1,0),0)</f>
        <v/>
      </c>
      <c r="T1359" s="51">
        <f>IF(Q1359=1,IF(H1359&gt;=G1359,1,0),0)</f>
        <v/>
      </c>
      <c r="U1359" s="51">
        <f>S1359*T1359</f>
        <v/>
      </c>
      <c r="V1359" s="51">
        <f>IF(Q1359=1,MAX(0,F1359-E1359),0)</f>
        <v/>
      </c>
    </row>
    <row r="1360">
      <c r="A1360" s="43" t="inlineStr">
        <is>
          <t>PO101948</t>
        </is>
      </c>
      <c r="B1360" s="43" t="inlineStr">
        <is>
          <t>CMD-0107</t>
        </is>
      </c>
      <c r="C1360" s="43" t="inlineStr">
        <is>
          <t>S09</t>
        </is>
      </c>
      <c r="D1360" s="47" t="n">
        <v>46063</v>
      </c>
      <c r="E1360" s="47" t="n">
        <v>46084</v>
      </c>
      <c r="F1360" s="47" t="n">
        <v>46083</v>
      </c>
      <c r="G1360" s="46" t="n">
        <v>1146</v>
      </c>
      <c r="H1360" s="46" t="n">
        <v>1146</v>
      </c>
      <c r="I1360" s="46" t="n">
        <v>2</v>
      </c>
      <c r="J1360" s="44" t="n">
        <v>7.1585</v>
      </c>
      <c r="K1360" s="43" t="inlineStr">
        <is>
          <t>Received</t>
        </is>
      </c>
      <c r="L1360" s="17">
        <f>INDEX(Items!$C$2:$C$117,MATCH(B1360,Items!$A$2:$A$117,0))</f>
        <v/>
      </c>
      <c r="M1360" s="49">
        <f>INDEX(Items!$E$2:$E$117,MATCH(B1360,Items!$A$2:$A$117,0))</f>
        <v/>
      </c>
      <c r="N1360" s="17">
        <f>TEXT(D1360,"yyyy-mm")</f>
        <v/>
      </c>
      <c r="O1360" s="50">
        <f>G1360*J1360</f>
        <v/>
      </c>
      <c r="P1360" s="50">
        <f>(J1360-M1360)*G1360</f>
        <v/>
      </c>
      <c r="Q1360" s="51">
        <f>IF(K1360="Received",1,0)</f>
        <v/>
      </c>
      <c r="R1360" s="51">
        <f>IF(Q1360=1,F1360-D1360,0)</f>
        <v/>
      </c>
      <c r="S1360" s="51">
        <f>IF(Q1360=1,IF(F1360&lt;=E1360,1,0),0)</f>
        <v/>
      </c>
      <c r="T1360" s="51">
        <f>IF(Q1360=1,IF(H1360&gt;=G1360,1,0),0)</f>
        <v/>
      </c>
      <c r="U1360" s="51">
        <f>S1360*T1360</f>
        <v/>
      </c>
      <c r="V1360" s="51">
        <f>IF(Q1360=1,MAX(0,F1360-E1360),0)</f>
        <v/>
      </c>
    </row>
    <row r="1361">
      <c r="A1361" s="43" t="inlineStr">
        <is>
          <t>PO101324</t>
        </is>
      </c>
      <c r="B1361" s="43" t="inlineStr">
        <is>
          <t>CMD-0065</t>
        </is>
      </c>
      <c r="C1361" s="43" t="inlineStr">
        <is>
          <t>S10</t>
        </is>
      </c>
      <c r="D1361" s="47" t="n">
        <v>46063</v>
      </c>
      <c r="E1361" s="47" t="n">
        <v>46091</v>
      </c>
      <c r="F1361" s="47" t="n">
        <v>46090</v>
      </c>
      <c r="G1361" s="46" t="n">
        <v>108241</v>
      </c>
      <c r="H1361" s="46" t="n">
        <v>108241</v>
      </c>
      <c r="I1361" s="46" t="n">
        <v>97</v>
      </c>
      <c r="J1361" s="44" t="n">
        <v>0.119</v>
      </c>
      <c r="K1361" s="43" t="inlineStr">
        <is>
          <t>Received</t>
        </is>
      </c>
      <c r="L1361" s="17">
        <f>INDEX(Items!$C$2:$C$117,MATCH(B1361,Items!$A$2:$A$117,0))</f>
        <v/>
      </c>
      <c r="M1361" s="49">
        <f>INDEX(Items!$E$2:$E$117,MATCH(B1361,Items!$A$2:$A$117,0))</f>
        <v/>
      </c>
      <c r="N1361" s="17">
        <f>TEXT(D1361,"yyyy-mm")</f>
        <v/>
      </c>
      <c r="O1361" s="50">
        <f>G1361*J1361</f>
        <v/>
      </c>
      <c r="P1361" s="50">
        <f>(J1361-M1361)*G1361</f>
        <v/>
      </c>
      <c r="Q1361" s="51">
        <f>IF(K1361="Received",1,0)</f>
        <v/>
      </c>
      <c r="R1361" s="51">
        <f>IF(Q1361=1,F1361-D1361,0)</f>
        <v/>
      </c>
      <c r="S1361" s="51">
        <f>IF(Q1361=1,IF(F1361&lt;=E1361,1,0),0)</f>
        <v/>
      </c>
      <c r="T1361" s="51">
        <f>IF(Q1361=1,IF(H1361&gt;=G1361,1,0),0)</f>
        <v/>
      </c>
      <c r="U1361" s="51">
        <f>S1361*T1361</f>
        <v/>
      </c>
      <c r="V1361" s="51">
        <f>IF(Q1361=1,MAX(0,F1361-E1361),0)</f>
        <v/>
      </c>
    </row>
    <row r="1362">
      <c r="A1362" s="43" t="inlineStr">
        <is>
          <t>PO101472</t>
        </is>
      </c>
      <c r="B1362" s="43" t="inlineStr">
        <is>
          <t>CMD-0078</t>
        </is>
      </c>
      <c r="C1362" s="43" t="inlineStr">
        <is>
          <t>S06</t>
        </is>
      </c>
      <c r="D1362" s="47" t="n">
        <v>46063</v>
      </c>
      <c r="E1362" s="47" t="n">
        <v>46084</v>
      </c>
      <c r="F1362" s="47" t="n">
        <v>46081</v>
      </c>
      <c r="G1362" s="46" t="n">
        <v>4254</v>
      </c>
      <c r="H1362" s="46" t="n">
        <v>4254</v>
      </c>
      <c r="I1362" s="46" t="n">
        <v>24</v>
      </c>
      <c r="J1362" s="44" t="n">
        <v>2.678</v>
      </c>
      <c r="K1362" s="43" t="inlineStr">
        <is>
          <t>Received</t>
        </is>
      </c>
      <c r="L1362" s="17">
        <f>INDEX(Items!$C$2:$C$117,MATCH(B1362,Items!$A$2:$A$117,0))</f>
        <v/>
      </c>
      <c r="M1362" s="49">
        <f>INDEX(Items!$E$2:$E$117,MATCH(B1362,Items!$A$2:$A$117,0))</f>
        <v/>
      </c>
      <c r="N1362" s="17">
        <f>TEXT(D1362,"yyyy-mm")</f>
        <v/>
      </c>
      <c r="O1362" s="50">
        <f>G1362*J1362</f>
        <v/>
      </c>
      <c r="P1362" s="50">
        <f>(J1362-M1362)*G1362</f>
        <v/>
      </c>
      <c r="Q1362" s="51">
        <f>IF(K1362="Received",1,0)</f>
        <v/>
      </c>
      <c r="R1362" s="51">
        <f>IF(Q1362=1,F1362-D1362,0)</f>
        <v/>
      </c>
      <c r="S1362" s="51">
        <f>IF(Q1362=1,IF(F1362&lt;=E1362,1,0),0)</f>
        <v/>
      </c>
      <c r="T1362" s="51">
        <f>IF(Q1362=1,IF(H1362&gt;=G1362,1,0),0)</f>
        <v/>
      </c>
      <c r="U1362" s="51">
        <f>S1362*T1362</f>
        <v/>
      </c>
      <c r="V1362" s="51">
        <f>IF(Q1362=1,MAX(0,F1362-E1362),0)</f>
        <v/>
      </c>
    </row>
    <row r="1363">
      <c r="A1363" s="43" t="inlineStr">
        <is>
          <t>PO100380</t>
        </is>
      </c>
      <c r="B1363" s="43" t="inlineStr">
        <is>
          <t>CMD-0017</t>
        </is>
      </c>
      <c r="C1363" s="43" t="inlineStr">
        <is>
          <t>S11</t>
        </is>
      </c>
      <c r="D1363" s="47" t="n">
        <v>46063</v>
      </c>
      <c r="E1363" s="47" t="n">
        <v>46140</v>
      </c>
      <c r="F1363" s="47" t="n">
        <v>46140</v>
      </c>
      <c r="G1363" s="46" t="n">
        <v>7177</v>
      </c>
      <c r="H1363" s="46" t="n">
        <v>7177</v>
      </c>
      <c r="I1363" s="46" t="n">
        <v>16</v>
      </c>
      <c r="J1363" s="44" t="n">
        <v>13.0707</v>
      </c>
      <c r="K1363" s="43" t="inlineStr">
        <is>
          <t>Received</t>
        </is>
      </c>
      <c r="L1363" s="17">
        <f>INDEX(Items!$C$2:$C$117,MATCH(B1363,Items!$A$2:$A$117,0))</f>
        <v/>
      </c>
      <c r="M1363" s="49">
        <f>INDEX(Items!$E$2:$E$117,MATCH(B1363,Items!$A$2:$A$117,0))</f>
        <v/>
      </c>
      <c r="N1363" s="17">
        <f>TEXT(D1363,"yyyy-mm")</f>
        <v/>
      </c>
      <c r="O1363" s="50">
        <f>G1363*J1363</f>
        <v/>
      </c>
      <c r="P1363" s="50">
        <f>(J1363-M1363)*G1363</f>
        <v/>
      </c>
      <c r="Q1363" s="51">
        <f>IF(K1363="Received",1,0)</f>
        <v/>
      </c>
      <c r="R1363" s="51">
        <f>IF(Q1363=1,F1363-D1363,0)</f>
        <v/>
      </c>
      <c r="S1363" s="51">
        <f>IF(Q1363=1,IF(F1363&lt;=E1363,1,0),0)</f>
        <v/>
      </c>
      <c r="T1363" s="51">
        <f>IF(Q1363=1,IF(H1363&gt;=G1363,1,0),0)</f>
        <v/>
      </c>
      <c r="U1363" s="51">
        <f>S1363*T1363</f>
        <v/>
      </c>
      <c r="V1363" s="51">
        <f>IF(Q1363=1,MAX(0,F1363-E1363),0)</f>
        <v/>
      </c>
    </row>
    <row r="1364">
      <c r="A1364" s="43" t="inlineStr">
        <is>
          <t>PO100608</t>
        </is>
      </c>
      <c r="B1364" s="43" t="inlineStr">
        <is>
          <t>CMD-0027</t>
        </is>
      </c>
      <c r="C1364" s="43" t="inlineStr">
        <is>
          <t>S04</t>
        </is>
      </c>
      <c r="D1364" s="47" t="n">
        <v>46063</v>
      </c>
      <c r="E1364" s="47" t="n">
        <v>46133</v>
      </c>
      <c r="F1364" s="47" t="n">
        <v>46132</v>
      </c>
      <c r="G1364" s="46" t="n">
        <v>7015</v>
      </c>
      <c r="H1364" s="46" t="n">
        <v>7015</v>
      </c>
      <c r="I1364" s="46" t="n">
        <v>57</v>
      </c>
      <c r="J1364" s="44" t="n">
        <v>9.115500000000001</v>
      </c>
      <c r="K1364" s="43" t="inlineStr">
        <is>
          <t>Received</t>
        </is>
      </c>
      <c r="L1364" s="17">
        <f>INDEX(Items!$C$2:$C$117,MATCH(B1364,Items!$A$2:$A$117,0))</f>
        <v/>
      </c>
      <c r="M1364" s="49">
        <f>INDEX(Items!$E$2:$E$117,MATCH(B1364,Items!$A$2:$A$117,0))</f>
        <v/>
      </c>
      <c r="N1364" s="17">
        <f>TEXT(D1364,"yyyy-mm")</f>
        <v/>
      </c>
      <c r="O1364" s="50">
        <f>G1364*J1364</f>
        <v/>
      </c>
      <c r="P1364" s="50">
        <f>(J1364-M1364)*G1364</f>
        <v/>
      </c>
      <c r="Q1364" s="51">
        <f>IF(K1364="Received",1,0)</f>
        <v/>
      </c>
      <c r="R1364" s="51">
        <f>IF(Q1364=1,F1364-D1364,0)</f>
        <v/>
      </c>
      <c r="S1364" s="51">
        <f>IF(Q1364=1,IF(F1364&lt;=E1364,1,0),0)</f>
        <v/>
      </c>
      <c r="T1364" s="51">
        <f>IF(Q1364=1,IF(H1364&gt;=G1364,1,0),0)</f>
        <v/>
      </c>
      <c r="U1364" s="51">
        <f>S1364*T1364</f>
        <v/>
      </c>
      <c r="V1364" s="51">
        <f>IF(Q1364=1,MAX(0,F1364-E1364),0)</f>
        <v/>
      </c>
    </row>
    <row r="1365">
      <c r="A1365" s="43" t="inlineStr">
        <is>
          <t>PO100112</t>
        </is>
      </c>
      <c r="B1365" s="43" t="inlineStr">
        <is>
          <t>CMD-0005</t>
        </is>
      </c>
      <c r="C1365" s="43" t="inlineStr">
        <is>
          <t>S07</t>
        </is>
      </c>
      <c r="D1365" s="47" t="n">
        <v>46063</v>
      </c>
      <c r="E1365" s="47" t="n">
        <v>46154</v>
      </c>
      <c r="F1365" s="47" t="n">
        <v>46154</v>
      </c>
      <c r="G1365" s="46" t="n">
        <v>4407</v>
      </c>
      <c r="H1365" s="46" t="n">
        <v>4407</v>
      </c>
      <c r="I1365" s="46" t="n">
        <v>40</v>
      </c>
      <c r="J1365" s="44" t="n">
        <v>6.6434</v>
      </c>
      <c r="K1365" s="43" t="inlineStr">
        <is>
          <t>Received</t>
        </is>
      </c>
      <c r="L1365" s="17">
        <f>INDEX(Items!$C$2:$C$117,MATCH(B1365,Items!$A$2:$A$117,0))</f>
        <v/>
      </c>
      <c r="M1365" s="49">
        <f>INDEX(Items!$E$2:$E$117,MATCH(B1365,Items!$A$2:$A$117,0))</f>
        <v/>
      </c>
      <c r="N1365" s="17">
        <f>TEXT(D1365,"yyyy-mm")</f>
        <v/>
      </c>
      <c r="O1365" s="50">
        <f>G1365*J1365</f>
        <v/>
      </c>
      <c r="P1365" s="50">
        <f>(J1365-M1365)*G1365</f>
        <v/>
      </c>
      <c r="Q1365" s="51">
        <f>IF(K1365="Received",1,0)</f>
        <v/>
      </c>
      <c r="R1365" s="51">
        <f>IF(Q1365=1,F1365-D1365,0)</f>
        <v/>
      </c>
      <c r="S1365" s="51">
        <f>IF(Q1365=1,IF(F1365&lt;=E1365,1,0),0)</f>
        <v/>
      </c>
      <c r="T1365" s="51">
        <f>IF(Q1365=1,IF(H1365&gt;=G1365,1,0),0)</f>
        <v/>
      </c>
      <c r="U1365" s="51">
        <f>S1365*T1365</f>
        <v/>
      </c>
      <c r="V1365" s="51">
        <f>IF(Q1365=1,MAX(0,F1365-E1365),0)</f>
        <v/>
      </c>
    </row>
    <row r="1366">
      <c r="A1366" s="43" t="inlineStr">
        <is>
          <t>PO101153</t>
        </is>
      </c>
      <c r="B1366" s="43" t="inlineStr">
        <is>
          <t>CMD-0053</t>
        </is>
      </c>
      <c r="C1366" s="43" t="inlineStr">
        <is>
          <t>S04</t>
        </is>
      </c>
      <c r="D1366" s="47" t="n">
        <v>46063</v>
      </c>
      <c r="E1366" s="47" t="n">
        <v>46098</v>
      </c>
      <c r="F1366" s="47" t="n">
        <v>46095</v>
      </c>
      <c r="G1366" s="46" t="n">
        <v>63955</v>
      </c>
      <c r="H1366" s="46" t="n">
        <v>63955</v>
      </c>
      <c r="I1366" s="46" t="n">
        <v>646</v>
      </c>
      <c r="J1366" s="44" t="n">
        <v>0.0997</v>
      </c>
      <c r="K1366" s="43" t="inlineStr">
        <is>
          <t>Received</t>
        </is>
      </c>
      <c r="L1366" s="17">
        <f>INDEX(Items!$C$2:$C$117,MATCH(B1366,Items!$A$2:$A$117,0))</f>
        <v/>
      </c>
      <c r="M1366" s="49">
        <f>INDEX(Items!$E$2:$E$117,MATCH(B1366,Items!$A$2:$A$117,0))</f>
        <v/>
      </c>
      <c r="N1366" s="17">
        <f>TEXT(D1366,"yyyy-mm")</f>
        <v/>
      </c>
      <c r="O1366" s="50">
        <f>G1366*J1366</f>
        <v/>
      </c>
      <c r="P1366" s="50">
        <f>(J1366-M1366)*G1366</f>
        <v/>
      </c>
      <c r="Q1366" s="51">
        <f>IF(K1366="Received",1,0)</f>
        <v/>
      </c>
      <c r="R1366" s="51">
        <f>IF(Q1366=1,F1366-D1366,0)</f>
        <v/>
      </c>
      <c r="S1366" s="51">
        <f>IF(Q1366=1,IF(F1366&lt;=E1366,1,0),0)</f>
        <v/>
      </c>
      <c r="T1366" s="51">
        <f>IF(Q1366=1,IF(H1366&gt;=G1366,1,0),0)</f>
        <v/>
      </c>
      <c r="U1366" s="51">
        <f>S1366*T1366</f>
        <v/>
      </c>
      <c r="V1366" s="51">
        <f>IF(Q1366=1,MAX(0,F1366-E1366),0)</f>
        <v/>
      </c>
    </row>
    <row r="1367">
      <c r="A1367" s="43" t="inlineStr">
        <is>
          <t>PO101098</t>
        </is>
      </c>
      <c r="B1367" s="43" t="inlineStr">
        <is>
          <t>CMD-0050</t>
        </is>
      </c>
      <c r="C1367" s="43" t="inlineStr">
        <is>
          <t>S10</t>
        </is>
      </c>
      <c r="D1367" s="47" t="n">
        <v>46063</v>
      </c>
      <c r="E1367" s="47" t="n">
        <v>46091</v>
      </c>
      <c r="F1367" s="47" t="n">
        <v>46090</v>
      </c>
      <c r="G1367" s="46" t="n">
        <v>90189</v>
      </c>
      <c r="H1367" s="46" t="n">
        <v>90189</v>
      </c>
      <c r="I1367" s="46" t="n">
        <v>89</v>
      </c>
      <c r="J1367" s="44" t="n">
        <v>0.0772</v>
      </c>
      <c r="K1367" s="43" t="inlineStr">
        <is>
          <t>Received</t>
        </is>
      </c>
      <c r="L1367" s="17">
        <f>INDEX(Items!$C$2:$C$117,MATCH(B1367,Items!$A$2:$A$117,0))</f>
        <v/>
      </c>
      <c r="M1367" s="49">
        <f>INDEX(Items!$E$2:$E$117,MATCH(B1367,Items!$A$2:$A$117,0))</f>
        <v/>
      </c>
      <c r="N1367" s="17">
        <f>TEXT(D1367,"yyyy-mm")</f>
        <v/>
      </c>
      <c r="O1367" s="50">
        <f>G1367*J1367</f>
        <v/>
      </c>
      <c r="P1367" s="50">
        <f>(J1367-M1367)*G1367</f>
        <v/>
      </c>
      <c r="Q1367" s="51">
        <f>IF(K1367="Received",1,0)</f>
        <v/>
      </c>
      <c r="R1367" s="51">
        <f>IF(Q1367=1,F1367-D1367,0)</f>
        <v/>
      </c>
      <c r="S1367" s="51">
        <f>IF(Q1367=1,IF(F1367&lt;=E1367,1,0),0)</f>
        <v/>
      </c>
      <c r="T1367" s="51">
        <f>IF(Q1367=1,IF(H1367&gt;=G1367,1,0),0)</f>
        <v/>
      </c>
      <c r="U1367" s="51">
        <f>S1367*T1367</f>
        <v/>
      </c>
      <c r="V1367" s="51">
        <f>IF(Q1367=1,MAX(0,F1367-E1367),0)</f>
        <v/>
      </c>
    </row>
    <row r="1368">
      <c r="A1368" s="43" t="inlineStr">
        <is>
          <t>PO100064</t>
        </is>
      </c>
      <c r="B1368" s="43" t="inlineStr">
        <is>
          <t>CMD-0003</t>
        </is>
      </c>
      <c r="C1368" s="43" t="inlineStr">
        <is>
          <t>S11</t>
        </is>
      </c>
      <c r="D1368" s="47" t="n">
        <v>46063</v>
      </c>
      <c r="E1368" s="47" t="n">
        <v>46182</v>
      </c>
      <c r="F1368" s="47" t="n">
        <v>46182</v>
      </c>
      <c r="G1368" s="46" t="n">
        <v>8485</v>
      </c>
      <c r="H1368" s="46" t="n">
        <v>8485</v>
      </c>
      <c r="I1368" s="46" t="n">
        <v>14</v>
      </c>
      <c r="J1368" s="44" t="n">
        <v>25.3582</v>
      </c>
      <c r="K1368" s="43" t="inlineStr">
        <is>
          <t>Received</t>
        </is>
      </c>
      <c r="L1368" s="17">
        <f>INDEX(Items!$C$2:$C$117,MATCH(B1368,Items!$A$2:$A$117,0))</f>
        <v/>
      </c>
      <c r="M1368" s="49">
        <f>INDEX(Items!$E$2:$E$117,MATCH(B1368,Items!$A$2:$A$117,0))</f>
        <v/>
      </c>
      <c r="N1368" s="17">
        <f>TEXT(D1368,"yyyy-mm")</f>
        <v/>
      </c>
      <c r="O1368" s="50">
        <f>G1368*J1368</f>
        <v/>
      </c>
      <c r="P1368" s="50">
        <f>(J1368-M1368)*G1368</f>
        <v/>
      </c>
      <c r="Q1368" s="51">
        <f>IF(K1368="Received",1,0)</f>
        <v/>
      </c>
      <c r="R1368" s="51">
        <f>IF(Q1368=1,F1368-D1368,0)</f>
        <v/>
      </c>
      <c r="S1368" s="51">
        <f>IF(Q1368=1,IF(F1368&lt;=E1368,1,0),0)</f>
        <v/>
      </c>
      <c r="T1368" s="51">
        <f>IF(Q1368=1,IF(H1368&gt;=G1368,1,0),0)</f>
        <v/>
      </c>
      <c r="U1368" s="51">
        <f>S1368*T1368</f>
        <v/>
      </c>
      <c r="V1368" s="51">
        <f>IF(Q1368=1,MAX(0,F1368-E1368),0)</f>
        <v/>
      </c>
    </row>
    <row r="1369">
      <c r="A1369" s="43" t="inlineStr">
        <is>
          <t>PO100284</t>
        </is>
      </c>
      <c r="B1369" s="43" t="inlineStr">
        <is>
          <t>CMD-0013</t>
        </is>
      </c>
      <c r="C1369" s="43" t="inlineStr">
        <is>
          <t>S11</t>
        </is>
      </c>
      <c r="D1369" s="47" t="n">
        <v>46063</v>
      </c>
      <c r="E1369" s="47" t="n">
        <v>46182</v>
      </c>
      <c r="F1369" s="47" t="n">
        <v>46180</v>
      </c>
      <c r="G1369" s="46" t="n">
        <v>946</v>
      </c>
      <c r="H1369" s="46" t="n">
        <v>946</v>
      </c>
      <c r="I1369" s="46" t="n">
        <v>2</v>
      </c>
      <c r="J1369" s="44" t="n">
        <v>7.965</v>
      </c>
      <c r="K1369" s="43" t="inlineStr">
        <is>
          <t>Received</t>
        </is>
      </c>
      <c r="L1369" s="17">
        <f>INDEX(Items!$C$2:$C$117,MATCH(B1369,Items!$A$2:$A$117,0))</f>
        <v/>
      </c>
      <c r="M1369" s="49">
        <f>INDEX(Items!$E$2:$E$117,MATCH(B1369,Items!$A$2:$A$117,0))</f>
        <v/>
      </c>
      <c r="N1369" s="17">
        <f>TEXT(D1369,"yyyy-mm")</f>
        <v/>
      </c>
      <c r="O1369" s="50">
        <f>G1369*J1369</f>
        <v/>
      </c>
      <c r="P1369" s="50">
        <f>(J1369-M1369)*G1369</f>
        <v/>
      </c>
      <c r="Q1369" s="51">
        <f>IF(K1369="Received",1,0)</f>
        <v/>
      </c>
      <c r="R1369" s="51">
        <f>IF(Q1369=1,F1369-D1369,0)</f>
        <v/>
      </c>
      <c r="S1369" s="51">
        <f>IF(Q1369=1,IF(F1369&lt;=E1369,1,0),0)</f>
        <v/>
      </c>
      <c r="T1369" s="51">
        <f>IF(Q1369=1,IF(H1369&gt;=G1369,1,0),0)</f>
        <v/>
      </c>
      <c r="U1369" s="51">
        <f>S1369*T1369</f>
        <v/>
      </c>
      <c r="V1369" s="51">
        <f>IF(Q1369=1,MAX(0,F1369-E1369),0)</f>
        <v/>
      </c>
    </row>
    <row r="1370">
      <c r="A1370" s="43" t="inlineStr">
        <is>
          <t>PO101548</t>
        </is>
      </c>
      <c r="B1370" s="43" t="inlineStr">
        <is>
          <t>CMD-0082</t>
        </is>
      </c>
      <c r="C1370" s="43" t="inlineStr">
        <is>
          <t>S01</t>
        </is>
      </c>
      <c r="D1370" s="47" t="n">
        <v>46063</v>
      </c>
      <c r="E1370" s="47" t="n">
        <v>46077</v>
      </c>
      <c r="F1370" s="47" t="n">
        <v>46075</v>
      </c>
      <c r="G1370" s="46" t="n">
        <v>6594</v>
      </c>
      <c r="H1370" s="46" t="n">
        <v>6594</v>
      </c>
      <c r="I1370" s="46" t="n">
        <v>13</v>
      </c>
      <c r="J1370" s="44" t="n">
        <v>2.3896</v>
      </c>
      <c r="K1370" s="43" t="inlineStr">
        <is>
          <t>Received</t>
        </is>
      </c>
      <c r="L1370" s="17">
        <f>INDEX(Items!$C$2:$C$117,MATCH(B1370,Items!$A$2:$A$117,0))</f>
        <v/>
      </c>
      <c r="M1370" s="49">
        <f>INDEX(Items!$E$2:$E$117,MATCH(B1370,Items!$A$2:$A$117,0))</f>
        <v/>
      </c>
      <c r="N1370" s="17">
        <f>TEXT(D1370,"yyyy-mm")</f>
        <v/>
      </c>
      <c r="O1370" s="50">
        <f>G1370*J1370</f>
        <v/>
      </c>
      <c r="P1370" s="50">
        <f>(J1370-M1370)*G1370</f>
        <v/>
      </c>
      <c r="Q1370" s="51">
        <f>IF(K1370="Received",1,0)</f>
        <v/>
      </c>
      <c r="R1370" s="51">
        <f>IF(Q1370=1,F1370-D1370,0)</f>
        <v/>
      </c>
      <c r="S1370" s="51">
        <f>IF(Q1370=1,IF(F1370&lt;=E1370,1,0),0)</f>
        <v/>
      </c>
      <c r="T1370" s="51">
        <f>IF(Q1370=1,IF(H1370&gt;=G1370,1,0),0)</f>
        <v/>
      </c>
      <c r="U1370" s="51">
        <f>S1370*T1370</f>
        <v/>
      </c>
      <c r="V1370" s="51">
        <f>IF(Q1370=1,MAX(0,F1370-E1370),0)</f>
        <v/>
      </c>
    </row>
    <row r="1371">
      <c r="A1371" s="43" t="inlineStr">
        <is>
          <t>PO101448</t>
        </is>
      </c>
      <c r="B1371" s="43" t="inlineStr">
        <is>
          <t>CMD-0077</t>
        </is>
      </c>
      <c r="C1371" s="43" t="inlineStr">
        <is>
          <t>S01</t>
        </is>
      </c>
      <c r="D1371" s="47" t="n">
        <v>46064</v>
      </c>
      <c r="E1371" s="47" t="n">
        <v>46078</v>
      </c>
      <c r="F1371" s="47" t="n">
        <v>46076</v>
      </c>
      <c r="G1371" s="46" t="n">
        <v>4751</v>
      </c>
      <c r="H1371" s="46" t="n">
        <v>4751</v>
      </c>
      <c r="I1371" s="46" t="n">
        <v>11</v>
      </c>
      <c r="J1371" s="44" t="n">
        <v>9.012499999999999</v>
      </c>
      <c r="K1371" s="43" t="inlineStr">
        <is>
          <t>Received</t>
        </is>
      </c>
      <c r="L1371" s="17">
        <f>INDEX(Items!$C$2:$C$117,MATCH(B1371,Items!$A$2:$A$117,0))</f>
        <v/>
      </c>
      <c r="M1371" s="49">
        <f>INDEX(Items!$E$2:$E$117,MATCH(B1371,Items!$A$2:$A$117,0))</f>
        <v/>
      </c>
      <c r="N1371" s="17">
        <f>TEXT(D1371,"yyyy-mm")</f>
        <v/>
      </c>
      <c r="O1371" s="50">
        <f>G1371*J1371</f>
        <v/>
      </c>
      <c r="P1371" s="50">
        <f>(J1371-M1371)*G1371</f>
        <v/>
      </c>
      <c r="Q1371" s="51">
        <f>IF(K1371="Received",1,0)</f>
        <v/>
      </c>
      <c r="R1371" s="51">
        <f>IF(Q1371=1,F1371-D1371,0)</f>
        <v/>
      </c>
      <c r="S1371" s="51">
        <f>IF(Q1371=1,IF(F1371&lt;=E1371,1,0),0)</f>
        <v/>
      </c>
      <c r="T1371" s="51">
        <f>IF(Q1371=1,IF(H1371&gt;=G1371,1,0),0)</f>
        <v/>
      </c>
      <c r="U1371" s="51">
        <f>S1371*T1371</f>
        <v/>
      </c>
      <c r="V1371" s="51">
        <f>IF(Q1371=1,MAX(0,F1371-E1371),0)</f>
        <v/>
      </c>
    </row>
    <row r="1372">
      <c r="A1372" s="43" t="inlineStr">
        <is>
          <t>PO100950</t>
        </is>
      </c>
      <c r="B1372" s="43" t="inlineStr">
        <is>
          <t>CMD-0043</t>
        </is>
      </c>
      <c r="C1372" s="43" t="inlineStr">
        <is>
          <t>S05</t>
        </is>
      </c>
      <c r="D1372" s="47" t="n">
        <v>46064</v>
      </c>
      <c r="E1372" s="47" t="n">
        <v>46169</v>
      </c>
      <c r="F1372" s="47" t="n">
        <v>46191</v>
      </c>
      <c r="G1372" s="46" t="n">
        <v>6658</v>
      </c>
      <c r="H1372" s="46" t="n">
        <v>6658</v>
      </c>
      <c r="I1372" s="46" t="n">
        <v>131</v>
      </c>
      <c r="J1372" s="44" t="n">
        <v>3.8007</v>
      </c>
      <c r="K1372" s="43" t="inlineStr">
        <is>
          <t>Received</t>
        </is>
      </c>
      <c r="L1372" s="17">
        <f>INDEX(Items!$C$2:$C$117,MATCH(B1372,Items!$A$2:$A$117,0))</f>
        <v/>
      </c>
      <c r="M1372" s="49">
        <f>INDEX(Items!$E$2:$E$117,MATCH(B1372,Items!$A$2:$A$117,0))</f>
        <v/>
      </c>
      <c r="N1372" s="17">
        <f>TEXT(D1372,"yyyy-mm")</f>
        <v/>
      </c>
      <c r="O1372" s="50">
        <f>G1372*J1372</f>
        <v/>
      </c>
      <c r="P1372" s="50">
        <f>(J1372-M1372)*G1372</f>
        <v/>
      </c>
      <c r="Q1372" s="51">
        <f>IF(K1372="Received",1,0)</f>
        <v/>
      </c>
      <c r="R1372" s="51">
        <f>IF(Q1372=1,F1372-D1372,0)</f>
        <v/>
      </c>
      <c r="S1372" s="51">
        <f>IF(Q1372=1,IF(F1372&lt;=E1372,1,0),0)</f>
        <v/>
      </c>
      <c r="T1372" s="51">
        <f>IF(Q1372=1,IF(H1372&gt;=G1372,1,0),0)</f>
        <v/>
      </c>
      <c r="U1372" s="51">
        <f>S1372*T1372</f>
        <v/>
      </c>
      <c r="V1372" s="51">
        <f>IF(Q1372=1,MAX(0,F1372-E1372),0)</f>
        <v/>
      </c>
    </row>
    <row r="1373">
      <c r="A1373" s="43" t="inlineStr">
        <is>
          <t>PO101174</t>
        </is>
      </c>
      <c r="B1373" s="43" t="inlineStr">
        <is>
          <t>CMD-0054</t>
        </is>
      </c>
      <c r="C1373" s="43" t="inlineStr">
        <is>
          <t>S10</t>
        </is>
      </c>
      <c r="D1373" s="47" t="n">
        <v>46064</v>
      </c>
      <c r="E1373" s="47" t="n">
        <v>46092</v>
      </c>
      <c r="F1373" s="47" t="n">
        <v>46090</v>
      </c>
      <c r="G1373" s="46" t="n">
        <v>40256</v>
      </c>
      <c r="H1373" s="46" t="n">
        <v>40256</v>
      </c>
      <c r="I1373" s="46" t="n">
        <v>40</v>
      </c>
      <c r="J1373" s="44" t="n">
        <v>0.1738</v>
      </c>
      <c r="K1373" s="43" t="inlineStr">
        <is>
          <t>Received</t>
        </is>
      </c>
      <c r="L1373" s="17">
        <f>INDEX(Items!$C$2:$C$117,MATCH(B1373,Items!$A$2:$A$117,0))</f>
        <v/>
      </c>
      <c r="M1373" s="49">
        <f>INDEX(Items!$E$2:$E$117,MATCH(B1373,Items!$A$2:$A$117,0))</f>
        <v/>
      </c>
      <c r="N1373" s="17">
        <f>TEXT(D1373,"yyyy-mm")</f>
        <v/>
      </c>
      <c r="O1373" s="50">
        <f>G1373*J1373</f>
        <v/>
      </c>
      <c r="P1373" s="50">
        <f>(J1373-M1373)*G1373</f>
        <v/>
      </c>
      <c r="Q1373" s="51">
        <f>IF(K1373="Received",1,0)</f>
        <v/>
      </c>
      <c r="R1373" s="51">
        <f>IF(Q1373=1,F1373-D1373,0)</f>
        <v/>
      </c>
      <c r="S1373" s="51">
        <f>IF(Q1373=1,IF(F1373&lt;=E1373,1,0),0)</f>
        <v/>
      </c>
      <c r="T1373" s="51">
        <f>IF(Q1373=1,IF(H1373&gt;=G1373,1,0),0)</f>
        <v/>
      </c>
      <c r="U1373" s="51">
        <f>S1373*T1373</f>
        <v/>
      </c>
      <c r="V1373" s="51">
        <f>IF(Q1373=1,MAX(0,F1373-E1373),0)</f>
        <v/>
      </c>
    </row>
    <row r="1374">
      <c r="A1374" s="43" t="inlineStr">
        <is>
          <t>PO100810</t>
        </is>
      </c>
      <c r="B1374" s="43" t="inlineStr">
        <is>
          <t>CMD-0036</t>
        </is>
      </c>
      <c r="C1374" s="43" t="inlineStr">
        <is>
          <t>S04</t>
        </is>
      </c>
      <c r="D1374" s="47" t="n">
        <v>46064</v>
      </c>
      <c r="E1374" s="47" t="n">
        <v>46106</v>
      </c>
      <c r="F1374" s="47" t="n">
        <v>46104</v>
      </c>
      <c r="G1374" s="46" t="n">
        <v>547</v>
      </c>
      <c r="H1374" s="46" t="n">
        <v>547</v>
      </c>
      <c r="I1374" s="46" t="n">
        <v>4</v>
      </c>
      <c r="J1374" s="44" t="n">
        <v>12.7308</v>
      </c>
      <c r="K1374" s="43" t="inlineStr">
        <is>
          <t>Received</t>
        </is>
      </c>
      <c r="L1374" s="17">
        <f>INDEX(Items!$C$2:$C$117,MATCH(B1374,Items!$A$2:$A$117,0))</f>
        <v/>
      </c>
      <c r="M1374" s="49">
        <f>INDEX(Items!$E$2:$E$117,MATCH(B1374,Items!$A$2:$A$117,0))</f>
        <v/>
      </c>
      <c r="N1374" s="17">
        <f>TEXT(D1374,"yyyy-mm")</f>
        <v/>
      </c>
      <c r="O1374" s="50">
        <f>G1374*J1374</f>
        <v/>
      </c>
      <c r="P1374" s="50">
        <f>(J1374-M1374)*G1374</f>
        <v/>
      </c>
      <c r="Q1374" s="51">
        <f>IF(K1374="Received",1,0)</f>
        <v/>
      </c>
      <c r="R1374" s="51">
        <f>IF(Q1374=1,F1374-D1374,0)</f>
        <v/>
      </c>
      <c r="S1374" s="51">
        <f>IF(Q1374=1,IF(F1374&lt;=E1374,1,0),0)</f>
        <v/>
      </c>
      <c r="T1374" s="51">
        <f>IF(Q1374=1,IF(H1374&gt;=G1374,1,0),0)</f>
        <v/>
      </c>
      <c r="U1374" s="51">
        <f>S1374*T1374</f>
        <v/>
      </c>
      <c r="V1374" s="51">
        <f>IF(Q1374=1,MAX(0,F1374-E1374),0)</f>
        <v/>
      </c>
    </row>
    <row r="1375">
      <c r="A1375" s="43" t="inlineStr">
        <is>
          <t>PO100762</t>
        </is>
      </c>
      <c r="B1375" s="43" t="inlineStr">
        <is>
          <t>CMD-0034</t>
        </is>
      </c>
      <c r="C1375" s="43" t="inlineStr">
        <is>
          <t>S04</t>
        </is>
      </c>
      <c r="D1375" s="47" t="n">
        <v>46064</v>
      </c>
      <c r="E1375" s="47" t="n">
        <v>46106</v>
      </c>
      <c r="F1375" s="47" t="n">
        <v>46104</v>
      </c>
      <c r="G1375" s="46" t="n">
        <v>712</v>
      </c>
      <c r="H1375" s="46" t="n">
        <v>669</v>
      </c>
      <c r="I1375" s="46" t="n">
        <v>6</v>
      </c>
      <c r="J1375" s="44" t="n">
        <v>10.8665</v>
      </c>
      <c r="K1375" s="43" t="inlineStr">
        <is>
          <t>Received</t>
        </is>
      </c>
      <c r="L1375" s="17">
        <f>INDEX(Items!$C$2:$C$117,MATCH(B1375,Items!$A$2:$A$117,0))</f>
        <v/>
      </c>
      <c r="M1375" s="49">
        <f>INDEX(Items!$E$2:$E$117,MATCH(B1375,Items!$A$2:$A$117,0))</f>
        <v/>
      </c>
      <c r="N1375" s="17">
        <f>TEXT(D1375,"yyyy-mm")</f>
        <v/>
      </c>
      <c r="O1375" s="50">
        <f>G1375*J1375</f>
        <v/>
      </c>
      <c r="P1375" s="50">
        <f>(J1375-M1375)*G1375</f>
        <v/>
      </c>
      <c r="Q1375" s="51">
        <f>IF(K1375="Received",1,0)</f>
        <v/>
      </c>
      <c r="R1375" s="51">
        <f>IF(Q1375=1,F1375-D1375,0)</f>
        <v/>
      </c>
      <c r="S1375" s="51">
        <f>IF(Q1375=1,IF(F1375&lt;=E1375,1,0),0)</f>
        <v/>
      </c>
      <c r="T1375" s="51">
        <f>IF(Q1375=1,IF(H1375&gt;=G1375,1,0),0)</f>
        <v/>
      </c>
      <c r="U1375" s="51">
        <f>S1375*T1375</f>
        <v/>
      </c>
      <c r="V1375" s="51">
        <f>IF(Q1375=1,MAX(0,F1375-E1375),0)</f>
        <v/>
      </c>
    </row>
    <row r="1376">
      <c r="A1376" s="43" t="inlineStr">
        <is>
          <t>PO100356</t>
        </is>
      </c>
      <c r="B1376" s="43" t="inlineStr">
        <is>
          <t>CMD-0016</t>
        </is>
      </c>
      <c r="C1376" s="43" t="inlineStr">
        <is>
          <t>S07</t>
        </is>
      </c>
      <c r="D1376" s="47" t="n">
        <v>46065</v>
      </c>
      <c r="E1376" s="47" t="n">
        <v>46156</v>
      </c>
      <c r="F1376" s="47" t="n">
        <v>46154</v>
      </c>
      <c r="G1376" s="46" t="n">
        <v>8086</v>
      </c>
      <c r="H1376" s="46" t="n">
        <v>8086</v>
      </c>
      <c r="I1376" s="46" t="n">
        <v>73</v>
      </c>
      <c r="J1376" s="44" t="n">
        <v>31.8836</v>
      </c>
      <c r="K1376" s="43" t="inlineStr">
        <is>
          <t>Received</t>
        </is>
      </c>
      <c r="L1376" s="17">
        <f>INDEX(Items!$C$2:$C$117,MATCH(B1376,Items!$A$2:$A$117,0))</f>
        <v/>
      </c>
      <c r="M1376" s="49">
        <f>INDEX(Items!$E$2:$E$117,MATCH(B1376,Items!$A$2:$A$117,0))</f>
        <v/>
      </c>
      <c r="N1376" s="17">
        <f>TEXT(D1376,"yyyy-mm")</f>
        <v/>
      </c>
      <c r="O1376" s="50">
        <f>G1376*J1376</f>
        <v/>
      </c>
      <c r="P1376" s="50">
        <f>(J1376-M1376)*G1376</f>
        <v/>
      </c>
      <c r="Q1376" s="51">
        <f>IF(K1376="Received",1,0)</f>
        <v/>
      </c>
      <c r="R1376" s="51">
        <f>IF(Q1376=1,F1376-D1376,0)</f>
        <v/>
      </c>
      <c r="S1376" s="51">
        <f>IF(Q1376=1,IF(F1376&lt;=E1376,1,0),0)</f>
        <v/>
      </c>
      <c r="T1376" s="51">
        <f>IF(Q1376=1,IF(H1376&gt;=G1376,1,0),0)</f>
        <v/>
      </c>
      <c r="U1376" s="51">
        <f>S1376*T1376</f>
        <v/>
      </c>
      <c r="V1376" s="51">
        <f>IF(Q1376=1,MAX(0,F1376-E1376),0)</f>
        <v/>
      </c>
    </row>
    <row r="1377">
      <c r="A1377" s="43" t="inlineStr">
        <is>
          <t>PO100040</t>
        </is>
      </c>
      <c r="B1377" s="43" t="inlineStr">
        <is>
          <t>CMD-0002</t>
        </is>
      </c>
      <c r="C1377" s="43" t="inlineStr">
        <is>
          <t>S11</t>
        </is>
      </c>
      <c r="D1377" s="47" t="n">
        <v>46065</v>
      </c>
      <c r="E1377" s="47" t="n">
        <v>46184</v>
      </c>
      <c r="F1377" s="47" t="n">
        <v>46202</v>
      </c>
      <c r="G1377" s="46" t="n">
        <v>8262</v>
      </c>
      <c r="H1377" s="46" t="n">
        <v>8262</v>
      </c>
      <c r="I1377" s="46" t="n">
        <v>14</v>
      </c>
      <c r="J1377" s="44" t="n">
        <v>8.083</v>
      </c>
      <c r="K1377" s="43" t="inlineStr">
        <is>
          <t>Received</t>
        </is>
      </c>
      <c r="L1377" s="17">
        <f>INDEX(Items!$C$2:$C$117,MATCH(B1377,Items!$A$2:$A$117,0))</f>
        <v/>
      </c>
      <c r="M1377" s="49">
        <f>INDEX(Items!$E$2:$E$117,MATCH(B1377,Items!$A$2:$A$117,0))</f>
        <v/>
      </c>
      <c r="N1377" s="17">
        <f>TEXT(D1377,"yyyy-mm")</f>
        <v/>
      </c>
      <c r="O1377" s="50">
        <f>G1377*J1377</f>
        <v/>
      </c>
      <c r="P1377" s="50">
        <f>(J1377-M1377)*G1377</f>
        <v/>
      </c>
      <c r="Q1377" s="51">
        <f>IF(K1377="Received",1,0)</f>
        <v/>
      </c>
      <c r="R1377" s="51">
        <f>IF(Q1377=1,F1377-D1377,0)</f>
        <v/>
      </c>
      <c r="S1377" s="51">
        <f>IF(Q1377=1,IF(F1377&lt;=E1377,1,0),0)</f>
        <v/>
      </c>
      <c r="T1377" s="51">
        <f>IF(Q1377=1,IF(H1377&gt;=G1377,1,0),0)</f>
        <v/>
      </c>
      <c r="U1377" s="51">
        <f>S1377*T1377</f>
        <v/>
      </c>
      <c r="V1377" s="51">
        <f>IF(Q1377=1,MAX(0,F1377-E1377),0)</f>
        <v/>
      </c>
    </row>
    <row r="1378">
      <c r="A1378" s="43" t="inlineStr">
        <is>
          <t>PO101884</t>
        </is>
      </c>
      <c r="B1378" s="43" t="inlineStr">
        <is>
          <t>CMD-0102</t>
        </is>
      </c>
      <c r="C1378" s="43" t="inlineStr">
        <is>
          <t>S09</t>
        </is>
      </c>
      <c r="D1378" s="47" t="n">
        <v>46065</v>
      </c>
      <c r="E1378" s="47" t="n">
        <v>46086</v>
      </c>
      <c r="F1378" s="47" t="n">
        <v>46083</v>
      </c>
      <c r="G1378" s="46" t="n">
        <v>2072</v>
      </c>
      <c r="H1378" s="46" t="n">
        <v>2072</v>
      </c>
      <c r="I1378" s="46" t="n">
        <v>4</v>
      </c>
      <c r="J1378" s="44" t="n">
        <v>6.9113</v>
      </c>
      <c r="K1378" s="43" t="inlineStr">
        <is>
          <t>Received</t>
        </is>
      </c>
      <c r="L1378" s="17">
        <f>INDEX(Items!$C$2:$C$117,MATCH(B1378,Items!$A$2:$A$117,0))</f>
        <v/>
      </c>
      <c r="M1378" s="49">
        <f>INDEX(Items!$E$2:$E$117,MATCH(B1378,Items!$A$2:$A$117,0))</f>
        <v/>
      </c>
      <c r="N1378" s="17">
        <f>TEXT(D1378,"yyyy-mm")</f>
        <v/>
      </c>
      <c r="O1378" s="50">
        <f>G1378*J1378</f>
        <v/>
      </c>
      <c r="P1378" s="50">
        <f>(J1378-M1378)*G1378</f>
        <v/>
      </c>
      <c r="Q1378" s="51">
        <f>IF(K1378="Received",1,0)</f>
        <v/>
      </c>
      <c r="R1378" s="51">
        <f>IF(Q1378=1,F1378-D1378,0)</f>
        <v/>
      </c>
      <c r="S1378" s="51">
        <f>IF(Q1378=1,IF(F1378&lt;=E1378,1,0),0)</f>
        <v/>
      </c>
      <c r="T1378" s="51">
        <f>IF(Q1378=1,IF(H1378&gt;=G1378,1,0),0)</f>
        <v/>
      </c>
      <c r="U1378" s="51">
        <f>S1378*T1378</f>
        <v/>
      </c>
      <c r="V1378" s="51">
        <f>IF(Q1378=1,MAX(0,F1378-E1378),0)</f>
        <v/>
      </c>
    </row>
    <row r="1379">
      <c r="A1379" s="43" t="inlineStr">
        <is>
          <t>PO100256</t>
        </is>
      </c>
      <c r="B1379" s="43" t="inlineStr">
        <is>
          <t>CMD-0011</t>
        </is>
      </c>
      <c r="C1379" s="43" t="inlineStr">
        <is>
          <t>S07</t>
        </is>
      </c>
      <c r="D1379" s="47" t="n">
        <v>46065</v>
      </c>
      <c r="E1379" s="47" t="n">
        <v>46156</v>
      </c>
      <c r="F1379" s="47" t="n">
        <v>46153</v>
      </c>
      <c r="G1379" s="46" t="n">
        <v>3064</v>
      </c>
      <c r="H1379" s="46" t="n">
        <v>3064</v>
      </c>
      <c r="I1379" s="46" t="n">
        <v>23</v>
      </c>
      <c r="J1379" s="44" t="n">
        <v>9.5344</v>
      </c>
      <c r="K1379" s="43" t="inlineStr">
        <is>
          <t>Received</t>
        </is>
      </c>
      <c r="L1379" s="17">
        <f>INDEX(Items!$C$2:$C$117,MATCH(B1379,Items!$A$2:$A$117,0))</f>
        <v/>
      </c>
      <c r="M1379" s="49">
        <f>INDEX(Items!$E$2:$E$117,MATCH(B1379,Items!$A$2:$A$117,0))</f>
        <v/>
      </c>
      <c r="N1379" s="17">
        <f>TEXT(D1379,"yyyy-mm")</f>
        <v/>
      </c>
      <c r="O1379" s="50">
        <f>G1379*J1379</f>
        <v/>
      </c>
      <c r="P1379" s="50">
        <f>(J1379-M1379)*G1379</f>
        <v/>
      </c>
      <c r="Q1379" s="51">
        <f>IF(K1379="Received",1,0)</f>
        <v/>
      </c>
      <c r="R1379" s="51">
        <f>IF(Q1379=1,F1379-D1379,0)</f>
        <v/>
      </c>
      <c r="S1379" s="51">
        <f>IF(Q1379=1,IF(F1379&lt;=E1379,1,0),0)</f>
        <v/>
      </c>
      <c r="T1379" s="51">
        <f>IF(Q1379=1,IF(H1379&gt;=G1379,1,0),0)</f>
        <v/>
      </c>
      <c r="U1379" s="51">
        <f>S1379*T1379</f>
        <v/>
      </c>
      <c r="V1379" s="51">
        <f>IF(Q1379=1,MAX(0,F1379-E1379),0)</f>
        <v/>
      </c>
    </row>
    <row r="1380">
      <c r="A1380" s="43" t="inlineStr">
        <is>
          <t>PO100882</t>
        </is>
      </c>
      <c r="B1380" s="43" t="inlineStr">
        <is>
          <t>CMD-0039</t>
        </is>
      </c>
      <c r="C1380" s="43" t="inlineStr">
        <is>
          <t>S07</t>
        </is>
      </c>
      <c r="D1380" s="47" t="n">
        <v>46065</v>
      </c>
      <c r="E1380" s="47" t="n">
        <v>46107</v>
      </c>
      <c r="F1380" s="47" t="n">
        <v>46104</v>
      </c>
      <c r="G1380" s="46" t="n">
        <v>251</v>
      </c>
      <c r="H1380" s="46" t="n">
        <v>251</v>
      </c>
      <c r="I1380" s="46" t="n">
        <v>2</v>
      </c>
      <c r="J1380" s="44" t="n">
        <v>53.5497</v>
      </c>
      <c r="K1380" s="43" t="inlineStr">
        <is>
          <t>Received</t>
        </is>
      </c>
      <c r="L1380" s="17">
        <f>INDEX(Items!$C$2:$C$117,MATCH(B1380,Items!$A$2:$A$117,0))</f>
        <v/>
      </c>
      <c r="M1380" s="49">
        <f>INDEX(Items!$E$2:$E$117,MATCH(B1380,Items!$A$2:$A$117,0))</f>
        <v/>
      </c>
      <c r="N1380" s="17">
        <f>TEXT(D1380,"yyyy-mm")</f>
        <v/>
      </c>
      <c r="O1380" s="50">
        <f>G1380*J1380</f>
        <v/>
      </c>
      <c r="P1380" s="50">
        <f>(J1380-M1380)*G1380</f>
        <v/>
      </c>
      <c r="Q1380" s="51">
        <f>IF(K1380="Received",1,0)</f>
        <v/>
      </c>
      <c r="R1380" s="51">
        <f>IF(Q1380=1,F1380-D1380,0)</f>
        <v/>
      </c>
      <c r="S1380" s="51">
        <f>IF(Q1380=1,IF(F1380&lt;=E1380,1,0),0)</f>
        <v/>
      </c>
      <c r="T1380" s="51">
        <f>IF(Q1380=1,IF(H1380&gt;=G1380,1,0),0)</f>
        <v/>
      </c>
      <c r="U1380" s="51">
        <f>S1380*T1380</f>
        <v/>
      </c>
      <c r="V1380" s="51">
        <f>IF(Q1380=1,MAX(0,F1380-E1380),0)</f>
        <v/>
      </c>
    </row>
    <row r="1381">
      <c r="A1381" s="43" t="inlineStr">
        <is>
          <t>PO101022</t>
        </is>
      </c>
      <c r="B1381" s="43" t="inlineStr">
        <is>
          <t>CMD-0046</t>
        </is>
      </c>
      <c r="C1381" s="43" t="inlineStr">
        <is>
          <t>S05</t>
        </is>
      </c>
      <c r="D1381" s="47" t="n">
        <v>46065</v>
      </c>
      <c r="E1381" s="47" t="n">
        <v>46170</v>
      </c>
      <c r="F1381" s="47" t="n">
        <v>46219</v>
      </c>
      <c r="G1381" s="46" t="n">
        <v>8938</v>
      </c>
      <c r="H1381" s="46" t="n">
        <v>8938</v>
      </c>
      <c r="I1381" s="46" t="n">
        <v>168</v>
      </c>
      <c r="J1381" s="44" t="n">
        <v>10.8871</v>
      </c>
      <c r="K1381" s="43" t="inlineStr">
        <is>
          <t>Received</t>
        </is>
      </c>
      <c r="L1381" s="17">
        <f>INDEX(Items!$C$2:$C$117,MATCH(B1381,Items!$A$2:$A$117,0))</f>
        <v/>
      </c>
      <c r="M1381" s="49">
        <f>INDEX(Items!$E$2:$E$117,MATCH(B1381,Items!$A$2:$A$117,0))</f>
        <v/>
      </c>
      <c r="N1381" s="17">
        <f>TEXT(D1381,"yyyy-mm")</f>
        <v/>
      </c>
      <c r="O1381" s="50">
        <f>G1381*J1381</f>
        <v/>
      </c>
      <c r="P1381" s="50">
        <f>(J1381-M1381)*G1381</f>
        <v/>
      </c>
      <c r="Q1381" s="51">
        <f>IF(K1381="Received",1,0)</f>
        <v/>
      </c>
      <c r="R1381" s="51">
        <f>IF(Q1381=1,F1381-D1381,0)</f>
        <v/>
      </c>
      <c r="S1381" s="51">
        <f>IF(Q1381=1,IF(F1381&lt;=E1381,1,0),0)</f>
        <v/>
      </c>
      <c r="T1381" s="51">
        <f>IF(Q1381=1,IF(H1381&gt;=G1381,1,0),0)</f>
        <v/>
      </c>
      <c r="U1381" s="51">
        <f>S1381*T1381</f>
        <v/>
      </c>
      <c r="V1381" s="51">
        <f>IF(Q1381=1,MAX(0,F1381-E1381),0)</f>
        <v/>
      </c>
    </row>
    <row r="1382">
      <c r="A1382" s="43" t="inlineStr">
        <is>
          <t>PO101658</t>
        </is>
      </c>
      <c r="B1382" s="43" t="inlineStr">
        <is>
          <t>CMD-0091</t>
        </is>
      </c>
      <c r="C1382" s="43" t="inlineStr">
        <is>
          <t>S08</t>
        </is>
      </c>
      <c r="D1382" s="47" t="n">
        <v>46065</v>
      </c>
      <c r="E1382" s="47" t="n">
        <v>46142</v>
      </c>
      <c r="F1382" s="47" t="n">
        <v>46142</v>
      </c>
      <c r="G1382" s="46" t="n">
        <v>890</v>
      </c>
      <c r="H1382" s="46" t="n">
        <v>890</v>
      </c>
      <c r="I1382" s="46" t="n">
        <v>16</v>
      </c>
      <c r="J1382" s="44" t="n">
        <v>24.514</v>
      </c>
      <c r="K1382" s="43" t="inlineStr">
        <is>
          <t>Received</t>
        </is>
      </c>
      <c r="L1382" s="17">
        <f>INDEX(Items!$C$2:$C$117,MATCH(B1382,Items!$A$2:$A$117,0))</f>
        <v/>
      </c>
      <c r="M1382" s="49">
        <f>INDEX(Items!$E$2:$E$117,MATCH(B1382,Items!$A$2:$A$117,0))</f>
        <v/>
      </c>
      <c r="N1382" s="17">
        <f>TEXT(D1382,"yyyy-mm")</f>
        <v/>
      </c>
      <c r="O1382" s="50">
        <f>G1382*J1382</f>
        <v/>
      </c>
      <c r="P1382" s="50">
        <f>(J1382-M1382)*G1382</f>
        <v/>
      </c>
      <c r="Q1382" s="51">
        <f>IF(K1382="Received",1,0)</f>
        <v/>
      </c>
      <c r="R1382" s="51">
        <f>IF(Q1382=1,F1382-D1382,0)</f>
        <v/>
      </c>
      <c r="S1382" s="51">
        <f>IF(Q1382=1,IF(F1382&lt;=E1382,1,0),0)</f>
        <v/>
      </c>
      <c r="T1382" s="51">
        <f>IF(Q1382=1,IF(H1382&gt;=G1382,1,0),0)</f>
        <v/>
      </c>
      <c r="U1382" s="51">
        <f>S1382*T1382</f>
        <v/>
      </c>
      <c r="V1382" s="51">
        <f>IF(Q1382=1,MAX(0,F1382-E1382),0)</f>
        <v/>
      </c>
    </row>
    <row r="1383">
      <c r="A1383" s="43" t="inlineStr">
        <is>
          <t>PO101682</t>
        </is>
      </c>
      <c r="B1383" s="43" t="inlineStr">
        <is>
          <t>CMD-0092</t>
        </is>
      </c>
      <c r="C1383" s="43" t="inlineStr">
        <is>
          <t>S08</t>
        </is>
      </c>
      <c r="D1383" s="47" t="n">
        <v>46065</v>
      </c>
      <c r="E1383" s="47" t="n">
        <v>46142</v>
      </c>
      <c r="F1383" s="47" t="n">
        <v>46140</v>
      </c>
      <c r="G1383" s="46" t="n">
        <v>285</v>
      </c>
      <c r="H1383" s="46" t="n">
        <v>285</v>
      </c>
      <c r="I1383" s="46" t="n">
        <v>3</v>
      </c>
      <c r="J1383" s="44" t="n">
        <v>30.3541</v>
      </c>
      <c r="K1383" s="43" t="inlineStr">
        <is>
          <t>Received</t>
        </is>
      </c>
      <c r="L1383" s="17">
        <f>INDEX(Items!$C$2:$C$117,MATCH(B1383,Items!$A$2:$A$117,0))</f>
        <v/>
      </c>
      <c r="M1383" s="49">
        <f>INDEX(Items!$E$2:$E$117,MATCH(B1383,Items!$A$2:$A$117,0))</f>
        <v/>
      </c>
      <c r="N1383" s="17">
        <f>TEXT(D1383,"yyyy-mm")</f>
        <v/>
      </c>
      <c r="O1383" s="50">
        <f>G1383*J1383</f>
        <v/>
      </c>
      <c r="P1383" s="50">
        <f>(J1383-M1383)*G1383</f>
        <v/>
      </c>
      <c r="Q1383" s="51">
        <f>IF(K1383="Received",1,0)</f>
        <v/>
      </c>
      <c r="R1383" s="51">
        <f>IF(Q1383=1,F1383-D1383,0)</f>
        <v/>
      </c>
      <c r="S1383" s="51">
        <f>IF(Q1383=1,IF(F1383&lt;=E1383,1,0),0)</f>
        <v/>
      </c>
      <c r="T1383" s="51">
        <f>IF(Q1383=1,IF(H1383&gt;=G1383,1,0),0)</f>
        <v/>
      </c>
      <c r="U1383" s="51">
        <f>S1383*T1383</f>
        <v/>
      </c>
      <c r="V1383" s="51">
        <f>IF(Q1383=1,MAX(0,F1383-E1383),0)</f>
        <v/>
      </c>
    </row>
    <row r="1384">
      <c r="A1384" s="43" t="inlineStr">
        <is>
          <t>PO101580</t>
        </is>
      </c>
      <c r="B1384" s="43" t="inlineStr">
        <is>
          <t>CMD-0085</t>
        </is>
      </c>
      <c r="C1384" s="43" t="inlineStr">
        <is>
          <t>S06</t>
        </is>
      </c>
      <c r="D1384" s="47" t="n">
        <v>46065</v>
      </c>
      <c r="E1384" s="47" t="n">
        <v>46086</v>
      </c>
      <c r="F1384" s="47" t="n">
        <v>46084</v>
      </c>
      <c r="G1384" s="46" t="n">
        <v>906</v>
      </c>
      <c r="H1384" s="46" t="n">
        <v>906</v>
      </c>
      <c r="I1384" s="46" t="n">
        <v>6</v>
      </c>
      <c r="J1384" s="44" t="n">
        <v>10.8768</v>
      </c>
      <c r="K1384" s="43" t="inlineStr">
        <is>
          <t>Received</t>
        </is>
      </c>
      <c r="L1384" s="17">
        <f>INDEX(Items!$C$2:$C$117,MATCH(B1384,Items!$A$2:$A$117,0))</f>
        <v/>
      </c>
      <c r="M1384" s="49">
        <f>INDEX(Items!$E$2:$E$117,MATCH(B1384,Items!$A$2:$A$117,0))</f>
        <v/>
      </c>
      <c r="N1384" s="17">
        <f>TEXT(D1384,"yyyy-mm")</f>
        <v/>
      </c>
      <c r="O1384" s="50">
        <f>G1384*J1384</f>
        <v/>
      </c>
      <c r="P1384" s="50">
        <f>(J1384-M1384)*G1384</f>
        <v/>
      </c>
      <c r="Q1384" s="51">
        <f>IF(K1384="Received",1,0)</f>
        <v/>
      </c>
      <c r="R1384" s="51">
        <f>IF(Q1384=1,F1384-D1384,0)</f>
        <v/>
      </c>
      <c r="S1384" s="51">
        <f>IF(Q1384=1,IF(F1384&lt;=E1384,1,0),0)</f>
        <v/>
      </c>
      <c r="T1384" s="51">
        <f>IF(Q1384=1,IF(H1384&gt;=G1384,1,0),0)</f>
        <v/>
      </c>
      <c r="U1384" s="51">
        <f>S1384*T1384</f>
        <v/>
      </c>
      <c r="V1384" s="51">
        <f>IF(Q1384=1,MAX(0,F1384-E1384),0)</f>
        <v/>
      </c>
    </row>
    <row r="1385">
      <c r="A1385" s="43" t="inlineStr">
        <is>
          <t>PO100308</t>
        </is>
      </c>
      <c r="B1385" s="43" t="inlineStr">
        <is>
          <t>CMD-0014</t>
        </is>
      </c>
      <c r="C1385" s="43" t="inlineStr">
        <is>
          <t>S03</t>
        </is>
      </c>
      <c r="D1385" s="47" t="n">
        <v>46066</v>
      </c>
      <c r="E1385" s="47" t="n">
        <v>46199</v>
      </c>
      <c r="F1385" s="47" t="n">
        <v>46198</v>
      </c>
      <c r="G1385" s="46" t="n">
        <v>4660</v>
      </c>
      <c r="H1385" s="46" t="n">
        <v>4660</v>
      </c>
      <c r="I1385" s="46" t="n">
        <v>29</v>
      </c>
      <c r="J1385" s="44" t="n">
        <v>14.8916</v>
      </c>
      <c r="K1385" s="43" t="inlineStr">
        <is>
          <t>Received</t>
        </is>
      </c>
      <c r="L1385" s="17">
        <f>INDEX(Items!$C$2:$C$117,MATCH(B1385,Items!$A$2:$A$117,0))</f>
        <v/>
      </c>
      <c r="M1385" s="49">
        <f>INDEX(Items!$E$2:$E$117,MATCH(B1385,Items!$A$2:$A$117,0))</f>
        <v/>
      </c>
      <c r="N1385" s="17">
        <f>TEXT(D1385,"yyyy-mm")</f>
        <v/>
      </c>
      <c r="O1385" s="50">
        <f>G1385*J1385</f>
        <v/>
      </c>
      <c r="P1385" s="50">
        <f>(J1385-M1385)*G1385</f>
        <v/>
      </c>
      <c r="Q1385" s="51">
        <f>IF(K1385="Received",1,0)</f>
        <v/>
      </c>
      <c r="R1385" s="51">
        <f>IF(Q1385=1,F1385-D1385,0)</f>
        <v/>
      </c>
      <c r="S1385" s="51">
        <f>IF(Q1385=1,IF(F1385&lt;=E1385,1,0),0)</f>
        <v/>
      </c>
      <c r="T1385" s="51">
        <f>IF(Q1385=1,IF(H1385&gt;=G1385,1,0),0)</f>
        <v/>
      </c>
      <c r="U1385" s="51">
        <f>S1385*T1385</f>
        <v/>
      </c>
      <c r="V1385" s="51">
        <f>IF(Q1385=1,MAX(0,F1385-E1385),0)</f>
        <v/>
      </c>
    </row>
    <row r="1386">
      <c r="A1386" s="43" t="inlineStr">
        <is>
          <t>PO101520</t>
        </is>
      </c>
      <c r="B1386" s="43" t="inlineStr">
        <is>
          <t>CMD-0080</t>
        </is>
      </c>
      <c r="C1386" s="43" t="inlineStr">
        <is>
          <t>S06</t>
        </is>
      </c>
      <c r="D1386" s="47" t="n">
        <v>46066</v>
      </c>
      <c r="E1386" s="47" t="n">
        <v>46087</v>
      </c>
      <c r="F1386" s="47" t="n">
        <v>46085</v>
      </c>
      <c r="G1386" s="46" t="n">
        <v>4427</v>
      </c>
      <c r="H1386" s="46" t="n">
        <v>4427</v>
      </c>
      <c r="I1386" s="46" t="n">
        <v>16</v>
      </c>
      <c r="J1386" s="44" t="n">
        <v>5.6959</v>
      </c>
      <c r="K1386" s="43" t="inlineStr">
        <is>
          <t>Received</t>
        </is>
      </c>
      <c r="L1386" s="17">
        <f>INDEX(Items!$C$2:$C$117,MATCH(B1386,Items!$A$2:$A$117,0))</f>
        <v/>
      </c>
      <c r="M1386" s="49">
        <f>INDEX(Items!$E$2:$E$117,MATCH(B1386,Items!$A$2:$A$117,0))</f>
        <v/>
      </c>
      <c r="N1386" s="17">
        <f>TEXT(D1386,"yyyy-mm")</f>
        <v/>
      </c>
      <c r="O1386" s="50">
        <f>G1386*J1386</f>
        <v/>
      </c>
      <c r="P1386" s="50">
        <f>(J1386-M1386)*G1386</f>
        <v/>
      </c>
      <c r="Q1386" s="51">
        <f>IF(K1386="Received",1,0)</f>
        <v/>
      </c>
      <c r="R1386" s="51">
        <f>IF(Q1386=1,F1386-D1386,0)</f>
        <v/>
      </c>
      <c r="S1386" s="51">
        <f>IF(Q1386=1,IF(F1386&lt;=E1386,1,0),0)</f>
        <v/>
      </c>
      <c r="T1386" s="51">
        <f>IF(Q1386=1,IF(H1386&gt;=G1386,1,0),0)</f>
        <v/>
      </c>
      <c r="U1386" s="51">
        <f>S1386*T1386</f>
        <v/>
      </c>
      <c r="V1386" s="51">
        <f>IF(Q1386=1,MAX(0,F1386-E1386),0)</f>
        <v/>
      </c>
    </row>
    <row r="1387">
      <c r="A1387" s="43" t="inlineStr">
        <is>
          <t>PO101778</t>
        </is>
      </c>
      <c r="B1387" s="43" t="inlineStr">
        <is>
          <t>CMD-0096</t>
        </is>
      </c>
      <c r="C1387" s="43" t="inlineStr">
        <is>
          <t>S09</t>
        </is>
      </c>
      <c r="D1387" s="47" t="n">
        <v>46066</v>
      </c>
      <c r="E1387" s="47" t="n">
        <v>46087</v>
      </c>
      <c r="F1387" s="47" t="n">
        <v>46086</v>
      </c>
      <c r="G1387" s="46" t="n">
        <v>1044</v>
      </c>
      <c r="H1387" s="46" t="n">
        <v>1044</v>
      </c>
      <c r="I1387" s="46" t="n">
        <v>3</v>
      </c>
      <c r="J1387" s="44" t="n">
        <v>6.6126</v>
      </c>
      <c r="K1387" s="43" t="inlineStr">
        <is>
          <t>Received</t>
        </is>
      </c>
      <c r="L1387" s="17">
        <f>INDEX(Items!$C$2:$C$117,MATCH(B1387,Items!$A$2:$A$117,0))</f>
        <v/>
      </c>
      <c r="M1387" s="49">
        <f>INDEX(Items!$E$2:$E$117,MATCH(B1387,Items!$A$2:$A$117,0))</f>
        <v/>
      </c>
      <c r="N1387" s="17">
        <f>TEXT(D1387,"yyyy-mm")</f>
        <v/>
      </c>
      <c r="O1387" s="50">
        <f>G1387*J1387</f>
        <v/>
      </c>
      <c r="P1387" s="50">
        <f>(J1387-M1387)*G1387</f>
        <v/>
      </c>
      <c r="Q1387" s="51">
        <f>IF(K1387="Received",1,0)</f>
        <v/>
      </c>
      <c r="R1387" s="51">
        <f>IF(Q1387=1,F1387-D1387,0)</f>
        <v/>
      </c>
      <c r="S1387" s="51">
        <f>IF(Q1387=1,IF(F1387&lt;=E1387,1,0),0)</f>
        <v/>
      </c>
      <c r="T1387" s="51">
        <f>IF(Q1387=1,IF(H1387&gt;=G1387,1,0),0)</f>
        <v/>
      </c>
      <c r="U1387" s="51">
        <f>S1387*T1387</f>
        <v/>
      </c>
      <c r="V1387" s="51">
        <f>IF(Q1387=1,MAX(0,F1387-E1387),0)</f>
        <v/>
      </c>
    </row>
    <row r="1388">
      <c r="A1388" s="43" t="inlineStr">
        <is>
          <t>PO101261</t>
        </is>
      </c>
      <c r="B1388" s="43" t="inlineStr">
        <is>
          <t>CMD-0059</t>
        </is>
      </c>
      <c r="C1388" s="43" t="inlineStr">
        <is>
          <t>S01</t>
        </is>
      </c>
      <c r="D1388" s="47" t="n">
        <v>46066</v>
      </c>
      <c r="E1388" s="47" t="n">
        <v>46087</v>
      </c>
      <c r="F1388" s="47" t="n">
        <v>46087</v>
      </c>
      <c r="G1388" s="46" t="n">
        <v>180339</v>
      </c>
      <c r="H1388" s="46" t="n">
        <v>180339</v>
      </c>
      <c r="I1388" s="46" t="n">
        <v>356</v>
      </c>
      <c r="J1388" s="44" t="n">
        <v>0.0289</v>
      </c>
      <c r="K1388" s="43" t="inlineStr">
        <is>
          <t>Received</t>
        </is>
      </c>
      <c r="L1388" s="17">
        <f>INDEX(Items!$C$2:$C$117,MATCH(B1388,Items!$A$2:$A$117,0))</f>
        <v/>
      </c>
      <c r="M1388" s="49">
        <f>INDEX(Items!$E$2:$E$117,MATCH(B1388,Items!$A$2:$A$117,0))</f>
        <v/>
      </c>
      <c r="N1388" s="17">
        <f>TEXT(D1388,"yyyy-mm")</f>
        <v/>
      </c>
      <c r="O1388" s="50">
        <f>G1388*J1388</f>
        <v/>
      </c>
      <c r="P1388" s="50">
        <f>(J1388-M1388)*G1388</f>
        <v/>
      </c>
      <c r="Q1388" s="51">
        <f>IF(K1388="Received",1,0)</f>
        <v/>
      </c>
      <c r="R1388" s="51">
        <f>IF(Q1388=1,F1388-D1388,0)</f>
        <v/>
      </c>
      <c r="S1388" s="51">
        <f>IF(Q1388=1,IF(F1388&lt;=E1388,1,0),0)</f>
        <v/>
      </c>
      <c r="T1388" s="51">
        <f>IF(Q1388=1,IF(H1388&gt;=G1388,1,0),0)</f>
        <v/>
      </c>
      <c r="U1388" s="51">
        <f>S1388*T1388</f>
        <v/>
      </c>
      <c r="V1388" s="51">
        <f>IF(Q1388=1,MAX(0,F1388-E1388),0)</f>
        <v/>
      </c>
    </row>
    <row r="1389">
      <c r="A1389" s="43" t="inlineStr">
        <is>
          <t>PO100512</t>
        </is>
      </c>
      <c r="B1389" s="43" t="inlineStr">
        <is>
          <t>CMD-0023</t>
        </is>
      </c>
      <c r="C1389" s="43" t="inlineStr">
        <is>
          <t>S04</t>
        </is>
      </c>
      <c r="D1389" s="47" t="n">
        <v>46066</v>
      </c>
      <c r="E1389" s="47" t="n">
        <v>46136</v>
      </c>
      <c r="F1389" s="47" t="n">
        <v>46133</v>
      </c>
      <c r="G1389" s="46" t="n">
        <v>4576</v>
      </c>
      <c r="H1389" s="46" t="n">
        <v>4576</v>
      </c>
      <c r="I1389" s="46" t="n">
        <v>44</v>
      </c>
      <c r="J1389" s="44" t="n">
        <v>9.064</v>
      </c>
      <c r="K1389" s="43" t="inlineStr">
        <is>
          <t>Received</t>
        </is>
      </c>
      <c r="L1389" s="17">
        <f>INDEX(Items!$C$2:$C$117,MATCH(B1389,Items!$A$2:$A$117,0))</f>
        <v/>
      </c>
      <c r="M1389" s="49">
        <f>INDEX(Items!$E$2:$E$117,MATCH(B1389,Items!$A$2:$A$117,0))</f>
        <v/>
      </c>
      <c r="N1389" s="17">
        <f>TEXT(D1389,"yyyy-mm")</f>
        <v/>
      </c>
      <c r="O1389" s="50">
        <f>G1389*J1389</f>
        <v/>
      </c>
      <c r="P1389" s="50">
        <f>(J1389-M1389)*G1389</f>
        <v/>
      </c>
      <c r="Q1389" s="51">
        <f>IF(K1389="Received",1,0)</f>
        <v/>
      </c>
      <c r="R1389" s="51">
        <f>IF(Q1389=1,F1389-D1389,0)</f>
        <v/>
      </c>
      <c r="S1389" s="51">
        <f>IF(Q1389=1,IF(F1389&lt;=E1389,1,0),0)</f>
        <v/>
      </c>
      <c r="T1389" s="51">
        <f>IF(Q1389=1,IF(H1389&gt;=G1389,1,0),0)</f>
        <v/>
      </c>
      <c r="U1389" s="51">
        <f>S1389*T1389</f>
        <v/>
      </c>
      <c r="V1389" s="51">
        <f>IF(Q1389=1,MAX(0,F1389-E1389),0)</f>
        <v/>
      </c>
    </row>
    <row r="1390">
      <c r="A1390" s="43" t="inlineStr">
        <is>
          <t>PO101068</t>
        </is>
      </c>
      <c r="B1390" s="43" t="inlineStr">
        <is>
          <t>CMD-0048</t>
        </is>
      </c>
      <c r="C1390" s="43" t="inlineStr">
        <is>
          <t>S10</t>
        </is>
      </c>
      <c r="D1390" s="47" t="n">
        <v>46066</v>
      </c>
      <c r="E1390" s="47" t="n">
        <v>46094</v>
      </c>
      <c r="F1390" s="47" t="n">
        <v>46091</v>
      </c>
      <c r="G1390" s="46" t="n">
        <v>18253</v>
      </c>
      <c r="H1390" s="46" t="n">
        <v>18253</v>
      </c>
      <c r="I1390" s="46" t="n">
        <v>17</v>
      </c>
      <c r="J1390" s="44" t="n">
        <v>0.3328</v>
      </c>
      <c r="K1390" s="43" t="inlineStr">
        <is>
          <t>Received</t>
        </is>
      </c>
      <c r="L1390" s="17">
        <f>INDEX(Items!$C$2:$C$117,MATCH(B1390,Items!$A$2:$A$117,0))</f>
        <v/>
      </c>
      <c r="M1390" s="49">
        <f>INDEX(Items!$E$2:$E$117,MATCH(B1390,Items!$A$2:$A$117,0))</f>
        <v/>
      </c>
      <c r="N1390" s="17">
        <f>TEXT(D1390,"yyyy-mm")</f>
        <v/>
      </c>
      <c r="O1390" s="50">
        <f>G1390*J1390</f>
        <v/>
      </c>
      <c r="P1390" s="50">
        <f>(J1390-M1390)*G1390</f>
        <v/>
      </c>
      <c r="Q1390" s="51">
        <f>IF(K1390="Received",1,0)</f>
        <v/>
      </c>
      <c r="R1390" s="51">
        <f>IF(Q1390=1,F1390-D1390,0)</f>
        <v/>
      </c>
      <c r="S1390" s="51">
        <f>IF(Q1390=1,IF(F1390&lt;=E1390,1,0),0)</f>
        <v/>
      </c>
      <c r="T1390" s="51">
        <f>IF(Q1390=1,IF(H1390&gt;=G1390,1,0),0)</f>
        <v/>
      </c>
      <c r="U1390" s="51">
        <f>S1390*T1390</f>
        <v/>
      </c>
      <c r="V1390" s="51">
        <f>IF(Q1390=1,MAX(0,F1390-E1390),0)</f>
        <v/>
      </c>
    </row>
    <row r="1391">
      <c r="A1391" s="43" t="inlineStr">
        <is>
          <t>PO101860</t>
        </is>
      </c>
      <c r="B1391" s="43" t="inlineStr">
        <is>
          <t>CMD-0101</t>
        </is>
      </c>
      <c r="C1391" s="43" t="inlineStr">
        <is>
          <t>S09</t>
        </is>
      </c>
      <c r="D1391" s="47" t="n">
        <v>46067</v>
      </c>
      <c r="E1391" s="47" t="n">
        <v>46088</v>
      </c>
      <c r="F1391" s="47" t="n">
        <v>46086</v>
      </c>
      <c r="G1391" s="46" t="n">
        <v>3919</v>
      </c>
      <c r="H1391" s="46" t="n">
        <v>3919</v>
      </c>
      <c r="I1391" s="46" t="n">
        <v>7</v>
      </c>
      <c r="J1391" s="44" t="n">
        <v>3.811</v>
      </c>
      <c r="K1391" s="43" t="inlineStr">
        <is>
          <t>Received</t>
        </is>
      </c>
      <c r="L1391" s="17">
        <f>INDEX(Items!$C$2:$C$117,MATCH(B1391,Items!$A$2:$A$117,0))</f>
        <v/>
      </c>
      <c r="M1391" s="49">
        <f>INDEX(Items!$E$2:$E$117,MATCH(B1391,Items!$A$2:$A$117,0))</f>
        <v/>
      </c>
      <c r="N1391" s="17">
        <f>TEXT(D1391,"yyyy-mm")</f>
        <v/>
      </c>
      <c r="O1391" s="50">
        <f>G1391*J1391</f>
        <v/>
      </c>
      <c r="P1391" s="50">
        <f>(J1391-M1391)*G1391</f>
        <v/>
      </c>
      <c r="Q1391" s="51">
        <f>IF(K1391="Received",1,0)</f>
        <v/>
      </c>
      <c r="R1391" s="51">
        <f>IF(Q1391=1,F1391-D1391,0)</f>
        <v/>
      </c>
      <c r="S1391" s="51">
        <f>IF(Q1391=1,IF(F1391&lt;=E1391,1,0),0)</f>
        <v/>
      </c>
      <c r="T1391" s="51">
        <f>IF(Q1391=1,IF(H1391&gt;=G1391,1,0),0)</f>
        <v/>
      </c>
      <c r="U1391" s="51">
        <f>S1391*T1391</f>
        <v/>
      </c>
      <c r="V1391" s="51">
        <f>IF(Q1391=1,MAX(0,F1391-E1391),0)</f>
        <v/>
      </c>
    </row>
    <row r="1392">
      <c r="A1392" s="43" t="inlineStr">
        <is>
          <t>PO100926</t>
        </is>
      </c>
      <c r="B1392" s="43" t="inlineStr">
        <is>
          <t>CMD-0042</t>
        </is>
      </c>
      <c r="C1392" s="43" t="inlineStr">
        <is>
          <t>S05</t>
        </is>
      </c>
      <c r="D1392" s="47" t="n">
        <v>46067</v>
      </c>
      <c r="E1392" s="47" t="n">
        <v>46172</v>
      </c>
      <c r="F1392" s="47" t="n">
        <v>46171</v>
      </c>
      <c r="G1392" s="46" t="n">
        <v>607</v>
      </c>
      <c r="H1392" s="46" t="n">
        <v>607</v>
      </c>
      <c r="I1392" s="46" t="n">
        <v>9</v>
      </c>
      <c r="J1392" s="44" t="n">
        <v>9.177300000000001</v>
      </c>
      <c r="K1392" s="43" t="inlineStr">
        <is>
          <t>Received</t>
        </is>
      </c>
      <c r="L1392" s="17">
        <f>INDEX(Items!$C$2:$C$117,MATCH(B1392,Items!$A$2:$A$117,0))</f>
        <v/>
      </c>
      <c r="M1392" s="49">
        <f>INDEX(Items!$E$2:$E$117,MATCH(B1392,Items!$A$2:$A$117,0))</f>
        <v/>
      </c>
      <c r="N1392" s="17">
        <f>TEXT(D1392,"yyyy-mm")</f>
        <v/>
      </c>
      <c r="O1392" s="50">
        <f>G1392*J1392</f>
        <v/>
      </c>
      <c r="P1392" s="50">
        <f>(J1392-M1392)*G1392</f>
        <v/>
      </c>
      <c r="Q1392" s="51">
        <f>IF(K1392="Received",1,0)</f>
        <v/>
      </c>
      <c r="R1392" s="51">
        <f>IF(Q1392=1,F1392-D1392,0)</f>
        <v/>
      </c>
      <c r="S1392" s="51">
        <f>IF(Q1392=1,IF(F1392&lt;=E1392,1,0),0)</f>
        <v/>
      </c>
      <c r="T1392" s="51">
        <f>IF(Q1392=1,IF(H1392&gt;=G1392,1,0),0)</f>
        <v/>
      </c>
      <c r="U1392" s="51">
        <f>S1392*T1392</f>
        <v/>
      </c>
      <c r="V1392" s="51">
        <f>IF(Q1392=1,MAX(0,F1392-E1392),0)</f>
        <v/>
      </c>
    </row>
    <row r="1393">
      <c r="A1393" s="43" t="inlineStr">
        <is>
          <t>PO100184</t>
        </is>
      </c>
      <c r="B1393" s="43" t="inlineStr">
        <is>
          <t>CMD-0008</t>
        </is>
      </c>
      <c r="C1393" s="43" t="inlineStr">
        <is>
          <t>S03</t>
        </is>
      </c>
      <c r="D1393" s="47" t="n">
        <v>46067</v>
      </c>
      <c r="E1393" s="47" t="n">
        <v>46200</v>
      </c>
      <c r="F1393" s="47" t="n">
        <v>46268</v>
      </c>
      <c r="G1393" s="46" t="n">
        <v>1168</v>
      </c>
      <c r="H1393" s="46" t="n">
        <v>1168</v>
      </c>
      <c r="I1393" s="46" t="n">
        <v>3</v>
      </c>
      <c r="J1393" s="44" t="n">
        <v>27.9188</v>
      </c>
      <c r="K1393" s="43" t="inlineStr">
        <is>
          <t>Received</t>
        </is>
      </c>
      <c r="L1393" s="17">
        <f>INDEX(Items!$C$2:$C$117,MATCH(B1393,Items!$A$2:$A$117,0))</f>
        <v/>
      </c>
      <c r="M1393" s="49">
        <f>INDEX(Items!$E$2:$E$117,MATCH(B1393,Items!$A$2:$A$117,0))</f>
        <v/>
      </c>
      <c r="N1393" s="17">
        <f>TEXT(D1393,"yyyy-mm")</f>
        <v/>
      </c>
      <c r="O1393" s="50">
        <f>G1393*J1393</f>
        <v/>
      </c>
      <c r="P1393" s="50">
        <f>(J1393-M1393)*G1393</f>
        <v/>
      </c>
      <c r="Q1393" s="51">
        <f>IF(K1393="Received",1,0)</f>
        <v/>
      </c>
      <c r="R1393" s="51">
        <f>IF(Q1393=1,F1393-D1393,0)</f>
        <v/>
      </c>
      <c r="S1393" s="51">
        <f>IF(Q1393=1,IF(F1393&lt;=E1393,1,0),0)</f>
        <v/>
      </c>
      <c r="T1393" s="51">
        <f>IF(Q1393=1,IF(H1393&gt;=G1393,1,0),0)</f>
        <v/>
      </c>
      <c r="U1393" s="51">
        <f>S1393*T1393</f>
        <v/>
      </c>
      <c r="V1393" s="51">
        <f>IF(Q1393=1,MAX(0,F1393-E1393),0)</f>
        <v/>
      </c>
    </row>
    <row r="1394">
      <c r="A1394" s="43" t="inlineStr">
        <is>
          <t>PO101136</t>
        </is>
      </c>
      <c r="B1394" s="43" t="inlineStr">
        <is>
          <t>CMD-0052</t>
        </is>
      </c>
      <c r="C1394" s="43" t="inlineStr">
        <is>
          <t>S01</t>
        </is>
      </c>
      <c r="D1394" s="47" t="n">
        <v>46067</v>
      </c>
      <c r="E1394" s="47" t="n">
        <v>46088</v>
      </c>
      <c r="F1394" s="47" t="n">
        <v>46088</v>
      </c>
      <c r="G1394" s="46" t="n">
        <v>137681</v>
      </c>
      <c r="H1394" s="46" t="n">
        <v>137681</v>
      </c>
      <c r="I1394" s="46" t="n">
        <v>303</v>
      </c>
      <c r="J1394" s="44" t="n">
        <v>0.2076</v>
      </c>
      <c r="K1394" s="43" t="inlineStr">
        <is>
          <t>Received</t>
        </is>
      </c>
      <c r="L1394" s="17">
        <f>INDEX(Items!$C$2:$C$117,MATCH(B1394,Items!$A$2:$A$117,0))</f>
        <v/>
      </c>
      <c r="M1394" s="49">
        <f>INDEX(Items!$E$2:$E$117,MATCH(B1394,Items!$A$2:$A$117,0))</f>
        <v/>
      </c>
      <c r="N1394" s="17">
        <f>TEXT(D1394,"yyyy-mm")</f>
        <v/>
      </c>
      <c r="O1394" s="50">
        <f>G1394*J1394</f>
        <v/>
      </c>
      <c r="P1394" s="50">
        <f>(J1394-M1394)*G1394</f>
        <v/>
      </c>
      <c r="Q1394" s="51">
        <f>IF(K1394="Received",1,0)</f>
        <v/>
      </c>
      <c r="R1394" s="51">
        <f>IF(Q1394=1,F1394-D1394,0)</f>
        <v/>
      </c>
      <c r="S1394" s="51">
        <f>IF(Q1394=1,IF(F1394&lt;=E1394,1,0),0)</f>
        <v/>
      </c>
      <c r="T1394" s="51">
        <f>IF(Q1394=1,IF(H1394&gt;=G1394,1,0),0)</f>
        <v/>
      </c>
      <c r="U1394" s="51">
        <f>S1394*T1394</f>
        <v/>
      </c>
      <c r="V1394" s="51">
        <f>IF(Q1394=1,MAX(0,F1394-E1394),0)</f>
        <v/>
      </c>
    </row>
    <row r="1395">
      <c r="A1395" s="43" t="inlineStr">
        <is>
          <t>PO101836</t>
        </is>
      </c>
      <c r="B1395" s="43" t="inlineStr">
        <is>
          <t>CMD-0100</t>
        </is>
      </c>
      <c r="C1395" s="43" t="inlineStr">
        <is>
          <t>S09</t>
        </is>
      </c>
      <c r="D1395" s="47" t="n">
        <v>46067</v>
      </c>
      <c r="E1395" s="47" t="n">
        <v>46088</v>
      </c>
      <c r="F1395" s="47" t="n">
        <v>46087</v>
      </c>
      <c r="G1395" s="46" t="n">
        <v>6831</v>
      </c>
      <c r="H1395" s="46" t="n">
        <v>6831</v>
      </c>
      <c r="I1395" s="46" t="n">
        <v>21</v>
      </c>
      <c r="J1395" s="44" t="n">
        <v>5.0882</v>
      </c>
      <c r="K1395" s="43" t="inlineStr">
        <is>
          <t>Received</t>
        </is>
      </c>
      <c r="L1395" s="17">
        <f>INDEX(Items!$C$2:$C$117,MATCH(B1395,Items!$A$2:$A$117,0))</f>
        <v/>
      </c>
      <c r="M1395" s="49">
        <f>INDEX(Items!$E$2:$E$117,MATCH(B1395,Items!$A$2:$A$117,0))</f>
        <v/>
      </c>
      <c r="N1395" s="17">
        <f>TEXT(D1395,"yyyy-mm")</f>
        <v/>
      </c>
      <c r="O1395" s="50">
        <f>G1395*J1395</f>
        <v/>
      </c>
      <c r="P1395" s="50">
        <f>(J1395-M1395)*G1395</f>
        <v/>
      </c>
      <c r="Q1395" s="51">
        <f>IF(K1395="Received",1,0)</f>
        <v/>
      </c>
      <c r="R1395" s="51">
        <f>IF(Q1395=1,F1395-D1395,0)</f>
        <v/>
      </c>
      <c r="S1395" s="51">
        <f>IF(Q1395=1,IF(F1395&lt;=E1395,1,0),0)</f>
        <v/>
      </c>
      <c r="T1395" s="51">
        <f>IF(Q1395=1,IF(H1395&gt;=G1395,1,0),0)</f>
        <v/>
      </c>
      <c r="U1395" s="51">
        <f>S1395*T1395</f>
        <v/>
      </c>
      <c r="V1395" s="51">
        <f>IF(Q1395=1,MAX(0,F1395-E1395),0)</f>
        <v/>
      </c>
    </row>
    <row r="1396">
      <c r="A1396" s="43" t="inlineStr">
        <is>
          <t>PO100858</t>
        </is>
      </c>
      <c r="B1396" s="43" t="inlineStr">
        <is>
          <t>CMD-0038</t>
        </is>
      </c>
      <c r="C1396" s="43" t="inlineStr">
        <is>
          <t>S01</t>
        </is>
      </c>
      <c r="D1396" s="47" t="n">
        <v>46067</v>
      </c>
      <c r="E1396" s="47" t="n">
        <v>46095</v>
      </c>
      <c r="F1396" s="47" t="n">
        <v>46095</v>
      </c>
      <c r="G1396" s="46" t="n">
        <v>733</v>
      </c>
      <c r="H1396" s="46" t="n">
        <v>733</v>
      </c>
      <c r="I1396" s="46" t="n">
        <v>1</v>
      </c>
      <c r="J1396" s="44" t="n">
        <v>22.1347</v>
      </c>
      <c r="K1396" s="43" t="inlineStr">
        <is>
          <t>Received</t>
        </is>
      </c>
      <c r="L1396" s="17">
        <f>INDEX(Items!$C$2:$C$117,MATCH(B1396,Items!$A$2:$A$117,0))</f>
        <v/>
      </c>
      <c r="M1396" s="49">
        <f>INDEX(Items!$E$2:$E$117,MATCH(B1396,Items!$A$2:$A$117,0))</f>
        <v/>
      </c>
      <c r="N1396" s="17">
        <f>TEXT(D1396,"yyyy-mm")</f>
        <v/>
      </c>
      <c r="O1396" s="50">
        <f>G1396*J1396</f>
        <v/>
      </c>
      <c r="P1396" s="50">
        <f>(J1396-M1396)*G1396</f>
        <v/>
      </c>
      <c r="Q1396" s="51">
        <f>IF(K1396="Received",1,0)</f>
        <v/>
      </c>
      <c r="R1396" s="51">
        <f>IF(Q1396=1,F1396-D1396,0)</f>
        <v/>
      </c>
      <c r="S1396" s="51">
        <f>IF(Q1396=1,IF(F1396&lt;=E1396,1,0),0)</f>
        <v/>
      </c>
      <c r="T1396" s="51">
        <f>IF(Q1396=1,IF(H1396&gt;=G1396,1,0),0)</f>
        <v/>
      </c>
      <c r="U1396" s="51">
        <f>S1396*T1396</f>
        <v/>
      </c>
      <c r="V1396" s="51">
        <f>IF(Q1396=1,MAX(0,F1396-E1396),0)</f>
        <v/>
      </c>
    </row>
    <row r="1397">
      <c r="A1397" s="43" t="inlineStr">
        <is>
          <t>PO100536</t>
        </is>
      </c>
      <c r="B1397" s="43" t="inlineStr">
        <is>
          <t>CMD-0024</t>
        </is>
      </c>
      <c r="C1397" s="43" t="inlineStr">
        <is>
          <t>S04</t>
        </is>
      </c>
      <c r="D1397" s="47" t="n">
        <v>46067</v>
      </c>
      <c r="E1397" s="47" t="n">
        <v>46137</v>
      </c>
      <c r="F1397" s="47" t="n">
        <v>46137</v>
      </c>
      <c r="G1397" s="46" t="n">
        <v>4183</v>
      </c>
      <c r="H1397" s="46" t="n">
        <v>4183</v>
      </c>
      <c r="I1397" s="46" t="n">
        <v>41</v>
      </c>
      <c r="J1397" s="44" t="n">
        <v>3.4093</v>
      </c>
      <c r="K1397" s="43" t="inlineStr">
        <is>
          <t>Received</t>
        </is>
      </c>
      <c r="L1397" s="17">
        <f>INDEX(Items!$C$2:$C$117,MATCH(B1397,Items!$A$2:$A$117,0))</f>
        <v/>
      </c>
      <c r="M1397" s="49">
        <f>INDEX(Items!$E$2:$E$117,MATCH(B1397,Items!$A$2:$A$117,0))</f>
        <v/>
      </c>
      <c r="N1397" s="17">
        <f>TEXT(D1397,"yyyy-mm")</f>
        <v/>
      </c>
      <c r="O1397" s="50">
        <f>G1397*J1397</f>
        <v/>
      </c>
      <c r="P1397" s="50">
        <f>(J1397-M1397)*G1397</f>
        <v/>
      </c>
      <c r="Q1397" s="51">
        <f>IF(K1397="Received",1,0)</f>
        <v/>
      </c>
      <c r="R1397" s="51">
        <f>IF(Q1397=1,F1397-D1397,0)</f>
        <v/>
      </c>
      <c r="S1397" s="51">
        <f>IF(Q1397=1,IF(F1397&lt;=E1397,1,0),0)</f>
        <v/>
      </c>
      <c r="T1397" s="51">
        <f>IF(Q1397=1,IF(H1397&gt;=G1397,1,0),0)</f>
        <v/>
      </c>
      <c r="U1397" s="51">
        <f>S1397*T1397</f>
        <v/>
      </c>
      <c r="V1397" s="51">
        <f>IF(Q1397=1,MAX(0,F1397-E1397),0)</f>
        <v/>
      </c>
    </row>
    <row r="1398">
      <c r="A1398" s="43" t="inlineStr">
        <is>
          <t>PO101754</t>
        </is>
      </c>
      <c r="B1398" s="43" t="inlineStr">
        <is>
          <t>CMD-0095</t>
        </is>
      </c>
      <c r="C1398" s="43" t="inlineStr">
        <is>
          <t>S08</t>
        </is>
      </c>
      <c r="D1398" s="47" t="n">
        <v>46067</v>
      </c>
      <c r="E1398" s="47" t="n">
        <v>46144</v>
      </c>
      <c r="F1398" s="47" t="n">
        <v>46141</v>
      </c>
      <c r="G1398" s="46" t="n">
        <v>297</v>
      </c>
      <c r="H1398" s="46" t="n">
        <v>297</v>
      </c>
      <c r="I1398" s="46" t="n">
        <v>1</v>
      </c>
      <c r="J1398" s="44" t="n">
        <v>94.5849</v>
      </c>
      <c r="K1398" s="43" t="inlineStr">
        <is>
          <t>Received</t>
        </is>
      </c>
      <c r="L1398" s="17">
        <f>INDEX(Items!$C$2:$C$117,MATCH(B1398,Items!$A$2:$A$117,0))</f>
        <v/>
      </c>
      <c r="M1398" s="49">
        <f>INDEX(Items!$E$2:$E$117,MATCH(B1398,Items!$A$2:$A$117,0))</f>
        <v/>
      </c>
      <c r="N1398" s="17">
        <f>TEXT(D1398,"yyyy-mm")</f>
        <v/>
      </c>
      <c r="O1398" s="50">
        <f>G1398*J1398</f>
        <v/>
      </c>
      <c r="P1398" s="50">
        <f>(J1398-M1398)*G1398</f>
        <v/>
      </c>
      <c r="Q1398" s="51">
        <f>IF(K1398="Received",1,0)</f>
        <v/>
      </c>
      <c r="R1398" s="51">
        <f>IF(Q1398=1,F1398-D1398,0)</f>
        <v/>
      </c>
      <c r="S1398" s="51">
        <f>IF(Q1398=1,IF(F1398&lt;=E1398,1,0),0)</f>
        <v/>
      </c>
      <c r="T1398" s="51">
        <f>IF(Q1398=1,IF(H1398&gt;=G1398,1,0),0)</f>
        <v/>
      </c>
      <c r="U1398" s="51">
        <f>S1398*T1398</f>
        <v/>
      </c>
      <c r="V1398" s="51">
        <f>IF(Q1398=1,MAX(0,F1398-E1398),0)</f>
        <v/>
      </c>
    </row>
    <row r="1399">
      <c r="A1399" s="43" t="inlineStr">
        <is>
          <t>PO101244</t>
        </is>
      </c>
      <c r="B1399" s="43" t="inlineStr">
        <is>
          <t>CMD-0058</t>
        </is>
      </c>
      <c r="C1399" s="43" t="inlineStr">
        <is>
          <t>S04</t>
        </is>
      </c>
      <c r="D1399" s="47" t="n">
        <v>46068</v>
      </c>
      <c r="E1399" s="47" t="n">
        <v>46103</v>
      </c>
      <c r="F1399" s="47" t="n">
        <v>46101</v>
      </c>
      <c r="G1399" s="46" t="n">
        <v>67480</v>
      </c>
      <c r="H1399" s="46" t="n">
        <v>67480</v>
      </c>
      <c r="I1399" s="46" t="n">
        <v>698</v>
      </c>
      <c r="J1399" s="44" t="n">
        <v>0.1213</v>
      </c>
      <c r="K1399" s="43" t="inlineStr">
        <is>
          <t>Received</t>
        </is>
      </c>
      <c r="L1399" s="17">
        <f>INDEX(Items!$C$2:$C$117,MATCH(B1399,Items!$A$2:$A$117,0))</f>
        <v/>
      </c>
      <c r="M1399" s="49">
        <f>INDEX(Items!$E$2:$E$117,MATCH(B1399,Items!$A$2:$A$117,0))</f>
        <v/>
      </c>
      <c r="N1399" s="17">
        <f>TEXT(D1399,"yyyy-mm")</f>
        <v/>
      </c>
      <c r="O1399" s="50">
        <f>G1399*J1399</f>
        <v/>
      </c>
      <c r="P1399" s="50">
        <f>(J1399-M1399)*G1399</f>
        <v/>
      </c>
      <c r="Q1399" s="51">
        <f>IF(K1399="Received",1,0)</f>
        <v/>
      </c>
      <c r="R1399" s="51">
        <f>IF(Q1399=1,F1399-D1399,0)</f>
        <v/>
      </c>
      <c r="S1399" s="51">
        <f>IF(Q1399=1,IF(F1399&lt;=E1399,1,0),0)</f>
        <v/>
      </c>
      <c r="T1399" s="51">
        <f>IF(Q1399=1,IF(H1399&gt;=G1399,1,0),0)</f>
        <v/>
      </c>
      <c r="U1399" s="51">
        <f>S1399*T1399</f>
        <v/>
      </c>
      <c r="V1399" s="51">
        <f>IF(Q1399=1,MAX(0,F1399-E1399),0)</f>
        <v/>
      </c>
    </row>
    <row r="1400">
      <c r="A1400" s="43" t="inlineStr">
        <is>
          <t>PO100834</t>
        </is>
      </c>
      <c r="B1400" s="43" t="inlineStr">
        <is>
          <t>CMD-0037</t>
        </is>
      </c>
      <c r="C1400" s="43" t="inlineStr">
        <is>
          <t>S07</t>
        </is>
      </c>
      <c r="D1400" s="47" t="n">
        <v>46068</v>
      </c>
      <c r="E1400" s="47" t="n">
        <v>46110</v>
      </c>
      <c r="F1400" s="47" t="n">
        <v>46110</v>
      </c>
      <c r="G1400" s="46" t="n">
        <v>506</v>
      </c>
      <c r="H1400" s="46" t="n">
        <v>506</v>
      </c>
      <c r="I1400" s="46" t="n">
        <v>4</v>
      </c>
      <c r="J1400" s="44" t="n">
        <v>55.2286</v>
      </c>
      <c r="K1400" s="43" t="inlineStr">
        <is>
          <t>Received</t>
        </is>
      </c>
      <c r="L1400" s="17">
        <f>INDEX(Items!$C$2:$C$117,MATCH(B1400,Items!$A$2:$A$117,0))</f>
        <v/>
      </c>
      <c r="M1400" s="49">
        <f>INDEX(Items!$E$2:$E$117,MATCH(B1400,Items!$A$2:$A$117,0))</f>
        <v/>
      </c>
      <c r="N1400" s="17">
        <f>TEXT(D1400,"yyyy-mm")</f>
        <v/>
      </c>
      <c r="O1400" s="50">
        <f>G1400*J1400</f>
        <v/>
      </c>
      <c r="P1400" s="50">
        <f>(J1400-M1400)*G1400</f>
        <v/>
      </c>
      <c r="Q1400" s="51">
        <f>IF(K1400="Received",1,0)</f>
        <v/>
      </c>
      <c r="R1400" s="51">
        <f>IF(Q1400=1,F1400-D1400,0)</f>
        <v/>
      </c>
      <c r="S1400" s="51">
        <f>IF(Q1400=1,IF(F1400&lt;=E1400,1,0),0)</f>
        <v/>
      </c>
      <c r="T1400" s="51">
        <f>IF(Q1400=1,IF(H1400&gt;=G1400,1,0),0)</f>
        <v/>
      </c>
      <c r="U1400" s="51">
        <f>S1400*T1400</f>
        <v/>
      </c>
      <c r="V1400" s="51">
        <f>IF(Q1400=1,MAX(0,F1400-E1400),0)</f>
        <v/>
      </c>
    </row>
    <row r="1401">
      <c r="A1401" s="43" t="inlineStr">
        <is>
          <t>PO100738</t>
        </is>
      </c>
      <c r="B1401" s="43" t="inlineStr">
        <is>
          <t>CMD-0033</t>
        </is>
      </c>
      <c r="C1401" s="43" t="inlineStr">
        <is>
          <t>S07</t>
        </is>
      </c>
      <c r="D1401" s="47" t="n">
        <v>46068</v>
      </c>
      <c r="E1401" s="47" t="n">
        <v>46110</v>
      </c>
      <c r="F1401" s="47" t="n">
        <v>46110</v>
      </c>
      <c r="G1401" s="46" t="n">
        <v>3305</v>
      </c>
      <c r="H1401" s="46" t="n">
        <v>3305</v>
      </c>
      <c r="I1401" s="46" t="n">
        <v>23</v>
      </c>
      <c r="J1401" s="44" t="n">
        <v>60.1108</v>
      </c>
      <c r="K1401" s="43" t="inlineStr">
        <is>
          <t>Received</t>
        </is>
      </c>
      <c r="L1401" s="17">
        <f>INDEX(Items!$C$2:$C$117,MATCH(B1401,Items!$A$2:$A$117,0))</f>
        <v/>
      </c>
      <c r="M1401" s="49">
        <f>INDEX(Items!$E$2:$E$117,MATCH(B1401,Items!$A$2:$A$117,0))</f>
        <v/>
      </c>
      <c r="N1401" s="17">
        <f>TEXT(D1401,"yyyy-mm")</f>
        <v/>
      </c>
      <c r="O1401" s="50">
        <f>G1401*J1401</f>
        <v/>
      </c>
      <c r="P1401" s="50">
        <f>(J1401-M1401)*G1401</f>
        <v/>
      </c>
      <c r="Q1401" s="51">
        <f>IF(K1401="Received",1,0)</f>
        <v/>
      </c>
      <c r="R1401" s="51">
        <f>IF(Q1401=1,F1401-D1401,0)</f>
        <v/>
      </c>
      <c r="S1401" s="51">
        <f>IF(Q1401=1,IF(F1401&lt;=E1401,1,0),0)</f>
        <v/>
      </c>
      <c r="T1401" s="51">
        <f>IF(Q1401=1,IF(H1401&gt;=G1401,1,0),0)</f>
        <v/>
      </c>
      <c r="U1401" s="51">
        <f>S1401*T1401</f>
        <v/>
      </c>
      <c r="V1401" s="51">
        <f>IF(Q1401=1,MAX(0,F1401-E1401),0)</f>
        <v/>
      </c>
    </row>
    <row r="1402">
      <c r="A1402" s="43" t="inlineStr">
        <is>
          <t>PO100088</t>
        </is>
      </c>
      <c r="B1402" s="43" t="inlineStr">
        <is>
          <t>CMD-0004</t>
        </is>
      </c>
      <c r="C1402" s="43" t="inlineStr">
        <is>
          <t>S07</t>
        </is>
      </c>
      <c r="D1402" s="47" t="n">
        <v>46068</v>
      </c>
      <c r="E1402" s="47" t="n">
        <v>46159</v>
      </c>
      <c r="F1402" s="47" t="n">
        <v>46156</v>
      </c>
      <c r="G1402" s="46" t="n">
        <v>3645</v>
      </c>
      <c r="H1402" s="46" t="n">
        <v>3645</v>
      </c>
      <c r="I1402" s="46" t="n">
        <v>34</v>
      </c>
      <c r="J1402" s="44" t="n">
        <v>4.779</v>
      </c>
      <c r="K1402" s="43" t="inlineStr">
        <is>
          <t>Received</t>
        </is>
      </c>
      <c r="L1402" s="17">
        <f>INDEX(Items!$C$2:$C$117,MATCH(B1402,Items!$A$2:$A$117,0))</f>
        <v/>
      </c>
      <c r="M1402" s="49">
        <f>INDEX(Items!$E$2:$E$117,MATCH(B1402,Items!$A$2:$A$117,0))</f>
        <v/>
      </c>
      <c r="N1402" s="17">
        <f>TEXT(D1402,"yyyy-mm")</f>
        <v/>
      </c>
      <c r="O1402" s="50">
        <f>G1402*J1402</f>
        <v/>
      </c>
      <c r="P1402" s="50">
        <f>(J1402-M1402)*G1402</f>
        <v/>
      </c>
      <c r="Q1402" s="51">
        <f>IF(K1402="Received",1,0)</f>
        <v/>
      </c>
      <c r="R1402" s="51">
        <f>IF(Q1402=1,F1402-D1402,0)</f>
        <v/>
      </c>
      <c r="S1402" s="51">
        <f>IF(Q1402=1,IF(F1402&lt;=E1402,1,0),0)</f>
        <v/>
      </c>
      <c r="T1402" s="51">
        <f>IF(Q1402=1,IF(H1402&gt;=G1402,1,0),0)</f>
        <v/>
      </c>
      <c r="U1402" s="51">
        <f>S1402*T1402</f>
        <v/>
      </c>
      <c r="V1402" s="51">
        <f>IF(Q1402=1,MAX(0,F1402-E1402),0)</f>
        <v/>
      </c>
    </row>
    <row r="1403">
      <c r="A1403" s="43" t="inlineStr">
        <is>
          <t>PO101976</t>
        </is>
      </c>
      <c r="B1403" s="43" t="inlineStr">
        <is>
          <t>CMD-0109</t>
        </is>
      </c>
      <c r="C1403" s="43" t="inlineStr">
        <is>
          <t>S12</t>
        </is>
      </c>
      <c r="D1403" s="47" t="n">
        <v>46068</v>
      </c>
      <c r="E1403" s="47" t="n">
        <v>46075</v>
      </c>
      <c r="F1403" s="47" t="n">
        <v>46074</v>
      </c>
      <c r="G1403" s="46" t="n">
        <v>6779</v>
      </c>
      <c r="H1403" s="46" t="n">
        <v>6779</v>
      </c>
      <c r="I1403" s="46" t="n">
        <v>7</v>
      </c>
      <c r="J1403" s="44" t="n">
        <v>1.751</v>
      </c>
      <c r="K1403" s="43" t="inlineStr">
        <is>
          <t>Received</t>
        </is>
      </c>
      <c r="L1403" s="17">
        <f>INDEX(Items!$C$2:$C$117,MATCH(B1403,Items!$A$2:$A$117,0))</f>
        <v/>
      </c>
      <c r="M1403" s="49">
        <f>INDEX(Items!$E$2:$E$117,MATCH(B1403,Items!$A$2:$A$117,0))</f>
        <v/>
      </c>
      <c r="N1403" s="17">
        <f>TEXT(D1403,"yyyy-mm")</f>
        <v/>
      </c>
      <c r="O1403" s="50">
        <f>G1403*J1403</f>
        <v/>
      </c>
      <c r="P1403" s="50">
        <f>(J1403-M1403)*G1403</f>
        <v/>
      </c>
      <c r="Q1403" s="51">
        <f>IF(K1403="Received",1,0)</f>
        <v/>
      </c>
      <c r="R1403" s="51">
        <f>IF(Q1403=1,F1403-D1403,0)</f>
        <v/>
      </c>
      <c r="S1403" s="51">
        <f>IF(Q1403=1,IF(F1403&lt;=E1403,1,0),0)</f>
        <v/>
      </c>
      <c r="T1403" s="51">
        <f>IF(Q1403=1,IF(H1403&gt;=G1403,1,0),0)</f>
        <v/>
      </c>
      <c r="U1403" s="51">
        <f>S1403*T1403</f>
        <v/>
      </c>
      <c r="V1403" s="51">
        <f>IF(Q1403=1,MAX(0,F1403-E1403),0)</f>
        <v/>
      </c>
    </row>
    <row r="1404">
      <c r="A1404" s="43" t="inlineStr">
        <is>
          <t>PO100584</t>
        </is>
      </c>
      <c r="B1404" s="43" t="inlineStr">
        <is>
          <t>CMD-0026</t>
        </is>
      </c>
      <c r="C1404" s="43" t="inlineStr">
        <is>
          <t>S04</t>
        </is>
      </c>
      <c r="D1404" s="47" t="n">
        <v>46068</v>
      </c>
      <c r="E1404" s="47" t="n">
        <v>46138</v>
      </c>
      <c r="F1404" s="47" t="n">
        <v>46138</v>
      </c>
      <c r="G1404" s="46" t="n">
        <v>7965</v>
      </c>
      <c r="H1404" s="46" t="n">
        <v>7965</v>
      </c>
      <c r="I1404" s="46" t="n">
        <v>86</v>
      </c>
      <c r="J1404" s="44" t="n">
        <v>6.1388</v>
      </c>
      <c r="K1404" s="43" t="inlineStr">
        <is>
          <t>Received</t>
        </is>
      </c>
      <c r="L1404" s="17">
        <f>INDEX(Items!$C$2:$C$117,MATCH(B1404,Items!$A$2:$A$117,0))</f>
        <v/>
      </c>
      <c r="M1404" s="49">
        <f>INDEX(Items!$E$2:$E$117,MATCH(B1404,Items!$A$2:$A$117,0))</f>
        <v/>
      </c>
      <c r="N1404" s="17">
        <f>TEXT(D1404,"yyyy-mm")</f>
        <v/>
      </c>
      <c r="O1404" s="50">
        <f>G1404*J1404</f>
        <v/>
      </c>
      <c r="P1404" s="50">
        <f>(J1404-M1404)*G1404</f>
        <v/>
      </c>
      <c r="Q1404" s="51">
        <f>IF(K1404="Received",1,0)</f>
        <v/>
      </c>
      <c r="R1404" s="51">
        <f>IF(Q1404=1,F1404-D1404,0)</f>
        <v/>
      </c>
      <c r="S1404" s="51">
        <f>IF(Q1404=1,IF(F1404&lt;=E1404,1,0),0)</f>
        <v/>
      </c>
      <c r="T1404" s="51">
        <f>IF(Q1404=1,IF(H1404&gt;=G1404,1,0),0)</f>
        <v/>
      </c>
      <c r="U1404" s="51">
        <f>S1404*T1404</f>
        <v/>
      </c>
      <c r="V1404" s="51">
        <f>IF(Q1404=1,MAX(0,F1404-E1404),0)</f>
        <v/>
      </c>
    </row>
    <row r="1405">
      <c r="A1405" s="43" t="inlineStr">
        <is>
          <t>PO100208</t>
        </is>
      </c>
      <c r="B1405" s="43" t="inlineStr">
        <is>
          <t>CMD-0009</t>
        </is>
      </c>
      <c r="C1405" s="43" t="inlineStr">
        <is>
          <t>S11</t>
        </is>
      </c>
      <c r="D1405" s="47" t="n">
        <v>46068</v>
      </c>
      <c r="E1405" s="47" t="n">
        <v>46187</v>
      </c>
      <c r="F1405" s="47" t="n">
        <v>46186</v>
      </c>
      <c r="G1405" s="46" t="n">
        <v>6155</v>
      </c>
      <c r="H1405" s="46" t="n">
        <v>6155</v>
      </c>
      <c r="I1405" s="46" t="n">
        <v>10</v>
      </c>
      <c r="J1405" s="44" t="n">
        <v>7.4222</v>
      </c>
      <c r="K1405" s="43" t="inlineStr">
        <is>
          <t>Received</t>
        </is>
      </c>
      <c r="L1405" s="17">
        <f>INDEX(Items!$C$2:$C$117,MATCH(B1405,Items!$A$2:$A$117,0))</f>
        <v/>
      </c>
      <c r="M1405" s="49">
        <f>INDEX(Items!$E$2:$E$117,MATCH(B1405,Items!$A$2:$A$117,0))</f>
        <v/>
      </c>
      <c r="N1405" s="17">
        <f>TEXT(D1405,"yyyy-mm")</f>
        <v/>
      </c>
      <c r="O1405" s="50">
        <f>G1405*J1405</f>
        <v/>
      </c>
      <c r="P1405" s="50">
        <f>(J1405-M1405)*G1405</f>
        <v/>
      </c>
      <c r="Q1405" s="51">
        <f>IF(K1405="Received",1,0)</f>
        <v/>
      </c>
      <c r="R1405" s="51">
        <f>IF(Q1405=1,F1405-D1405,0)</f>
        <v/>
      </c>
      <c r="S1405" s="51">
        <f>IF(Q1405=1,IF(F1405&lt;=E1405,1,0),0)</f>
        <v/>
      </c>
      <c r="T1405" s="51">
        <f>IF(Q1405=1,IF(H1405&gt;=G1405,1,0),0)</f>
        <v/>
      </c>
      <c r="U1405" s="51">
        <f>S1405*T1405</f>
        <v/>
      </c>
      <c r="V1405" s="51">
        <f>IF(Q1405=1,MAX(0,F1405-E1405),0)</f>
        <v/>
      </c>
    </row>
    <row r="1406">
      <c r="A1406" s="43" t="inlineStr">
        <is>
          <t>PO100656</t>
        </is>
      </c>
      <c r="B1406" s="43" t="inlineStr">
        <is>
          <t>CMD-0029</t>
        </is>
      </c>
      <c r="C1406" s="43" t="inlineStr">
        <is>
          <t>S11</t>
        </is>
      </c>
      <c r="D1406" s="47" t="n">
        <v>46068</v>
      </c>
      <c r="E1406" s="47" t="n">
        <v>46145</v>
      </c>
      <c r="F1406" s="47" t="n">
        <v>46142</v>
      </c>
      <c r="G1406" s="46" t="n">
        <v>3900</v>
      </c>
      <c r="H1406" s="46" t="n">
        <v>3900</v>
      </c>
      <c r="I1406" s="46" t="n">
        <v>14</v>
      </c>
      <c r="J1406" s="44" t="n">
        <v>7.0761</v>
      </c>
      <c r="K1406" s="43" t="inlineStr">
        <is>
          <t>Received</t>
        </is>
      </c>
      <c r="L1406" s="17">
        <f>INDEX(Items!$C$2:$C$117,MATCH(B1406,Items!$A$2:$A$117,0))</f>
        <v/>
      </c>
      <c r="M1406" s="49">
        <f>INDEX(Items!$E$2:$E$117,MATCH(B1406,Items!$A$2:$A$117,0))</f>
        <v/>
      </c>
      <c r="N1406" s="17">
        <f>TEXT(D1406,"yyyy-mm")</f>
        <v/>
      </c>
      <c r="O1406" s="50">
        <f>G1406*J1406</f>
        <v/>
      </c>
      <c r="P1406" s="50">
        <f>(J1406-M1406)*G1406</f>
        <v/>
      </c>
      <c r="Q1406" s="51">
        <f>IF(K1406="Received",1,0)</f>
        <v/>
      </c>
      <c r="R1406" s="51">
        <f>IF(Q1406=1,F1406-D1406,0)</f>
        <v/>
      </c>
      <c r="S1406" s="51">
        <f>IF(Q1406=1,IF(F1406&lt;=E1406,1,0),0)</f>
        <v/>
      </c>
      <c r="T1406" s="51">
        <f>IF(Q1406=1,IF(H1406&gt;=G1406,1,0),0)</f>
        <v/>
      </c>
      <c r="U1406" s="51">
        <f>S1406*T1406</f>
        <v/>
      </c>
      <c r="V1406" s="51">
        <f>IF(Q1406=1,MAX(0,F1406-E1406),0)</f>
        <v/>
      </c>
    </row>
    <row r="1407">
      <c r="A1407" s="43" t="inlineStr">
        <is>
          <t>PO100786</t>
        </is>
      </c>
      <c r="B1407" s="43" t="inlineStr">
        <is>
          <t>CMD-0035</t>
        </is>
      </c>
      <c r="C1407" s="43" t="inlineStr">
        <is>
          <t>S01</t>
        </is>
      </c>
      <c r="D1407" s="47" t="n">
        <v>46068</v>
      </c>
      <c r="E1407" s="47" t="n">
        <v>46096</v>
      </c>
      <c r="F1407" s="47" t="n">
        <v>46094</v>
      </c>
      <c r="G1407" s="46" t="n">
        <v>679</v>
      </c>
      <c r="H1407" s="46" t="n">
        <v>679</v>
      </c>
      <c r="I1407" s="46" t="n">
        <v>4</v>
      </c>
      <c r="J1407" s="44" t="n">
        <v>9.6511</v>
      </c>
      <c r="K1407" s="43" t="inlineStr">
        <is>
          <t>Received</t>
        </is>
      </c>
      <c r="L1407" s="17">
        <f>INDEX(Items!$C$2:$C$117,MATCH(B1407,Items!$A$2:$A$117,0))</f>
        <v/>
      </c>
      <c r="M1407" s="49">
        <f>INDEX(Items!$E$2:$E$117,MATCH(B1407,Items!$A$2:$A$117,0))</f>
        <v/>
      </c>
      <c r="N1407" s="17">
        <f>TEXT(D1407,"yyyy-mm")</f>
        <v/>
      </c>
      <c r="O1407" s="50">
        <f>G1407*J1407</f>
        <v/>
      </c>
      <c r="P1407" s="50">
        <f>(J1407-M1407)*G1407</f>
        <v/>
      </c>
      <c r="Q1407" s="51">
        <f>IF(K1407="Received",1,0)</f>
        <v/>
      </c>
      <c r="R1407" s="51">
        <f>IF(Q1407=1,F1407-D1407,0)</f>
        <v/>
      </c>
      <c r="S1407" s="51">
        <f>IF(Q1407=1,IF(F1407&lt;=E1407,1,0),0)</f>
        <v/>
      </c>
      <c r="T1407" s="51">
        <f>IF(Q1407=1,IF(H1407&gt;=G1407,1,0),0)</f>
        <v/>
      </c>
      <c r="U1407" s="51">
        <f>S1407*T1407</f>
        <v/>
      </c>
      <c r="V1407" s="51">
        <f>IF(Q1407=1,MAX(0,F1407-E1407),0)</f>
        <v/>
      </c>
    </row>
    <row r="1408">
      <c r="A1408" s="43" t="inlineStr">
        <is>
          <t>PO101215</t>
        </is>
      </c>
      <c r="B1408" s="43" t="inlineStr">
        <is>
          <t>CMD-0056</t>
        </is>
      </c>
      <c r="C1408" s="43" t="inlineStr">
        <is>
          <t>S04</t>
        </is>
      </c>
      <c r="D1408" s="47" t="n">
        <v>46068</v>
      </c>
      <c r="E1408" s="47" t="n">
        <v>46103</v>
      </c>
      <c r="F1408" s="47" t="n">
        <v>46102</v>
      </c>
      <c r="G1408" s="46" t="n">
        <v>60704</v>
      </c>
      <c r="H1408" s="46" t="n">
        <v>60704</v>
      </c>
      <c r="I1408" s="46" t="n">
        <v>592</v>
      </c>
      <c r="J1408" s="44" t="n">
        <v>0.1045</v>
      </c>
      <c r="K1408" s="43" t="inlineStr">
        <is>
          <t>Received</t>
        </is>
      </c>
      <c r="L1408" s="17">
        <f>INDEX(Items!$C$2:$C$117,MATCH(B1408,Items!$A$2:$A$117,0))</f>
        <v/>
      </c>
      <c r="M1408" s="49">
        <f>INDEX(Items!$E$2:$E$117,MATCH(B1408,Items!$A$2:$A$117,0))</f>
        <v/>
      </c>
      <c r="N1408" s="17">
        <f>TEXT(D1408,"yyyy-mm")</f>
        <v/>
      </c>
      <c r="O1408" s="50">
        <f>G1408*J1408</f>
        <v/>
      </c>
      <c r="P1408" s="50">
        <f>(J1408-M1408)*G1408</f>
        <v/>
      </c>
      <c r="Q1408" s="51">
        <f>IF(K1408="Received",1,0)</f>
        <v/>
      </c>
      <c r="R1408" s="51">
        <f>IF(Q1408=1,F1408-D1408,0)</f>
        <v/>
      </c>
      <c r="S1408" s="51">
        <f>IF(Q1408=1,IF(F1408&lt;=E1408,1,0),0)</f>
        <v/>
      </c>
      <c r="T1408" s="51">
        <f>IF(Q1408=1,IF(H1408&gt;=G1408,1,0),0)</f>
        <v/>
      </c>
      <c r="U1408" s="51">
        <f>S1408*T1408</f>
        <v/>
      </c>
      <c r="V1408" s="51">
        <f>IF(Q1408=1,MAX(0,F1408-E1408),0)</f>
        <v/>
      </c>
    </row>
    <row r="1409">
      <c r="A1409" s="43" t="inlineStr">
        <is>
          <t>PO100332</t>
        </is>
      </c>
      <c r="B1409" s="43" t="inlineStr">
        <is>
          <t>CMD-0015</t>
        </is>
      </c>
      <c r="C1409" s="43" t="inlineStr">
        <is>
          <t>S03</t>
        </is>
      </c>
      <c r="D1409" s="47" t="n">
        <v>46069</v>
      </c>
      <c r="E1409" s="47" t="n">
        <v>46202</v>
      </c>
      <c r="F1409" s="47" t="n">
        <v>46201</v>
      </c>
      <c r="G1409" s="46" t="n">
        <v>3139</v>
      </c>
      <c r="H1409" s="46" t="n">
        <v>3139</v>
      </c>
      <c r="I1409" s="46" t="n">
        <v>18</v>
      </c>
      <c r="J1409" s="44" t="n">
        <v>6.6788</v>
      </c>
      <c r="K1409" s="43" t="inlineStr">
        <is>
          <t>Received</t>
        </is>
      </c>
      <c r="L1409" s="17">
        <f>INDEX(Items!$C$2:$C$117,MATCH(B1409,Items!$A$2:$A$117,0))</f>
        <v/>
      </c>
      <c r="M1409" s="49">
        <f>INDEX(Items!$E$2:$E$117,MATCH(B1409,Items!$A$2:$A$117,0))</f>
        <v/>
      </c>
      <c r="N1409" s="17">
        <f>TEXT(D1409,"yyyy-mm")</f>
        <v/>
      </c>
      <c r="O1409" s="50">
        <f>G1409*J1409</f>
        <v/>
      </c>
      <c r="P1409" s="50">
        <f>(J1409-M1409)*G1409</f>
        <v/>
      </c>
      <c r="Q1409" s="51">
        <f>IF(K1409="Received",1,0)</f>
        <v/>
      </c>
      <c r="R1409" s="51">
        <f>IF(Q1409=1,F1409-D1409,0)</f>
        <v/>
      </c>
      <c r="S1409" s="51">
        <f>IF(Q1409=1,IF(F1409&lt;=E1409,1,0),0)</f>
        <v/>
      </c>
      <c r="T1409" s="51">
        <f>IF(Q1409=1,IF(H1409&gt;=G1409,1,0),0)</f>
        <v/>
      </c>
      <c r="U1409" s="51">
        <f>S1409*T1409</f>
        <v/>
      </c>
      <c r="V1409" s="51">
        <f>IF(Q1409=1,MAX(0,F1409-E1409),0)</f>
        <v/>
      </c>
    </row>
    <row r="1410">
      <c r="A1410" s="43" t="inlineStr">
        <is>
          <t>PO100404</t>
        </is>
      </c>
      <c r="B1410" s="43" t="inlineStr">
        <is>
          <t>CMD-0018</t>
        </is>
      </c>
      <c r="C1410" s="43" t="inlineStr">
        <is>
          <t>S02</t>
        </is>
      </c>
      <c r="D1410" s="47" t="n">
        <v>46069</v>
      </c>
      <c r="E1410" s="47" t="n">
        <v>46125</v>
      </c>
      <c r="F1410" s="47" t="n">
        <v>46123</v>
      </c>
      <c r="G1410" s="46" t="n">
        <v>7834</v>
      </c>
      <c r="H1410" s="46" t="n">
        <v>7834</v>
      </c>
      <c r="I1410" s="46" t="n">
        <v>26</v>
      </c>
      <c r="J1410" s="44" t="n">
        <v>39.0576</v>
      </c>
      <c r="K1410" s="43" t="inlineStr">
        <is>
          <t>Received</t>
        </is>
      </c>
      <c r="L1410" s="17">
        <f>INDEX(Items!$C$2:$C$117,MATCH(B1410,Items!$A$2:$A$117,0))</f>
        <v/>
      </c>
      <c r="M1410" s="49">
        <f>INDEX(Items!$E$2:$E$117,MATCH(B1410,Items!$A$2:$A$117,0))</f>
        <v/>
      </c>
      <c r="N1410" s="17">
        <f>TEXT(D1410,"yyyy-mm")</f>
        <v/>
      </c>
      <c r="O1410" s="50">
        <f>G1410*J1410</f>
        <v/>
      </c>
      <c r="P1410" s="50">
        <f>(J1410-M1410)*G1410</f>
        <v/>
      </c>
      <c r="Q1410" s="51">
        <f>IF(K1410="Received",1,0)</f>
        <v/>
      </c>
      <c r="R1410" s="51">
        <f>IF(Q1410=1,F1410-D1410,0)</f>
        <v/>
      </c>
      <c r="S1410" s="51">
        <f>IF(Q1410=1,IF(F1410&lt;=E1410,1,0),0)</f>
        <v/>
      </c>
      <c r="T1410" s="51">
        <f>IF(Q1410=1,IF(H1410&gt;=G1410,1,0),0)</f>
        <v/>
      </c>
      <c r="U1410" s="51">
        <f>S1410*T1410</f>
        <v/>
      </c>
      <c r="V1410" s="51">
        <f>IF(Q1410=1,MAX(0,F1410-E1410),0)</f>
        <v/>
      </c>
    </row>
    <row r="1411">
      <c r="A1411" s="43" t="inlineStr">
        <is>
          <t>PO101634</t>
        </is>
      </c>
      <c r="B1411" s="43" t="inlineStr">
        <is>
          <t>CMD-0090</t>
        </is>
      </c>
      <c r="C1411" s="43" t="inlineStr">
        <is>
          <t>S01</t>
        </is>
      </c>
      <c r="D1411" s="47" t="n">
        <v>46069</v>
      </c>
      <c r="E1411" s="47" t="n">
        <v>46083</v>
      </c>
      <c r="F1411" s="47" t="n">
        <v>46082</v>
      </c>
      <c r="G1411" s="46" t="n">
        <v>4494</v>
      </c>
      <c r="H1411" s="46" t="n">
        <v>4494</v>
      </c>
      <c r="I1411" s="46" t="n">
        <v>12</v>
      </c>
      <c r="J1411" s="44" t="n">
        <v>7.1997</v>
      </c>
      <c r="K1411" s="43" t="inlineStr">
        <is>
          <t>Received</t>
        </is>
      </c>
      <c r="L1411" s="17">
        <f>INDEX(Items!$C$2:$C$117,MATCH(B1411,Items!$A$2:$A$117,0))</f>
        <v/>
      </c>
      <c r="M1411" s="49">
        <f>INDEX(Items!$E$2:$E$117,MATCH(B1411,Items!$A$2:$A$117,0))</f>
        <v/>
      </c>
      <c r="N1411" s="17">
        <f>TEXT(D1411,"yyyy-mm")</f>
        <v/>
      </c>
      <c r="O1411" s="50">
        <f>G1411*J1411</f>
        <v/>
      </c>
      <c r="P1411" s="50">
        <f>(J1411-M1411)*G1411</f>
        <v/>
      </c>
      <c r="Q1411" s="51">
        <f>IF(K1411="Received",1,0)</f>
        <v/>
      </c>
      <c r="R1411" s="51">
        <f>IF(Q1411=1,F1411-D1411,0)</f>
        <v/>
      </c>
      <c r="S1411" s="51">
        <f>IF(Q1411=1,IF(F1411&lt;=E1411,1,0),0)</f>
        <v/>
      </c>
      <c r="T1411" s="51">
        <f>IF(Q1411=1,IF(H1411&gt;=G1411,1,0),0)</f>
        <v/>
      </c>
      <c r="U1411" s="51">
        <f>S1411*T1411</f>
        <v/>
      </c>
      <c r="V1411" s="51">
        <f>IF(Q1411=1,MAX(0,F1411-E1411),0)</f>
        <v/>
      </c>
    </row>
    <row r="1412">
      <c r="A1412" s="43" t="inlineStr">
        <is>
          <t>PO100680</t>
        </is>
      </c>
      <c r="B1412" s="43" t="inlineStr">
        <is>
          <t>CMD-0030</t>
        </is>
      </c>
      <c r="C1412" s="43" t="inlineStr">
        <is>
          <t>S11</t>
        </is>
      </c>
      <c r="D1412" s="47" t="n">
        <v>46069</v>
      </c>
      <c r="E1412" s="47" t="n">
        <v>46146</v>
      </c>
      <c r="F1412" s="47" t="n">
        <v>46143</v>
      </c>
      <c r="G1412" s="46" t="n">
        <v>6500</v>
      </c>
      <c r="H1412" s="46" t="n">
        <v>6500</v>
      </c>
      <c r="I1412" s="46" t="n">
        <v>13</v>
      </c>
      <c r="J1412" s="44" t="n">
        <v>23.8857</v>
      </c>
      <c r="K1412" s="43" t="inlineStr">
        <is>
          <t>Received</t>
        </is>
      </c>
      <c r="L1412" s="17">
        <f>INDEX(Items!$C$2:$C$117,MATCH(B1412,Items!$A$2:$A$117,0))</f>
        <v/>
      </c>
      <c r="M1412" s="49">
        <f>INDEX(Items!$E$2:$E$117,MATCH(B1412,Items!$A$2:$A$117,0))</f>
        <v/>
      </c>
      <c r="N1412" s="17">
        <f>TEXT(D1412,"yyyy-mm")</f>
        <v/>
      </c>
      <c r="O1412" s="50">
        <f>G1412*J1412</f>
        <v/>
      </c>
      <c r="P1412" s="50">
        <f>(J1412-M1412)*G1412</f>
        <v/>
      </c>
      <c r="Q1412" s="51">
        <f>IF(K1412="Received",1,0)</f>
        <v/>
      </c>
      <c r="R1412" s="51">
        <f>IF(Q1412=1,F1412-D1412,0)</f>
        <v/>
      </c>
      <c r="S1412" s="51">
        <f>IF(Q1412=1,IF(F1412&lt;=E1412,1,0),0)</f>
        <v/>
      </c>
      <c r="T1412" s="51">
        <f>IF(Q1412=1,IF(H1412&gt;=G1412,1,0),0)</f>
        <v/>
      </c>
      <c r="U1412" s="51">
        <f>S1412*T1412</f>
        <v/>
      </c>
      <c r="V1412" s="51">
        <f>IF(Q1412=1,MAX(0,F1412-E1412),0)</f>
        <v/>
      </c>
    </row>
    <row r="1413">
      <c r="A1413" s="43" t="inlineStr">
        <is>
          <t>PO101730</t>
        </is>
      </c>
      <c r="B1413" s="43" t="inlineStr">
        <is>
          <t>CMD-0094</t>
        </is>
      </c>
      <c r="C1413" s="43" t="inlineStr">
        <is>
          <t>S08</t>
        </is>
      </c>
      <c r="D1413" s="47" t="n">
        <v>46069</v>
      </c>
      <c r="E1413" s="47" t="n">
        <v>46146</v>
      </c>
      <c r="F1413" s="47" t="n">
        <v>46144</v>
      </c>
      <c r="G1413" s="46" t="n">
        <v>417</v>
      </c>
      <c r="H1413" s="46" t="n">
        <v>417</v>
      </c>
      <c r="I1413" s="46" t="n">
        <v>7</v>
      </c>
      <c r="J1413" s="44" t="n">
        <v>76.31270000000001</v>
      </c>
      <c r="K1413" s="43" t="inlineStr">
        <is>
          <t>Received</t>
        </is>
      </c>
      <c r="L1413" s="17">
        <f>INDEX(Items!$C$2:$C$117,MATCH(B1413,Items!$A$2:$A$117,0))</f>
        <v/>
      </c>
      <c r="M1413" s="49">
        <f>INDEX(Items!$E$2:$E$117,MATCH(B1413,Items!$A$2:$A$117,0))</f>
        <v/>
      </c>
      <c r="N1413" s="17">
        <f>TEXT(D1413,"yyyy-mm")</f>
        <v/>
      </c>
      <c r="O1413" s="50">
        <f>G1413*J1413</f>
        <v/>
      </c>
      <c r="P1413" s="50">
        <f>(J1413-M1413)*G1413</f>
        <v/>
      </c>
      <c r="Q1413" s="51">
        <f>IF(K1413="Received",1,0)</f>
        <v/>
      </c>
      <c r="R1413" s="51">
        <f>IF(Q1413=1,F1413-D1413,0)</f>
        <v/>
      </c>
      <c r="S1413" s="51">
        <f>IF(Q1413=1,IF(F1413&lt;=E1413,1,0),0)</f>
        <v/>
      </c>
      <c r="T1413" s="51">
        <f>IF(Q1413=1,IF(H1413&gt;=G1413,1,0),0)</f>
        <v/>
      </c>
      <c r="U1413" s="51">
        <f>S1413*T1413</f>
        <v/>
      </c>
      <c r="V1413" s="51">
        <f>IF(Q1413=1,MAX(0,F1413-E1413),0)</f>
        <v/>
      </c>
    </row>
    <row r="1414">
      <c r="A1414" s="43" t="inlineStr">
        <is>
          <t>PO101198</t>
        </is>
      </c>
      <c r="B1414" s="43" t="inlineStr">
        <is>
          <t>CMD-0055</t>
        </is>
      </c>
      <c r="C1414" s="43" t="inlineStr">
        <is>
          <t>S04</t>
        </is>
      </c>
      <c r="D1414" s="47" t="n">
        <v>46069</v>
      </c>
      <c r="E1414" s="47" t="n">
        <v>46104</v>
      </c>
      <c r="F1414" s="47" t="n">
        <v>46101</v>
      </c>
      <c r="G1414" s="46" t="n">
        <v>122819</v>
      </c>
      <c r="H1414" s="46" t="n">
        <v>122819</v>
      </c>
      <c r="I1414" s="46" t="n">
        <v>1227</v>
      </c>
      <c r="J1414" s="44" t="n">
        <v>0.09660000000000001</v>
      </c>
      <c r="K1414" s="43" t="inlineStr">
        <is>
          <t>Received</t>
        </is>
      </c>
      <c r="L1414" s="17">
        <f>INDEX(Items!$C$2:$C$117,MATCH(B1414,Items!$A$2:$A$117,0))</f>
        <v/>
      </c>
      <c r="M1414" s="49">
        <f>INDEX(Items!$E$2:$E$117,MATCH(B1414,Items!$A$2:$A$117,0))</f>
        <v/>
      </c>
      <c r="N1414" s="17">
        <f>TEXT(D1414,"yyyy-mm")</f>
        <v/>
      </c>
      <c r="O1414" s="50">
        <f>G1414*J1414</f>
        <v/>
      </c>
      <c r="P1414" s="50">
        <f>(J1414-M1414)*G1414</f>
        <v/>
      </c>
      <c r="Q1414" s="51">
        <f>IF(K1414="Received",1,0)</f>
        <v/>
      </c>
      <c r="R1414" s="51">
        <f>IF(Q1414=1,F1414-D1414,0)</f>
        <v/>
      </c>
      <c r="S1414" s="51">
        <f>IF(Q1414=1,IF(F1414&lt;=E1414,1,0),0)</f>
        <v/>
      </c>
      <c r="T1414" s="51">
        <f>IF(Q1414=1,IF(H1414&gt;=G1414,1,0),0)</f>
        <v/>
      </c>
      <c r="U1414" s="51">
        <f>S1414*T1414</f>
        <v/>
      </c>
      <c r="V1414" s="51">
        <f>IF(Q1414=1,MAX(0,F1414-E1414),0)</f>
        <v/>
      </c>
    </row>
    <row r="1415">
      <c r="A1415" s="43" t="inlineStr">
        <is>
          <t>PO101115</t>
        </is>
      </c>
      <c r="B1415" s="43" t="inlineStr">
        <is>
          <t>CMD-0051</t>
        </is>
      </c>
      <c r="C1415" s="43" t="inlineStr">
        <is>
          <t>S01</t>
        </is>
      </c>
      <c r="D1415" s="47" t="n">
        <v>46069</v>
      </c>
      <c r="E1415" s="47" t="n">
        <v>46090</v>
      </c>
      <c r="F1415" s="47" t="n">
        <v>46087</v>
      </c>
      <c r="G1415" s="46" t="n">
        <v>232392</v>
      </c>
      <c r="H1415" s="46" t="n">
        <v>232392</v>
      </c>
      <c r="I1415" s="46" t="n">
        <v>426</v>
      </c>
      <c r="J1415" s="44" t="n">
        <v>0.0243</v>
      </c>
      <c r="K1415" s="43" t="inlineStr">
        <is>
          <t>Received</t>
        </is>
      </c>
      <c r="L1415" s="17">
        <f>INDEX(Items!$C$2:$C$117,MATCH(B1415,Items!$A$2:$A$117,0))</f>
        <v/>
      </c>
      <c r="M1415" s="49">
        <f>INDEX(Items!$E$2:$E$117,MATCH(B1415,Items!$A$2:$A$117,0))</f>
        <v/>
      </c>
      <c r="N1415" s="17">
        <f>TEXT(D1415,"yyyy-mm")</f>
        <v/>
      </c>
      <c r="O1415" s="50">
        <f>G1415*J1415</f>
        <v/>
      </c>
      <c r="P1415" s="50">
        <f>(J1415-M1415)*G1415</f>
        <v/>
      </c>
      <c r="Q1415" s="51">
        <f>IF(K1415="Received",1,0)</f>
        <v/>
      </c>
      <c r="R1415" s="51">
        <f>IF(Q1415=1,F1415-D1415,0)</f>
        <v/>
      </c>
      <c r="S1415" s="51">
        <f>IF(Q1415=1,IF(F1415&lt;=E1415,1,0),0)</f>
        <v/>
      </c>
      <c r="T1415" s="51">
        <f>IF(Q1415=1,IF(H1415&gt;=G1415,1,0),0)</f>
        <v/>
      </c>
      <c r="U1415" s="51">
        <f>S1415*T1415</f>
        <v/>
      </c>
      <c r="V1415" s="51">
        <f>IF(Q1415=1,MAX(0,F1415-E1415),0)</f>
        <v/>
      </c>
    </row>
    <row r="1416">
      <c r="A1416" s="43" t="inlineStr">
        <is>
          <t>PO100446</t>
        </is>
      </c>
      <c r="B1416" s="43" t="inlineStr">
        <is>
          <t>CMD-0020</t>
        </is>
      </c>
      <c r="C1416" s="43" t="inlineStr">
        <is>
          <t>S04</t>
        </is>
      </c>
      <c r="D1416" s="47" t="n">
        <v>46069</v>
      </c>
      <c r="E1416" s="47" t="n">
        <v>46139</v>
      </c>
      <c r="F1416" s="47" t="n">
        <v>46136</v>
      </c>
      <c r="G1416" s="46" t="n">
        <v>3514</v>
      </c>
      <c r="H1416" s="46" t="n">
        <v>3514</v>
      </c>
      <c r="I1416" s="46" t="n">
        <v>34</v>
      </c>
      <c r="J1416" s="44" t="n">
        <v>5.1809</v>
      </c>
      <c r="K1416" s="43" t="inlineStr">
        <is>
          <t>Received</t>
        </is>
      </c>
      <c r="L1416" s="17">
        <f>INDEX(Items!$C$2:$C$117,MATCH(B1416,Items!$A$2:$A$117,0))</f>
        <v/>
      </c>
      <c r="M1416" s="49">
        <f>INDEX(Items!$E$2:$E$117,MATCH(B1416,Items!$A$2:$A$117,0))</f>
        <v/>
      </c>
      <c r="N1416" s="17">
        <f>TEXT(D1416,"yyyy-mm")</f>
        <v/>
      </c>
      <c r="O1416" s="50">
        <f>G1416*J1416</f>
        <v/>
      </c>
      <c r="P1416" s="50">
        <f>(J1416-M1416)*G1416</f>
        <v/>
      </c>
      <c r="Q1416" s="51">
        <f>IF(K1416="Received",1,0)</f>
        <v/>
      </c>
      <c r="R1416" s="51">
        <f>IF(Q1416=1,F1416-D1416,0)</f>
        <v/>
      </c>
      <c r="S1416" s="51">
        <f>IF(Q1416=1,IF(F1416&lt;=E1416,1,0),0)</f>
        <v/>
      </c>
      <c r="T1416" s="51">
        <f>IF(Q1416=1,IF(H1416&gt;=G1416,1,0),0)</f>
        <v/>
      </c>
      <c r="U1416" s="51">
        <f>S1416*T1416</f>
        <v/>
      </c>
      <c r="V1416" s="51">
        <f>IF(Q1416=1,MAX(0,F1416-E1416),0)</f>
        <v/>
      </c>
    </row>
    <row r="1417">
      <c r="A1417" s="43" t="inlineStr">
        <is>
          <t>PO100232</t>
        </is>
      </c>
      <c r="B1417" s="43" t="inlineStr">
        <is>
          <t>CMD-0010</t>
        </is>
      </c>
      <c r="C1417" s="43" t="inlineStr">
        <is>
          <t>S03</t>
        </is>
      </c>
      <c r="D1417" s="47" t="n">
        <v>46070</v>
      </c>
      <c r="E1417" s="47" t="n">
        <v>46203</v>
      </c>
      <c r="F1417" s="47" t="n">
        <v>46203</v>
      </c>
      <c r="G1417" s="46" t="n">
        <v>3985</v>
      </c>
      <c r="H1417" s="46" t="n">
        <v>3985</v>
      </c>
      <c r="I1417" s="46" t="n">
        <v>24</v>
      </c>
      <c r="J1417" s="44" t="n">
        <v>5.4634</v>
      </c>
      <c r="K1417" s="43" t="inlineStr">
        <is>
          <t>Received</t>
        </is>
      </c>
      <c r="L1417" s="17">
        <f>INDEX(Items!$C$2:$C$117,MATCH(B1417,Items!$A$2:$A$117,0))</f>
        <v/>
      </c>
      <c r="M1417" s="49">
        <f>INDEX(Items!$E$2:$E$117,MATCH(B1417,Items!$A$2:$A$117,0))</f>
        <v/>
      </c>
      <c r="N1417" s="17">
        <f>TEXT(D1417,"yyyy-mm")</f>
        <v/>
      </c>
      <c r="O1417" s="50">
        <f>G1417*J1417</f>
        <v/>
      </c>
      <c r="P1417" s="50">
        <f>(J1417-M1417)*G1417</f>
        <v/>
      </c>
      <c r="Q1417" s="51">
        <f>IF(K1417="Received",1,0)</f>
        <v/>
      </c>
      <c r="R1417" s="51">
        <f>IF(Q1417=1,F1417-D1417,0)</f>
        <v/>
      </c>
      <c r="S1417" s="51">
        <f>IF(Q1417=1,IF(F1417&lt;=E1417,1,0),0)</f>
        <v/>
      </c>
      <c r="T1417" s="51">
        <f>IF(Q1417=1,IF(H1417&gt;=G1417,1,0),0)</f>
        <v/>
      </c>
      <c r="U1417" s="51">
        <f>S1417*T1417</f>
        <v/>
      </c>
      <c r="V1417" s="51">
        <f>IF(Q1417=1,MAX(0,F1417-E1417),0)</f>
        <v/>
      </c>
    </row>
    <row r="1418">
      <c r="A1418" s="43" t="inlineStr">
        <is>
          <t>PO100136</t>
        </is>
      </c>
      <c r="B1418" s="43" t="inlineStr">
        <is>
          <t>CMD-0006</t>
        </is>
      </c>
      <c r="C1418" s="43" t="inlineStr">
        <is>
          <t>S03</t>
        </is>
      </c>
      <c r="D1418" s="47" t="n">
        <v>46070</v>
      </c>
      <c r="E1418" s="47" t="n">
        <v>46203</v>
      </c>
      <c r="F1418" s="47" t="n">
        <v>46201</v>
      </c>
      <c r="G1418" s="46" t="n">
        <v>759</v>
      </c>
      <c r="H1418" s="46" t="n">
        <v>759</v>
      </c>
      <c r="I1418" s="46" t="n">
        <v>9</v>
      </c>
      <c r="J1418" s="44" t="n">
        <v>36.049</v>
      </c>
      <c r="K1418" s="43" t="inlineStr">
        <is>
          <t>Received</t>
        </is>
      </c>
      <c r="L1418" s="17">
        <f>INDEX(Items!$C$2:$C$117,MATCH(B1418,Items!$A$2:$A$117,0))</f>
        <v/>
      </c>
      <c r="M1418" s="49">
        <f>INDEX(Items!$E$2:$E$117,MATCH(B1418,Items!$A$2:$A$117,0))</f>
        <v/>
      </c>
      <c r="N1418" s="17">
        <f>TEXT(D1418,"yyyy-mm")</f>
        <v/>
      </c>
      <c r="O1418" s="50">
        <f>G1418*J1418</f>
        <v/>
      </c>
      <c r="P1418" s="50">
        <f>(J1418-M1418)*G1418</f>
        <v/>
      </c>
      <c r="Q1418" s="51">
        <f>IF(K1418="Received",1,0)</f>
        <v/>
      </c>
      <c r="R1418" s="51">
        <f>IF(Q1418=1,F1418-D1418,0)</f>
        <v/>
      </c>
      <c r="S1418" s="51">
        <f>IF(Q1418=1,IF(F1418&lt;=E1418,1,0),0)</f>
        <v/>
      </c>
      <c r="T1418" s="51">
        <f>IF(Q1418=1,IF(H1418&gt;=G1418,1,0),0)</f>
        <v/>
      </c>
      <c r="U1418" s="51">
        <f>S1418*T1418</f>
        <v/>
      </c>
      <c r="V1418" s="51">
        <f>IF(Q1418=1,MAX(0,F1418-E1418),0)</f>
        <v/>
      </c>
    </row>
    <row r="1419">
      <c r="A1419" s="43" t="inlineStr">
        <is>
          <t>PO101378</t>
        </is>
      </c>
      <c r="B1419" s="43" t="inlineStr">
        <is>
          <t>CMD-0070</t>
        </is>
      </c>
      <c r="C1419" s="43" t="inlineStr">
        <is>
          <t>S04</t>
        </is>
      </c>
      <c r="D1419" s="47" t="n">
        <v>46070</v>
      </c>
      <c r="E1419" s="47" t="n">
        <v>46105</v>
      </c>
      <c r="F1419" s="47" t="n">
        <v>46105</v>
      </c>
      <c r="G1419" s="46" t="n">
        <v>40048</v>
      </c>
      <c r="H1419" s="46" t="n">
        <v>40048</v>
      </c>
      <c r="I1419" s="46" t="n">
        <v>408</v>
      </c>
      <c r="J1419" s="44" t="n">
        <v>0.1452</v>
      </c>
      <c r="K1419" s="43" t="inlineStr">
        <is>
          <t>Received</t>
        </is>
      </c>
      <c r="L1419" s="17">
        <f>INDEX(Items!$C$2:$C$117,MATCH(B1419,Items!$A$2:$A$117,0))</f>
        <v/>
      </c>
      <c r="M1419" s="49">
        <f>INDEX(Items!$E$2:$E$117,MATCH(B1419,Items!$A$2:$A$117,0))</f>
        <v/>
      </c>
      <c r="N1419" s="17">
        <f>TEXT(D1419,"yyyy-mm")</f>
        <v/>
      </c>
      <c r="O1419" s="50">
        <f>G1419*J1419</f>
        <v/>
      </c>
      <c r="P1419" s="50">
        <f>(J1419-M1419)*G1419</f>
        <v/>
      </c>
      <c r="Q1419" s="51">
        <f>IF(K1419="Received",1,0)</f>
        <v/>
      </c>
      <c r="R1419" s="51">
        <f>IF(Q1419=1,F1419-D1419,0)</f>
        <v/>
      </c>
      <c r="S1419" s="51">
        <f>IF(Q1419=1,IF(F1419&lt;=E1419,1,0),0)</f>
        <v/>
      </c>
      <c r="T1419" s="51">
        <f>IF(Q1419=1,IF(H1419&gt;=G1419,1,0),0)</f>
        <v/>
      </c>
      <c r="U1419" s="51">
        <f>S1419*T1419</f>
        <v/>
      </c>
      <c r="V1419" s="51">
        <f>IF(Q1419=1,MAX(0,F1419-E1419),0)</f>
        <v/>
      </c>
    </row>
    <row r="1420">
      <c r="A1420" s="43" t="inlineStr">
        <is>
          <t>PO100488</t>
        </is>
      </c>
      <c r="B1420" s="43" t="inlineStr">
        <is>
          <t>CMD-0022</t>
        </is>
      </c>
      <c r="C1420" s="43" t="inlineStr">
        <is>
          <t>S02</t>
        </is>
      </c>
      <c r="D1420" s="47" t="n">
        <v>46070</v>
      </c>
      <c r="E1420" s="47" t="n">
        <v>46126</v>
      </c>
      <c r="F1420" s="47" t="n">
        <v>46134</v>
      </c>
      <c r="G1420" s="46" t="n">
        <v>4607</v>
      </c>
      <c r="H1420" s="46" t="n">
        <v>4607</v>
      </c>
      <c r="I1420" s="46" t="n">
        <v>19</v>
      </c>
      <c r="J1420" s="44" t="n">
        <v>17.6954</v>
      </c>
      <c r="K1420" s="43" t="inlineStr">
        <is>
          <t>Received</t>
        </is>
      </c>
      <c r="L1420" s="17">
        <f>INDEX(Items!$C$2:$C$117,MATCH(B1420,Items!$A$2:$A$117,0))</f>
        <v/>
      </c>
      <c r="M1420" s="49">
        <f>INDEX(Items!$E$2:$E$117,MATCH(B1420,Items!$A$2:$A$117,0))</f>
        <v/>
      </c>
      <c r="N1420" s="17">
        <f>TEXT(D1420,"yyyy-mm")</f>
        <v/>
      </c>
      <c r="O1420" s="50">
        <f>G1420*J1420</f>
        <v/>
      </c>
      <c r="P1420" s="50">
        <f>(J1420-M1420)*G1420</f>
        <v/>
      </c>
      <c r="Q1420" s="51">
        <f>IF(K1420="Received",1,0)</f>
        <v/>
      </c>
      <c r="R1420" s="51">
        <f>IF(Q1420=1,F1420-D1420,0)</f>
        <v/>
      </c>
      <c r="S1420" s="51">
        <f>IF(Q1420=1,IF(F1420&lt;=E1420,1,0),0)</f>
        <v/>
      </c>
      <c r="T1420" s="51">
        <f>IF(Q1420=1,IF(H1420&gt;=G1420,1,0),0)</f>
        <v/>
      </c>
      <c r="U1420" s="51">
        <f>S1420*T1420</f>
        <v/>
      </c>
      <c r="V1420" s="51">
        <f>IF(Q1420=1,MAX(0,F1420-E1420),0)</f>
        <v/>
      </c>
    </row>
    <row r="1421">
      <c r="A1421" s="43" t="inlineStr">
        <is>
          <t>PO101292</t>
        </is>
      </c>
      <c r="B1421" s="43" t="inlineStr">
        <is>
          <t>CMD-0062</t>
        </is>
      </c>
      <c r="C1421" s="43" t="inlineStr">
        <is>
          <t>S01</t>
        </is>
      </c>
      <c r="D1421" s="47" t="n">
        <v>46070</v>
      </c>
      <c r="E1421" s="47" t="n">
        <v>46091</v>
      </c>
      <c r="F1421" s="47" t="n">
        <v>46089</v>
      </c>
      <c r="G1421" s="46" t="n">
        <v>72410</v>
      </c>
      <c r="H1421" s="46" t="n">
        <v>72410</v>
      </c>
      <c r="I1421" s="46" t="n">
        <v>139</v>
      </c>
      <c r="J1421" s="44" t="n">
        <v>0.1173</v>
      </c>
      <c r="K1421" s="43" t="inlineStr">
        <is>
          <t>Received</t>
        </is>
      </c>
      <c r="L1421" s="17">
        <f>INDEX(Items!$C$2:$C$117,MATCH(B1421,Items!$A$2:$A$117,0))</f>
        <v/>
      </c>
      <c r="M1421" s="49">
        <f>INDEX(Items!$E$2:$E$117,MATCH(B1421,Items!$A$2:$A$117,0))</f>
        <v/>
      </c>
      <c r="N1421" s="17">
        <f>TEXT(D1421,"yyyy-mm")</f>
        <v/>
      </c>
      <c r="O1421" s="50">
        <f>G1421*J1421</f>
        <v/>
      </c>
      <c r="P1421" s="50">
        <f>(J1421-M1421)*G1421</f>
        <v/>
      </c>
      <c r="Q1421" s="51">
        <f>IF(K1421="Received",1,0)</f>
        <v/>
      </c>
      <c r="R1421" s="51">
        <f>IF(Q1421=1,F1421-D1421,0)</f>
        <v/>
      </c>
      <c r="S1421" s="51">
        <f>IF(Q1421=1,IF(F1421&lt;=E1421,1,0),0)</f>
        <v/>
      </c>
      <c r="T1421" s="51">
        <f>IF(Q1421=1,IF(H1421&gt;=G1421,1,0),0)</f>
        <v/>
      </c>
      <c r="U1421" s="51">
        <f>S1421*T1421</f>
        <v/>
      </c>
      <c r="V1421" s="51">
        <f>IF(Q1421=1,MAX(0,F1421-E1421),0)</f>
        <v/>
      </c>
    </row>
    <row r="1422">
      <c r="A1422" s="43" t="inlineStr">
        <is>
          <t>PO101706</t>
        </is>
      </c>
      <c r="B1422" s="43" t="inlineStr">
        <is>
          <t>CMD-0093</t>
        </is>
      </c>
      <c r="C1422" s="43" t="inlineStr">
        <is>
          <t>S08</t>
        </is>
      </c>
      <c r="D1422" s="47" t="n">
        <v>46070</v>
      </c>
      <c r="E1422" s="47" t="n">
        <v>46147</v>
      </c>
      <c r="F1422" s="47" t="n">
        <v>46145</v>
      </c>
      <c r="G1422" s="46" t="n">
        <v>762</v>
      </c>
      <c r="H1422" s="46" t="n">
        <v>762</v>
      </c>
      <c r="I1422" s="46" t="n">
        <v>10</v>
      </c>
      <c r="J1422" s="44" t="n">
        <v>61.1923</v>
      </c>
      <c r="K1422" s="43" t="inlineStr">
        <is>
          <t>Received</t>
        </is>
      </c>
      <c r="L1422" s="17">
        <f>INDEX(Items!$C$2:$C$117,MATCH(B1422,Items!$A$2:$A$117,0))</f>
        <v/>
      </c>
      <c r="M1422" s="49">
        <f>INDEX(Items!$E$2:$E$117,MATCH(B1422,Items!$A$2:$A$117,0))</f>
        <v/>
      </c>
      <c r="N1422" s="17">
        <f>TEXT(D1422,"yyyy-mm")</f>
        <v/>
      </c>
      <c r="O1422" s="50">
        <f>G1422*J1422</f>
        <v/>
      </c>
      <c r="P1422" s="50">
        <f>(J1422-M1422)*G1422</f>
        <v/>
      </c>
      <c r="Q1422" s="51">
        <f>IF(K1422="Received",1,0)</f>
        <v/>
      </c>
      <c r="R1422" s="51">
        <f>IF(Q1422=1,F1422-D1422,0)</f>
        <v/>
      </c>
      <c r="S1422" s="51">
        <f>IF(Q1422=1,IF(F1422&lt;=E1422,1,0),0)</f>
        <v/>
      </c>
      <c r="T1422" s="51">
        <f>IF(Q1422=1,IF(H1422&gt;=G1422,1,0),0)</f>
        <v/>
      </c>
      <c r="U1422" s="51">
        <f>S1422*T1422</f>
        <v/>
      </c>
      <c r="V1422" s="51">
        <f>IF(Q1422=1,MAX(0,F1422-E1422),0)</f>
        <v/>
      </c>
    </row>
    <row r="1423">
      <c r="A1423" s="43" t="inlineStr">
        <is>
          <t>PO100424</t>
        </is>
      </c>
      <c r="B1423" s="43" t="inlineStr">
        <is>
          <t>CMD-0019</t>
        </is>
      </c>
      <c r="C1423" s="43" t="inlineStr">
        <is>
          <t>S11</t>
        </is>
      </c>
      <c r="D1423" s="47" t="n">
        <v>46070</v>
      </c>
      <c r="E1423" s="47" t="n">
        <v>46147</v>
      </c>
      <c r="F1423" s="47" t="n">
        <v>46147</v>
      </c>
      <c r="G1423" s="46" t="n">
        <v>967</v>
      </c>
      <c r="H1423" s="46" t="n">
        <v>967</v>
      </c>
      <c r="I1423" s="46" t="n">
        <v>0</v>
      </c>
      <c r="J1423" s="44" t="n">
        <v>7.4675</v>
      </c>
      <c r="K1423" s="43" t="inlineStr">
        <is>
          <t>Received</t>
        </is>
      </c>
      <c r="L1423" s="17">
        <f>INDEX(Items!$C$2:$C$117,MATCH(B1423,Items!$A$2:$A$117,0))</f>
        <v/>
      </c>
      <c r="M1423" s="49">
        <f>INDEX(Items!$E$2:$E$117,MATCH(B1423,Items!$A$2:$A$117,0))</f>
        <v/>
      </c>
      <c r="N1423" s="17">
        <f>TEXT(D1423,"yyyy-mm")</f>
        <v/>
      </c>
      <c r="O1423" s="50">
        <f>G1423*J1423</f>
        <v/>
      </c>
      <c r="P1423" s="50">
        <f>(J1423-M1423)*G1423</f>
        <v/>
      </c>
      <c r="Q1423" s="51">
        <f>IF(K1423="Received",1,0)</f>
        <v/>
      </c>
      <c r="R1423" s="51">
        <f>IF(Q1423=1,F1423-D1423,0)</f>
        <v/>
      </c>
      <c r="S1423" s="51">
        <f>IF(Q1423=1,IF(F1423&lt;=E1423,1,0),0)</f>
        <v/>
      </c>
      <c r="T1423" s="51">
        <f>IF(Q1423=1,IF(H1423&gt;=G1423,1,0),0)</f>
        <v/>
      </c>
      <c r="U1423" s="51">
        <f>S1423*T1423</f>
        <v/>
      </c>
      <c r="V1423" s="51">
        <f>IF(Q1423=1,MAX(0,F1423-E1423),0)</f>
        <v/>
      </c>
    </row>
    <row r="1424">
      <c r="A1424" s="43" t="inlineStr">
        <is>
          <t>PO100974</t>
        </is>
      </c>
      <c r="B1424" s="43" t="inlineStr">
        <is>
          <t>CMD-0044</t>
        </is>
      </c>
      <c r="C1424" s="43" t="inlineStr">
        <is>
          <t>S05</t>
        </is>
      </c>
      <c r="D1424" s="47" t="n">
        <v>46070</v>
      </c>
      <c r="E1424" s="47" t="n">
        <v>46175</v>
      </c>
      <c r="F1424" s="47" t="n">
        <v>46174</v>
      </c>
      <c r="G1424" s="46" t="n">
        <v>5537</v>
      </c>
      <c r="H1424" s="46" t="n">
        <v>5537</v>
      </c>
      <c r="I1424" s="46" t="n">
        <v>118</v>
      </c>
      <c r="J1424" s="44" t="n">
        <v>11.9171</v>
      </c>
      <c r="K1424" s="43" t="inlineStr">
        <is>
          <t>Received</t>
        </is>
      </c>
      <c r="L1424" s="17">
        <f>INDEX(Items!$C$2:$C$117,MATCH(B1424,Items!$A$2:$A$117,0))</f>
        <v/>
      </c>
      <c r="M1424" s="49">
        <f>INDEX(Items!$E$2:$E$117,MATCH(B1424,Items!$A$2:$A$117,0))</f>
        <v/>
      </c>
      <c r="N1424" s="17">
        <f>TEXT(D1424,"yyyy-mm")</f>
        <v/>
      </c>
      <c r="O1424" s="50">
        <f>G1424*J1424</f>
        <v/>
      </c>
      <c r="P1424" s="50">
        <f>(J1424-M1424)*G1424</f>
        <v/>
      </c>
      <c r="Q1424" s="51">
        <f>IF(K1424="Received",1,0)</f>
        <v/>
      </c>
      <c r="R1424" s="51">
        <f>IF(Q1424=1,F1424-D1424,0)</f>
        <v/>
      </c>
      <c r="S1424" s="51">
        <f>IF(Q1424=1,IF(F1424&lt;=E1424,1,0),0)</f>
        <v/>
      </c>
      <c r="T1424" s="51">
        <f>IF(Q1424=1,IF(H1424&gt;=G1424,1,0),0)</f>
        <v/>
      </c>
      <c r="U1424" s="51">
        <f>S1424*T1424</f>
        <v/>
      </c>
      <c r="V1424" s="51">
        <f>IF(Q1424=1,MAX(0,F1424-E1424),0)</f>
        <v/>
      </c>
    </row>
    <row r="1425">
      <c r="A1425" s="43" t="inlineStr">
        <is>
          <t>PO101798</t>
        </is>
      </c>
      <c r="B1425" s="43" t="inlineStr">
        <is>
          <t>CMD-0097</t>
        </is>
      </c>
      <c r="C1425" s="43" t="inlineStr">
        <is>
          <t>S09</t>
        </is>
      </c>
      <c r="D1425" s="47" t="n">
        <v>46071</v>
      </c>
      <c r="E1425" s="47" t="n">
        <v>46092</v>
      </c>
      <c r="F1425" s="47" t="n">
        <v>46092</v>
      </c>
      <c r="G1425" s="46" t="n">
        <v>644</v>
      </c>
      <c r="H1425" s="46" t="n">
        <v>644</v>
      </c>
      <c r="I1425" s="46" t="n">
        <v>1</v>
      </c>
      <c r="J1425" s="44" t="n">
        <v>9.5481</v>
      </c>
      <c r="K1425" s="43" t="inlineStr">
        <is>
          <t>Received</t>
        </is>
      </c>
      <c r="L1425" s="17">
        <f>INDEX(Items!$C$2:$C$117,MATCH(B1425,Items!$A$2:$A$117,0))</f>
        <v/>
      </c>
      <c r="M1425" s="49">
        <f>INDEX(Items!$E$2:$E$117,MATCH(B1425,Items!$A$2:$A$117,0))</f>
        <v/>
      </c>
      <c r="N1425" s="17">
        <f>TEXT(D1425,"yyyy-mm")</f>
        <v/>
      </c>
      <c r="O1425" s="50">
        <f>G1425*J1425</f>
        <v/>
      </c>
      <c r="P1425" s="50">
        <f>(J1425-M1425)*G1425</f>
        <v/>
      </c>
      <c r="Q1425" s="51">
        <f>IF(K1425="Received",1,0)</f>
        <v/>
      </c>
      <c r="R1425" s="51">
        <f>IF(Q1425=1,F1425-D1425,0)</f>
        <v/>
      </c>
      <c r="S1425" s="51">
        <f>IF(Q1425=1,IF(F1425&lt;=E1425,1,0),0)</f>
        <v/>
      </c>
      <c r="T1425" s="51">
        <f>IF(Q1425=1,IF(H1425&gt;=G1425,1,0),0)</f>
        <v/>
      </c>
      <c r="U1425" s="51">
        <f>S1425*T1425</f>
        <v/>
      </c>
      <c r="V1425" s="51">
        <f>IF(Q1425=1,MAX(0,F1425-E1425),0)</f>
        <v/>
      </c>
    </row>
    <row r="1426">
      <c r="A1426" s="43" t="inlineStr">
        <is>
          <t>PO101496</t>
        </is>
      </c>
      <c r="B1426" s="43" t="inlineStr">
        <is>
          <t>CMD-0079</t>
        </is>
      </c>
      <c r="C1426" s="43" t="inlineStr">
        <is>
          <t>S06</t>
        </is>
      </c>
      <c r="D1426" s="47" t="n">
        <v>46071</v>
      </c>
      <c r="E1426" s="47" t="n">
        <v>46092</v>
      </c>
      <c r="F1426" s="47" t="n">
        <v>46091</v>
      </c>
      <c r="G1426" s="46" t="n">
        <v>2254</v>
      </c>
      <c r="H1426" s="46" t="n">
        <v>2254</v>
      </c>
      <c r="I1426" s="46" t="n">
        <v>14</v>
      </c>
      <c r="J1426" s="44" t="n">
        <v>3.6359</v>
      </c>
      <c r="K1426" s="43" t="inlineStr">
        <is>
          <t>Received</t>
        </is>
      </c>
      <c r="L1426" s="17">
        <f>INDEX(Items!$C$2:$C$117,MATCH(B1426,Items!$A$2:$A$117,0))</f>
        <v/>
      </c>
      <c r="M1426" s="49">
        <f>INDEX(Items!$E$2:$E$117,MATCH(B1426,Items!$A$2:$A$117,0))</f>
        <v/>
      </c>
      <c r="N1426" s="17">
        <f>TEXT(D1426,"yyyy-mm")</f>
        <v/>
      </c>
      <c r="O1426" s="50">
        <f>G1426*J1426</f>
        <v/>
      </c>
      <c r="P1426" s="50">
        <f>(J1426-M1426)*G1426</f>
        <v/>
      </c>
      <c r="Q1426" s="51">
        <f>IF(K1426="Received",1,0)</f>
        <v/>
      </c>
      <c r="R1426" s="51">
        <f>IF(Q1426=1,F1426-D1426,0)</f>
        <v/>
      </c>
      <c r="S1426" s="51">
        <f>IF(Q1426=1,IF(F1426&lt;=E1426,1,0),0)</f>
        <v/>
      </c>
      <c r="T1426" s="51">
        <f>IF(Q1426=1,IF(H1426&gt;=G1426,1,0),0)</f>
        <v/>
      </c>
      <c r="U1426" s="51">
        <f>S1426*T1426</f>
        <v/>
      </c>
      <c r="V1426" s="51">
        <f>IF(Q1426=1,MAX(0,F1426-E1426),0)</f>
        <v/>
      </c>
    </row>
    <row r="1427">
      <c r="A1427" s="43" t="inlineStr">
        <is>
          <t>PO100016</t>
        </is>
      </c>
      <c r="B1427" s="43" t="inlineStr">
        <is>
          <t>CMD-0001</t>
        </is>
      </c>
      <c r="C1427" s="43" t="inlineStr">
        <is>
          <t>S07</t>
        </is>
      </c>
      <c r="D1427" s="47" t="n">
        <v>46071</v>
      </c>
      <c r="E1427" s="47" t="n">
        <v>46162</v>
      </c>
      <c r="F1427" s="47" t="n">
        <v>46162</v>
      </c>
      <c r="G1427" s="46" t="n">
        <v>7694</v>
      </c>
      <c r="H1427" s="46" t="n">
        <v>7694</v>
      </c>
      <c r="I1427" s="46" t="n">
        <v>56</v>
      </c>
      <c r="J1427" s="44" t="n">
        <v>16.8268</v>
      </c>
      <c r="K1427" s="43" t="inlineStr">
        <is>
          <t>Received</t>
        </is>
      </c>
      <c r="L1427" s="17">
        <f>INDEX(Items!$C$2:$C$117,MATCH(B1427,Items!$A$2:$A$117,0))</f>
        <v/>
      </c>
      <c r="M1427" s="49">
        <f>INDEX(Items!$E$2:$E$117,MATCH(B1427,Items!$A$2:$A$117,0))</f>
        <v/>
      </c>
      <c r="N1427" s="17">
        <f>TEXT(D1427,"yyyy-mm")</f>
        <v/>
      </c>
      <c r="O1427" s="50">
        <f>G1427*J1427</f>
        <v/>
      </c>
      <c r="P1427" s="50">
        <f>(J1427-M1427)*G1427</f>
        <v/>
      </c>
      <c r="Q1427" s="51">
        <f>IF(K1427="Received",1,0)</f>
        <v/>
      </c>
      <c r="R1427" s="51">
        <f>IF(Q1427=1,F1427-D1427,0)</f>
        <v/>
      </c>
      <c r="S1427" s="51">
        <f>IF(Q1427=1,IF(F1427&lt;=E1427,1,0),0)</f>
        <v/>
      </c>
      <c r="T1427" s="51">
        <f>IF(Q1427=1,IF(H1427&gt;=G1427,1,0),0)</f>
        <v/>
      </c>
      <c r="U1427" s="51">
        <f>S1427*T1427</f>
        <v/>
      </c>
      <c r="V1427" s="51">
        <f>IF(Q1427=1,MAX(0,F1427-E1427),0)</f>
        <v/>
      </c>
    </row>
    <row r="1428">
      <c r="A1428" s="43" t="inlineStr">
        <is>
          <t>PO100160</t>
        </is>
      </c>
      <c r="B1428" s="43" t="inlineStr">
        <is>
          <t>CMD-0007</t>
        </is>
      </c>
      <c r="C1428" s="43" t="inlineStr">
        <is>
          <t>S03</t>
        </is>
      </c>
      <c r="D1428" s="47" t="n">
        <v>46071</v>
      </c>
      <c r="E1428" s="47" t="n">
        <v>46204</v>
      </c>
      <c r="F1428" s="47" t="n">
        <v>46201</v>
      </c>
      <c r="G1428" s="46" t="n">
        <v>3668</v>
      </c>
      <c r="H1428" s="46" t="n">
        <v>3024</v>
      </c>
      <c r="I1428" s="46" t="n">
        <v>31</v>
      </c>
      <c r="J1428" s="44" t="n">
        <v>22.8802</v>
      </c>
      <c r="K1428" s="43" t="inlineStr">
        <is>
          <t>Received</t>
        </is>
      </c>
      <c r="L1428" s="17">
        <f>INDEX(Items!$C$2:$C$117,MATCH(B1428,Items!$A$2:$A$117,0))</f>
        <v/>
      </c>
      <c r="M1428" s="49">
        <f>INDEX(Items!$E$2:$E$117,MATCH(B1428,Items!$A$2:$A$117,0))</f>
        <v/>
      </c>
      <c r="N1428" s="17">
        <f>TEXT(D1428,"yyyy-mm")</f>
        <v/>
      </c>
      <c r="O1428" s="50">
        <f>G1428*J1428</f>
        <v/>
      </c>
      <c r="P1428" s="50">
        <f>(J1428-M1428)*G1428</f>
        <v/>
      </c>
      <c r="Q1428" s="51">
        <f>IF(K1428="Received",1,0)</f>
        <v/>
      </c>
      <c r="R1428" s="51">
        <f>IF(Q1428=1,F1428-D1428,0)</f>
        <v/>
      </c>
      <c r="S1428" s="51">
        <f>IF(Q1428=1,IF(F1428&lt;=E1428,1,0),0)</f>
        <v/>
      </c>
      <c r="T1428" s="51">
        <f>IF(Q1428=1,IF(H1428&gt;=G1428,1,0),0)</f>
        <v/>
      </c>
      <c r="U1428" s="51">
        <f>S1428*T1428</f>
        <v/>
      </c>
      <c r="V1428" s="51">
        <f>IF(Q1428=1,MAX(0,F1428-E1428),0)</f>
        <v/>
      </c>
    </row>
    <row r="1429">
      <c r="A1429" s="43" t="inlineStr">
        <is>
          <t>PO100998</t>
        </is>
      </c>
      <c r="B1429" s="43" t="inlineStr">
        <is>
          <t>CMD-0045</t>
        </is>
      </c>
      <c r="C1429" s="43" t="inlineStr">
        <is>
          <t>S05</t>
        </is>
      </c>
      <c r="D1429" s="47" t="n">
        <v>46071</v>
      </c>
      <c r="E1429" s="47" t="n">
        <v>46176</v>
      </c>
      <c r="F1429" s="47" t="n">
        <v>46176</v>
      </c>
      <c r="G1429" s="46" t="n">
        <v>3888</v>
      </c>
      <c r="H1429" s="46" t="n">
        <v>2363</v>
      </c>
      <c r="I1429" s="46" t="n">
        <v>50</v>
      </c>
      <c r="J1429" s="44" t="n">
        <v>9.2597</v>
      </c>
      <c r="K1429" s="43" t="inlineStr">
        <is>
          <t>Received</t>
        </is>
      </c>
      <c r="L1429" s="17">
        <f>INDEX(Items!$C$2:$C$117,MATCH(B1429,Items!$A$2:$A$117,0))</f>
        <v/>
      </c>
      <c r="M1429" s="49">
        <f>INDEX(Items!$E$2:$E$117,MATCH(B1429,Items!$A$2:$A$117,0))</f>
        <v/>
      </c>
      <c r="N1429" s="17">
        <f>TEXT(D1429,"yyyy-mm")</f>
        <v/>
      </c>
      <c r="O1429" s="50">
        <f>G1429*J1429</f>
        <v/>
      </c>
      <c r="P1429" s="50">
        <f>(J1429-M1429)*G1429</f>
        <v/>
      </c>
      <c r="Q1429" s="51">
        <f>IF(K1429="Received",1,0)</f>
        <v/>
      </c>
      <c r="R1429" s="51">
        <f>IF(Q1429=1,F1429-D1429,0)</f>
        <v/>
      </c>
      <c r="S1429" s="51">
        <f>IF(Q1429=1,IF(F1429&lt;=E1429,1,0),0)</f>
        <v/>
      </c>
      <c r="T1429" s="51">
        <f>IF(Q1429=1,IF(H1429&gt;=G1429,1,0),0)</f>
        <v/>
      </c>
      <c r="U1429" s="51">
        <f>S1429*T1429</f>
        <v/>
      </c>
      <c r="V1429" s="51">
        <f>IF(Q1429=1,MAX(0,F1429-E1429),0)</f>
        <v/>
      </c>
    </row>
    <row r="1430">
      <c r="A1430" s="43" t="inlineStr">
        <is>
          <t>PO100560</t>
        </is>
      </c>
      <c r="B1430" s="43" t="inlineStr">
        <is>
          <t>CMD-0025</t>
        </is>
      </c>
      <c r="C1430" s="43" t="inlineStr">
        <is>
          <t>S02</t>
        </is>
      </c>
      <c r="D1430" s="47" t="n">
        <v>46071</v>
      </c>
      <c r="E1430" s="47" t="n">
        <v>46127</v>
      </c>
      <c r="F1430" s="47" t="n">
        <v>46142</v>
      </c>
      <c r="G1430" s="46" t="n">
        <v>1081</v>
      </c>
      <c r="H1430" s="46" t="n">
        <v>1081</v>
      </c>
      <c r="I1430" s="46" t="n">
        <v>6</v>
      </c>
      <c r="J1430" s="44" t="n">
        <v>10.8356</v>
      </c>
      <c r="K1430" s="43" t="inlineStr">
        <is>
          <t>Received</t>
        </is>
      </c>
      <c r="L1430" s="17">
        <f>INDEX(Items!$C$2:$C$117,MATCH(B1430,Items!$A$2:$A$117,0))</f>
        <v/>
      </c>
      <c r="M1430" s="49">
        <f>INDEX(Items!$E$2:$E$117,MATCH(B1430,Items!$A$2:$A$117,0))</f>
        <v/>
      </c>
      <c r="N1430" s="17">
        <f>TEXT(D1430,"yyyy-mm")</f>
        <v/>
      </c>
      <c r="O1430" s="50">
        <f>G1430*J1430</f>
        <v/>
      </c>
      <c r="P1430" s="50">
        <f>(J1430-M1430)*G1430</f>
        <v/>
      </c>
      <c r="Q1430" s="51">
        <f>IF(K1430="Received",1,0)</f>
        <v/>
      </c>
      <c r="R1430" s="51">
        <f>IF(Q1430=1,F1430-D1430,0)</f>
        <v/>
      </c>
      <c r="S1430" s="51">
        <f>IF(Q1430=1,IF(F1430&lt;=E1430,1,0),0)</f>
        <v/>
      </c>
      <c r="T1430" s="51">
        <f>IF(Q1430=1,IF(H1430&gt;=G1430,1,0),0)</f>
        <v/>
      </c>
      <c r="U1430" s="51">
        <f>S1430*T1430</f>
        <v/>
      </c>
      <c r="V1430" s="51">
        <f>IF(Q1430=1,MAX(0,F1430-E1430),0)</f>
        <v/>
      </c>
    </row>
    <row r="1431">
      <c r="A1431" s="43" t="inlineStr">
        <is>
          <t>PO100632</t>
        </is>
      </c>
      <c r="B1431" s="43" t="inlineStr">
        <is>
          <t>CMD-0028</t>
        </is>
      </c>
      <c r="C1431" s="43" t="inlineStr">
        <is>
          <t>S11</t>
        </is>
      </c>
      <c r="D1431" s="47" t="n">
        <v>46071</v>
      </c>
      <c r="E1431" s="47" t="n">
        <v>46148</v>
      </c>
      <c r="F1431" s="47" t="n">
        <v>46147</v>
      </c>
      <c r="G1431" s="46" t="n">
        <v>3418</v>
      </c>
      <c r="H1431" s="46" t="n">
        <v>3418</v>
      </c>
      <c r="I1431" s="46" t="n">
        <v>9</v>
      </c>
      <c r="J1431" s="44" t="n">
        <v>16.3152</v>
      </c>
      <c r="K1431" s="43" t="inlineStr">
        <is>
          <t>Received</t>
        </is>
      </c>
      <c r="L1431" s="17">
        <f>INDEX(Items!$C$2:$C$117,MATCH(B1431,Items!$A$2:$A$117,0))</f>
        <v/>
      </c>
      <c r="M1431" s="49">
        <f>INDEX(Items!$E$2:$E$117,MATCH(B1431,Items!$A$2:$A$117,0))</f>
        <v/>
      </c>
      <c r="N1431" s="17">
        <f>TEXT(D1431,"yyyy-mm")</f>
        <v/>
      </c>
      <c r="O1431" s="50">
        <f>G1431*J1431</f>
        <v/>
      </c>
      <c r="P1431" s="50">
        <f>(J1431-M1431)*G1431</f>
        <v/>
      </c>
      <c r="Q1431" s="51">
        <f>IF(K1431="Received",1,0)</f>
        <v/>
      </c>
      <c r="R1431" s="51">
        <f>IF(Q1431=1,F1431-D1431,0)</f>
        <v/>
      </c>
      <c r="S1431" s="51">
        <f>IF(Q1431=1,IF(F1431&lt;=E1431,1,0),0)</f>
        <v/>
      </c>
      <c r="T1431" s="51">
        <f>IF(Q1431=1,IF(H1431&gt;=G1431,1,0),0)</f>
        <v/>
      </c>
      <c r="U1431" s="51">
        <f>S1431*T1431</f>
        <v/>
      </c>
      <c r="V1431" s="51">
        <f>IF(Q1431=1,MAX(0,F1431-E1431),0)</f>
        <v/>
      </c>
    </row>
    <row r="1432">
      <c r="A1432" s="43" t="inlineStr">
        <is>
          <t>PO101412</t>
        </is>
      </c>
      <c r="B1432" s="43" t="inlineStr">
        <is>
          <t>CMD-0074</t>
        </is>
      </c>
      <c r="C1432" s="43" t="inlineStr">
        <is>
          <t>S10</t>
        </is>
      </c>
      <c r="D1432" s="47" t="n">
        <v>46071</v>
      </c>
      <c r="E1432" s="47" t="n">
        <v>46099</v>
      </c>
      <c r="F1432" s="47" t="n">
        <v>46097</v>
      </c>
      <c r="G1432" s="46" t="n">
        <v>55462</v>
      </c>
      <c r="H1432" s="46" t="n">
        <v>55462</v>
      </c>
      <c r="I1432" s="46" t="n">
        <v>44</v>
      </c>
      <c r="J1432" s="44" t="n">
        <v>0.3601</v>
      </c>
      <c r="K1432" s="43" t="inlineStr">
        <is>
          <t>Received</t>
        </is>
      </c>
      <c r="L1432" s="17">
        <f>INDEX(Items!$C$2:$C$117,MATCH(B1432,Items!$A$2:$A$117,0))</f>
        <v/>
      </c>
      <c r="M1432" s="49">
        <f>INDEX(Items!$E$2:$E$117,MATCH(B1432,Items!$A$2:$A$117,0))</f>
        <v/>
      </c>
      <c r="N1432" s="17">
        <f>TEXT(D1432,"yyyy-mm")</f>
        <v/>
      </c>
      <c r="O1432" s="50">
        <f>G1432*J1432</f>
        <v/>
      </c>
      <c r="P1432" s="50">
        <f>(J1432-M1432)*G1432</f>
        <v/>
      </c>
      <c r="Q1432" s="51">
        <f>IF(K1432="Received",1,0)</f>
        <v/>
      </c>
      <c r="R1432" s="51">
        <f>IF(Q1432=1,F1432-D1432,0)</f>
        <v/>
      </c>
      <c r="S1432" s="51">
        <f>IF(Q1432=1,IF(F1432&lt;=E1432,1,0),0)</f>
        <v/>
      </c>
      <c r="T1432" s="51">
        <f>IF(Q1432=1,IF(H1432&gt;=G1432,1,0),0)</f>
        <v/>
      </c>
      <c r="U1432" s="51">
        <f>S1432*T1432</f>
        <v/>
      </c>
      <c r="V1432" s="51">
        <f>IF(Q1432=1,MAX(0,F1432-E1432),0)</f>
        <v/>
      </c>
    </row>
    <row r="1433">
      <c r="A1433" s="43" t="inlineStr">
        <is>
          <t>PO101612</t>
        </is>
      </c>
      <c r="B1433" s="43" t="inlineStr">
        <is>
          <t>CMD-0089</t>
        </is>
      </c>
      <c r="C1433" s="43" t="inlineStr">
        <is>
          <t>S01</t>
        </is>
      </c>
      <c r="D1433" s="47" t="n">
        <v>46074</v>
      </c>
      <c r="E1433" s="47" t="n">
        <v>46088</v>
      </c>
      <c r="F1433" s="47" t="n">
        <v>46085</v>
      </c>
      <c r="G1433" s="46" t="n">
        <v>641</v>
      </c>
      <c r="H1433" s="46" t="n">
        <v>641</v>
      </c>
      <c r="I1433" s="46" t="n">
        <v>2</v>
      </c>
      <c r="J1433" s="44" t="n">
        <v>9.774699999999999</v>
      </c>
      <c r="K1433" s="43" t="inlineStr">
        <is>
          <t>Received</t>
        </is>
      </c>
      <c r="L1433" s="17">
        <f>INDEX(Items!$C$2:$C$117,MATCH(B1433,Items!$A$2:$A$117,0))</f>
        <v/>
      </c>
      <c r="M1433" s="49">
        <f>INDEX(Items!$E$2:$E$117,MATCH(B1433,Items!$A$2:$A$117,0))</f>
        <v/>
      </c>
      <c r="N1433" s="17">
        <f>TEXT(D1433,"yyyy-mm")</f>
        <v/>
      </c>
      <c r="O1433" s="50">
        <f>G1433*J1433</f>
        <v/>
      </c>
      <c r="P1433" s="50">
        <f>(J1433-M1433)*G1433</f>
        <v/>
      </c>
      <c r="Q1433" s="51">
        <f>IF(K1433="Received",1,0)</f>
        <v/>
      </c>
      <c r="R1433" s="51">
        <f>IF(Q1433=1,F1433-D1433,0)</f>
        <v/>
      </c>
      <c r="S1433" s="51">
        <f>IF(Q1433=1,IF(F1433&lt;=E1433,1,0),0)</f>
        <v/>
      </c>
      <c r="T1433" s="51">
        <f>IF(Q1433=1,IF(H1433&gt;=G1433,1,0),0)</f>
        <v/>
      </c>
      <c r="U1433" s="51">
        <f>S1433*T1433</f>
        <v/>
      </c>
      <c r="V1433" s="51">
        <f>IF(Q1433=1,MAX(0,F1433-E1433),0)</f>
        <v/>
      </c>
    </row>
    <row r="1434">
      <c r="A1434" s="43" t="inlineStr">
        <is>
          <t>PO101225</t>
        </is>
      </c>
      <c r="B1434" s="43" t="inlineStr">
        <is>
          <t>CMD-0057</t>
        </is>
      </c>
      <c r="C1434" s="43" t="inlineStr">
        <is>
          <t>S01</t>
        </is>
      </c>
      <c r="D1434" s="47" t="n">
        <v>46076</v>
      </c>
      <c r="E1434" s="47" t="n">
        <v>46097</v>
      </c>
      <c r="F1434" s="47" t="n">
        <v>46097</v>
      </c>
      <c r="G1434" s="46" t="n">
        <v>49840</v>
      </c>
      <c r="H1434" s="46" t="n">
        <v>49840</v>
      </c>
      <c r="I1434" s="46" t="n">
        <v>105</v>
      </c>
      <c r="J1434" s="44" t="n">
        <v>0.1158</v>
      </c>
      <c r="K1434" s="43" t="inlineStr">
        <is>
          <t>Received</t>
        </is>
      </c>
      <c r="L1434" s="17">
        <f>INDEX(Items!$C$2:$C$117,MATCH(B1434,Items!$A$2:$A$117,0))</f>
        <v/>
      </c>
      <c r="M1434" s="49">
        <f>INDEX(Items!$E$2:$E$117,MATCH(B1434,Items!$A$2:$A$117,0))</f>
        <v/>
      </c>
      <c r="N1434" s="17">
        <f>TEXT(D1434,"yyyy-mm")</f>
        <v/>
      </c>
      <c r="O1434" s="50">
        <f>G1434*J1434</f>
        <v/>
      </c>
      <c r="P1434" s="50">
        <f>(J1434-M1434)*G1434</f>
        <v/>
      </c>
      <c r="Q1434" s="51">
        <f>IF(K1434="Received",1,0)</f>
        <v/>
      </c>
      <c r="R1434" s="51">
        <f>IF(Q1434=1,F1434-D1434,0)</f>
        <v/>
      </c>
      <c r="S1434" s="51">
        <f>IF(Q1434=1,IF(F1434&lt;=E1434,1,0),0)</f>
        <v/>
      </c>
      <c r="T1434" s="51">
        <f>IF(Q1434=1,IF(H1434&gt;=G1434,1,0),0)</f>
        <v/>
      </c>
      <c r="U1434" s="51">
        <f>S1434*T1434</f>
        <v/>
      </c>
      <c r="V1434" s="51">
        <f>IF(Q1434=1,MAX(0,F1434-E1434),0)</f>
        <v/>
      </c>
    </row>
    <row r="1435">
      <c r="A1435" s="43" t="inlineStr">
        <is>
          <t>PO100700</t>
        </is>
      </c>
      <c r="B1435" s="43" t="inlineStr">
        <is>
          <t>CMD-0031</t>
        </is>
      </c>
      <c r="C1435" s="43" t="inlineStr">
        <is>
          <t>S01</t>
        </is>
      </c>
      <c r="D1435" s="47" t="n">
        <v>46077</v>
      </c>
      <c r="E1435" s="47" t="n">
        <v>46105</v>
      </c>
      <c r="F1435" s="47" t="n">
        <v>46103</v>
      </c>
      <c r="G1435" s="46" t="n">
        <v>645</v>
      </c>
      <c r="H1435" s="46" t="n">
        <v>645</v>
      </c>
      <c r="I1435" s="46" t="n">
        <v>3</v>
      </c>
      <c r="J1435" s="44" t="n">
        <v>9.980700000000001</v>
      </c>
      <c r="K1435" s="43" t="inlineStr">
        <is>
          <t>Received</t>
        </is>
      </c>
      <c r="L1435" s="17">
        <f>INDEX(Items!$C$2:$C$117,MATCH(B1435,Items!$A$2:$A$117,0))</f>
        <v/>
      </c>
      <c r="M1435" s="49">
        <f>INDEX(Items!$E$2:$E$117,MATCH(B1435,Items!$A$2:$A$117,0))</f>
        <v/>
      </c>
      <c r="N1435" s="17">
        <f>TEXT(D1435,"yyyy-mm")</f>
        <v/>
      </c>
      <c r="O1435" s="50">
        <f>G1435*J1435</f>
        <v/>
      </c>
      <c r="P1435" s="50">
        <f>(J1435-M1435)*G1435</f>
        <v/>
      </c>
      <c r="Q1435" s="51">
        <f>IF(K1435="Received",1,0)</f>
        <v/>
      </c>
      <c r="R1435" s="51">
        <f>IF(Q1435=1,F1435-D1435,0)</f>
        <v/>
      </c>
      <c r="S1435" s="51">
        <f>IF(Q1435=1,IF(F1435&lt;=E1435,1,0),0)</f>
        <v/>
      </c>
      <c r="T1435" s="51">
        <f>IF(Q1435=1,IF(H1435&gt;=G1435,1,0),0)</f>
        <v/>
      </c>
      <c r="U1435" s="51">
        <f>S1435*T1435</f>
        <v/>
      </c>
      <c r="V1435" s="51">
        <f>IF(Q1435=1,MAX(0,F1435-E1435),0)</f>
        <v/>
      </c>
    </row>
    <row r="1436">
      <c r="A1436" s="43" t="inlineStr">
        <is>
          <t>PO100466</t>
        </is>
      </c>
      <c r="B1436" s="43" t="inlineStr">
        <is>
          <t>CMD-0021</t>
        </is>
      </c>
      <c r="C1436" s="43" t="inlineStr">
        <is>
          <t>S04</t>
        </is>
      </c>
      <c r="D1436" s="47" t="n">
        <v>46078</v>
      </c>
      <c r="E1436" s="47" t="n">
        <v>46148</v>
      </c>
      <c r="F1436" s="47" t="n">
        <v>46147</v>
      </c>
      <c r="G1436" s="46" t="n">
        <v>1104</v>
      </c>
      <c r="H1436" s="46" t="n">
        <v>1104</v>
      </c>
      <c r="I1436" s="46" t="n">
        <v>7</v>
      </c>
      <c r="J1436" s="44" t="n">
        <v>5.0882</v>
      </c>
      <c r="K1436" s="43" t="inlineStr">
        <is>
          <t>Received</t>
        </is>
      </c>
      <c r="L1436" s="17">
        <f>INDEX(Items!$C$2:$C$117,MATCH(B1436,Items!$A$2:$A$117,0))</f>
        <v/>
      </c>
      <c r="M1436" s="49">
        <f>INDEX(Items!$E$2:$E$117,MATCH(B1436,Items!$A$2:$A$117,0))</f>
        <v/>
      </c>
      <c r="N1436" s="17">
        <f>TEXT(D1436,"yyyy-mm")</f>
        <v/>
      </c>
      <c r="O1436" s="50">
        <f>G1436*J1436</f>
        <v/>
      </c>
      <c r="P1436" s="50">
        <f>(J1436-M1436)*G1436</f>
        <v/>
      </c>
      <c r="Q1436" s="51">
        <f>IF(K1436="Received",1,0)</f>
        <v/>
      </c>
      <c r="R1436" s="51">
        <f>IF(Q1436=1,F1436-D1436,0)</f>
        <v/>
      </c>
      <c r="S1436" s="51">
        <f>IF(Q1436=1,IF(F1436&lt;=E1436,1,0),0)</f>
        <v/>
      </c>
      <c r="T1436" s="51">
        <f>IF(Q1436=1,IF(H1436&gt;=G1436,1,0),0)</f>
        <v/>
      </c>
      <c r="U1436" s="51">
        <f>S1436*T1436</f>
        <v/>
      </c>
      <c r="V1436" s="51">
        <f>IF(Q1436=1,MAX(0,F1436-E1436),0)</f>
        <v/>
      </c>
    </row>
    <row r="1437">
      <c r="A1437" s="43" t="inlineStr">
        <is>
          <t>PO101045</t>
        </is>
      </c>
      <c r="B1437" s="43" t="inlineStr">
        <is>
          <t>CMD-0047</t>
        </is>
      </c>
      <c r="C1437" s="43" t="inlineStr">
        <is>
          <t>S04</t>
        </is>
      </c>
      <c r="D1437" s="47" t="n">
        <v>46081</v>
      </c>
      <c r="E1437" s="47" t="n">
        <v>46116</v>
      </c>
      <c r="F1437" s="47" t="n">
        <v>46114</v>
      </c>
      <c r="G1437" s="46" t="n">
        <v>17712</v>
      </c>
      <c r="H1437" s="46" t="n">
        <v>17712</v>
      </c>
      <c r="I1437" s="46" t="n">
        <v>165</v>
      </c>
      <c r="J1437" s="44" t="n">
        <v>0.3049</v>
      </c>
      <c r="K1437" s="43" t="inlineStr">
        <is>
          <t>Received</t>
        </is>
      </c>
      <c r="L1437" s="17">
        <f>INDEX(Items!$C$2:$C$117,MATCH(B1437,Items!$A$2:$A$117,0))</f>
        <v/>
      </c>
      <c r="M1437" s="49">
        <f>INDEX(Items!$E$2:$E$117,MATCH(B1437,Items!$A$2:$A$117,0))</f>
        <v/>
      </c>
      <c r="N1437" s="17">
        <f>TEXT(D1437,"yyyy-mm")</f>
        <v/>
      </c>
      <c r="O1437" s="50">
        <f>G1437*J1437</f>
        <v/>
      </c>
      <c r="P1437" s="50">
        <f>(J1437-M1437)*G1437</f>
        <v/>
      </c>
      <c r="Q1437" s="51">
        <f>IF(K1437="Received",1,0)</f>
        <v/>
      </c>
      <c r="R1437" s="51">
        <f>IF(Q1437=1,F1437-D1437,0)</f>
        <v/>
      </c>
      <c r="S1437" s="51">
        <f>IF(Q1437=1,IF(F1437&lt;=E1437,1,0),0)</f>
        <v/>
      </c>
      <c r="T1437" s="51">
        <f>IF(Q1437=1,IF(H1437&gt;=G1437,1,0),0)</f>
        <v/>
      </c>
      <c r="U1437" s="51">
        <f>S1437*T1437</f>
        <v/>
      </c>
      <c r="V1437" s="51">
        <f>IF(Q1437=1,MAX(0,F1437-E1437),0)</f>
        <v/>
      </c>
    </row>
    <row r="1438">
      <c r="A1438" s="43" t="inlineStr">
        <is>
          <t>PO101356</t>
        </is>
      </c>
      <c r="B1438" s="43" t="inlineStr">
        <is>
          <t>CMD-0068</t>
        </is>
      </c>
      <c r="C1438" s="43" t="inlineStr">
        <is>
          <t>S01</t>
        </is>
      </c>
      <c r="D1438" s="47" t="n">
        <v>46092</v>
      </c>
      <c r="E1438" s="47" t="n">
        <v>46113</v>
      </c>
      <c r="F1438" s="47" t="n">
        <v>46112</v>
      </c>
      <c r="G1438" s="46" t="n">
        <v>33725</v>
      </c>
      <c r="H1438" s="46" t="n">
        <v>33725</v>
      </c>
      <c r="I1438" s="46" t="n">
        <v>64</v>
      </c>
      <c r="J1438" s="44" t="n">
        <v>0.1609</v>
      </c>
      <c r="K1438" s="43" t="inlineStr">
        <is>
          <t>Received</t>
        </is>
      </c>
      <c r="L1438" s="17">
        <f>INDEX(Items!$C$2:$C$117,MATCH(B1438,Items!$A$2:$A$117,0))</f>
        <v/>
      </c>
      <c r="M1438" s="49">
        <f>INDEX(Items!$E$2:$E$117,MATCH(B1438,Items!$A$2:$A$117,0))</f>
        <v/>
      </c>
      <c r="N1438" s="17">
        <f>TEXT(D1438,"yyyy-mm")</f>
        <v/>
      </c>
      <c r="O1438" s="50">
        <f>G1438*J1438</f>
        <v/>
      </c>
      <c r="P1438" s="50">
        <f>(J1438-M1438)*G1438</f>
        <v/>
      </c>
      <c r="Q1438" s="51">
        <f>IF(K1438="Received",1,0)</f>
        <v/>
      </c>
      <c r="R1438" s="51">
        <f>IF(Q1438=1,F1438-D1438,0)</f>
        <v/>
      </c>
      <c r="S1438" s="51">
        <f>IF(Q1438=1,IF(F1438&lt;=E1438,1,0),0)</f>
        <v/>
      </c>
      <c r="T1438" s="51">
        <f>IF(Q1438=1,IF(H1438&gt;=G1438,1,0),0)</f>
        <v/>
      </c>
      <c r="U1438" s="51">
        <f>S1438*T1438</f>
        <v/>
      </c>
      <c r="V1438" s="51">
        <f>IF(Q1438=1,MAX(0,F1438-E1438),0)</f>
        <v/>
      </c>
    </row>
    <row r="1439">
      <c r="A1439" s="43" t="inlineStr">
        <is>
          <t>PO102012</t>
        </is>
      </c>
      <c r="B1439" s="43" t="inlineStr">
        <is>
          <t>CMD-0114</t>
        </is>
      </c>
      <c r="C1439" s="43" t="inlineStr">
        <is>
          <t>S12</t>
        </is>
      </c>
      <c r="D1439" s="47" t="n">
        <v>46093</v>
      </c>
      <c r="E1439" s="47" t="n">
        <v>46100</v>
      </c>
      <c r="F1439" s="47" t="n">
        <v>46100</v>
      </c>
      <c r="G1439" s="46" t="n">
        <v>13867</v>
      </c>
      <c r="H1439" s="46" t="n">
        <v>13867</v>
      </c>
      <c r="I1439" s="46" t="n">
        <v>17</v>
      </c>
      <c r="J1439" s="44" t="n">
        <v>0.3534</v>
      </c>
      <c r="K1439" s="43" t="inlineStr">
        <is>
          <t>Received</t>
        </is>
      </c>
      <c r="L1439" s="17">
        <f>INDEX(Items!$C$2:$C$117,MATCH(B1439,Items!$A$2:$A$117,0))</f>
        <v/>
      </c>
      <c r="M1439" s="49">
        <f>INDEX(Items!$E$2:$E$117,MATCH(B1439,Items!$A$2:$A$117,0))</f>
        <v/>
      </c>
      <c r="N1439" s="17">
        <f>TEXT(D1439,"yyyy-mm")</f>
        <v/>
      </c>
      <c r="O1439" s="50">
        <f>G1439*J1439</f>
        <v/>
      </c>
      <c r="P1439" s="50">
        <f>(J1439-M1439)*G1439</f>
        <v/>
      </c>
      <c r="Q1439" s="51">
        <f>IF(K1439="Received",1,0)</f>
        <v/>
      </c>
      <c r="R1439" s="51">
        <f>IF(Q1439=1,F1439-D1439,0)</f>
        <v/>
      </c>
      <c r="S1439" s="51">
        <f>IF(Q1439=1,IF(F1439&lt;=E1439,1,0),0)</f>
        <v/>
      </c>
      <c r="T1439" s="51">
        <f>IF(Q1439=1,IF(H1439&gt;=G1439,1,0),0)</f>
        <v/>
      </c>
      <c r="U1439" s="51">
        <f>S1439*T1439</f>
        <v/>
      </c>
      <c r="V1439" s="51">
        <f>IF(Q1439=1,MAX(0,F1439-E1439),0)</f>
        <v/>
      </c>
    </row>
    <row r="1440">
      <c r="A1440" s="43" t="inlineStr">
        <is>
          <t>PO100585</t>
        </is>
      </c>
      <c r="B1440" s="43" t="inlineStr">
        <is>
          <t>CMD-0026</t>
        </is>
      </c>
      <c r="C1440" s="43" t="inlineStr">
        <is>
          <t>S04</t>
        </is>
      </c>
      <c r="D1440" s="47" t="n">
        <v>46094</v>
      </c>
      <c r="E1440" s="47" t="n">
        <v>46164</v>
      </c>
      <c r="F1440" s="47" t="n">
        <v>46163</v>
      </c>
      <c r="G1440" s="46" t="n">
        <v>7369</v>
      </c>
      <c r="H1440" s="46" t="n">
        <v>7369</v>
      </c>
      <c r="I1440" s="46" t="n">
        <v>79</v>
      </c>
      <c r="J1440" s="44" t="n">
        <v>6.1388</v>
      </c>
      <c r="K1440" s="43" t="inlineStr">
        <is>
          <t>Received</t>
        </is>
      </c>
      <c r="L1440" s="17">
        <f>INDEX(Items!$C$2:$C$117,MATCH(B1440,Items!$A$2:$A$117,0))</f>
        <v/>
      </c>
      <c r="M1440" s="49">
        <f>INDEX(Items!$E$2:$E$117,MATCH(B1440,Items!$A$2:$A$117,0))</f>
        <v/>
      </c>
      <c r="N1440" s="17">
        <f>TEXT(D1440,"yyyy-mm")</f>
        <v/>
      </c>
      <c r="O1440" s="50">
        <f>G1440*J1440</f>
        <v/>
      </c>
      <c r="P1440" s="50">
        <f>(J1440-M1440)*G1440</f>
        <v/>
      </c>
      <c r="Q1440" s="51">
        <f>IF(K1440="Received",1,0)</f>
        <v/>
      </c>
      <c r="R1440" s="51">
        <f>IF(Q1440=1,F1440-D1440,0)</f>
        <v/>
      </c>
      <c r="S1440" s="51">
        <f>IF(Q1440=1,IF(F1440&lt;=E1440,1,0),0)</f>
        <v/>
      </c>
      <c r="T1440" s="51">
        <f>IF(Q1440=1,IF(H1440&gt;=G1440,1,0),0)</f>
        <v/>
      </c>
      <c r="U1440" s="51">
        <f>S1440*T1440</f>
        <v/>
      </c>
      <c r="V1440" s="51">
        <f>IF(Q1440=1,MAX(0,F1440-E1440),0)</f>
        <v/>
      </c>
    </row>
    <row r="1441">
      <c r="A1441" s="43" t="inlineStr">
        <is>
          <t>PO100017</t>
        </is>
      </c>
      <c r="B1441" s="43" t="inlineStr">
        <is>
          <t>CMD-0001</t>
        </is>
      </c>
      <c r="C1441" s="43" t="inlineStr">
        <is>
          <t>S07</t>
        </is>
      </c>
      <c r="D1441" s="47" t="n">
        <v>46094</v>
      </c>
      <c r="E1441" s="47" t="n">
        <v>46185</v>
      </c>
      <c r="F1441" s="47" t="n">
        <v>46184</v>
      </c>
      <c r="G1441" s="46" t="n">
        <v>7728</v>
      </c>
      <c r="H1441" s="46" t="n">
        <v>7728</v>
      </c>
      <c r="I1441" s="46" t="n">
        <v>65</v>
      </c>
      <c r="J1441" s="44" t="n">
        <v>16.8268</v>
      </c>
      <c r="K1441" s="43" t="inlineStr">
        <is>
          <t>Received</t>
        </is>
      </c>
      <c r="L1441" s="17">
        <f>INDEX(Items!$C$2:$C$117,MATCH(B1441,Items!$A$2:$A$117,0))</f>
        <v/>
      </c>
      <c r="M1441" s="49">
        <f>INDEX(Items!$E$2:$E$117,MATCH(B1441,Items!$A$2:$A$117,0))</f>
        <v/>
      </c>
      <c r="N1441" s="17">
        <f>TEXT(D1441,"yyyy-mm")</f>
        <v/>
      </c>
      <c r="O1441" s="50">
        <f>G1441*J1441</f>
        <v/>
      </c>
      <c r="P1441" s="50">
        <f>(J1441-M1441)*G1441</f>
        <v/>
      </c>
      <c r="Q1441" s="51">
        <f>IF(K1441="Received",1,0)</f>
        <v/>
      </c>
      <c r="R1441" s="51">
        <f>IF(Q1441=1,F1441-D1441,0)</f>
        <v/>
      </c>
      <c r="S1441" s="51">
        <f>IF(Q1441=1,IF(F1441&lt;=E1441,1,0),0)</f>
        <v/>
      </c>
      <c r="T1441" s="51">
        <f>IF(Q1441=1,IF(H1441&gt;=G1441,1,0),0)</f>
        <v/>
      </c>
      <c r="U1441" s="51">
        <f>S1441*T1441</f>
        <v/>
      </c>
      <c r="V1441" s="51">
        <f>IF(Q1441=1,MAX(0,F1441-E1441),0)</f>
        <v/>
      </c>
    </row>
    <row r="1442">
      <c r="A1442" s="43" t="inlineStr">
        <is>
          <t>PO100537</t>
        </is>
      </c>
      <c r="B1442" s="43" t="inlineStr">
        <is>
          <t>CMD-0024</t>
        </is>
      </c>
      <c r="C1442" s="43" t="inlineStr">
        <is>
          <t>S04</t>
        </is>
      </c>
      <c r="D1442" s="47" t="n">
        <v>46094</v>
      </c>
      <c r="E1442" s="47" t="n">
        <v>46164</v>
      </c>
      <c r="F1442" s="47" t="n">
        <v>46185</v>
      </c>
      <c r="G1442" s="46" t="n">
        <v>4340</v>
      </c>
      <c r="H1442" s="46" t="n">
        <v>4340</v>
      </c>
      <c r="I1442" s="46" t="n">
        <v>40</v>
      </c>
      <c r="J1442" s="44" t="n">
        <v>3.4093</v>
      </c>
      <c r="K1442" s="43" t="inlineStr">
        <is>
          <t>Received</t>
        </is>
      </c>
      <c r="L1442" s="17">
        <f>INDEX(Items!$C$2:$C$117,MATCH(B1442,Items!$A$2:$A$117,0))</f>
        <v/>
      </c>
      <c r="M1442" s="49">
        <f>INDEX(Items!$E$2:$E$117,MATCH(B1442,Items!$A$2:$A$117,0))</f>
        <v/>
      </c>
      <c r="N1442" s="17">
        <f>TEXT(D1442,"yyyy-mm")</f>
        <v/>
      </c>
      <c r="O1442" s="50">
        <f>G1442*J1442</f>
        <v/>
      </c>
      <c r="P1442" s="50">
        <f>(J1442-M1442)*G1442</f>
        <v/>
      </c>
      <c r="Q1442" s="51">
        <f>IF(K1442="Received",1,0)</f>
        <v/>
      </c>
      <c r="R1442" s="51">
        <f>IF(Q1442=1,F1442-D1442,0)</f>
        <v/>
      </c>
      <c r="S1442" s="51">
        <f>IF(Q1442=1,IF(F1442&lt;=E1442,1,0),0)</f>
        <v/>
      </c>
      <c r="T1442" s="51">
        <f>IF(Q1442=1,IF(H1442&gt;=G1442,1,0),0)</f>
        <v/>
      </c>
      <c r="U1442" s="51">
        <f>S1442*T1442</f>
        <v/>
      </c>
      <c r="V1442" s="51">
        <f>IF(Q1442=1,MAX(0,F1442-E1442),0)</f>
        <v/>
      </c>
    </row>
    <row r="1443">
      <c r="A1443" s="43" t="inlineStr">
        <is>
          <t>PO100657</t>
        </is>
      </c>
      <c r="B1443" s="43" t="inlineStr">
        <is>
          <t>CMD-0029</t>
        </is>
      </c>
      <c r="C1443" s="43" t="inlineStr">
        <is>
          <t>S11</t>
        </is>
      </c>
      <c r="D1443" s="47" t="n">
        <v>46094</v>
      </c>
      <c r="E1443" s="47" t="n">
        <v>46171</v>
      </c>
      <c r="F1443" s="47" t="n">
        <v>46170</v>
      </c>
      <c r="G1443" s="46" t="n">
        <v>5249</v>
      </c>
      <c r="H1443" s="46" t="n">
        <v>5249</v>
      </c>
      <c r="I1443" s="46" t="n">
        <v>9</v>
      </c>
      <c r="J1443" s="44" t="n">
        <v>7.0761</v>
      </c>
      <c r="K1443" s="43" t="inlineStr">
        <is>
          <t>Received</t>
        </is>
      </c>
      <c r="L1443" s="17">
        <f>INDEX(Items!$C$2:$C$117,MATCH(B1443,Items!$A$2:$A$117,0))</f>
        <v/>
      </c>
      <c r="M1443" s="49">
        <f>INDEX(Items!$E$2:$E$117,MATCH(B1443,Items!$A$2:$A$117,0))</f>
        <v/>
      </c>
      <c r="N1443" s="17">
        <f>TEXT(D1443,"yyyy-mm")</f>
        <v/>
      </c>
      <c r="O1443" s="50">
        <f>G1443*J1443</f>
        <v/>
      </c>
      <c r="P1443" s="50">
        <f>(J1443-M1443)*G1443</f>
        <v/>
      </c>
      <c r="Q1443" s="51">
        <f>IF(K1443="Received",1,0)</f>
        <v/>
      </c>
      <c r="R1443" s="51">
        <f>IF(Q1443=1,F1443-D1443,0)</f>
        <v/>
      </c>
      <c r="S1443" s="51">
        <f>IF(Q1443=1,IF(F1443&lt;=E1443,1,0),0)</f>
        <v/>
      </c>
      <c r="T1443" s="51">
        <f>IF(Q1443=1,IF(H1443&gt;=G1443,1,0),0)</f>
        <v/>
      </c>
      <c r="U1443" s="51">
        <f>S1443*T1443</f>
        <v/>
      </c>
      <c r="V1443" s="51">
        <f>IF(Q1443=1,MAX(0,F1443-E1443),0)</f>
        <v/>
      </c>
    </row>
    <row r="1444">
      <c r="A1444" s="43" t="inlineStr">
        <is>
          <t>PO101731</t>
        </is>
      </c>
      <c r="B1444" s="43" t="inlineStr">
        <is>
          <t>CMD-0094</t>
        </is>
      </c>
      <c r="C1444" s="43" t="inlineStr">
        <is>
          <t>S08</t>
        </is>
      </c>
      <c r="D1444" s="47" t="n">
        <v>46094</v>
      </c>
      <c r="E1444" s="47" t="n">
        <v>46171</v>
      </c>
      <c r="F1444" s="47" t="n">
        <v>46183</v>
      </c>
      <c r="G1444" s="46" t="n">
        <v>482</v>
      </c>
      <c r="H1444" s="46" t="n">
        <v>307</v>
      </c>
      <c r="I1444" s="46" t="n">
        <v>9</v>
      </c>
      <c r="J1444" s="44" t="n">
        <v>76.31270000000001</v>
      </c>
      <c r="K1444" s="43" t="inlineStr">
        <is>
          <t>Received</t>
        </is>
      </c>
      <c r="L1444" s="17">
        <f>INDEX(Items!$C$2:$C$117,MATCH(B1444,Items!$A$2:$A$117,0))</f>
        <v/>
      </c>
      <c r="M1444" s="49">
        <f>INDEX(Items!$E$2:$E$117,MATCH(B1444,Items!$A$2:$A$117,0))</f>
        <v/>
      </c>
      <c r="N1444" s="17">
        <f>TEXT(D1444,"yyyy-mm")</f>
        <v/>
      </c>
      <c r="O1444" s="50">
        <f>G1444*J1444</f>
        <v/>
      </c>
      <c r="P1444" s="50">
        <f>(J1444-M1444)*G1444</f>
        <v/>
      </c>
      <c r="Q1444" s="51">
        <f>IF(K1444="Received",1,0)</f>
        <v/>
      </c>
      <c r="R1444" s="51">
        <f>IF(Q1444=1,F1444-D1444,0)</f>
        <v/>
      </c>
      <c r="S1444" s="51">
        <f>IF(Q1444=1,IF(F1444&lt;=E1444,1,0),0)</f>
        <v/>
      </c>
      <c r="T1444" s="51">
        <f>IF(Q1444=1,IF(H1444&gt;=G1444,1,0),0)</f>
        <v/>
      </c>
      <c r="U1444" s="51">
        <f>S1444*T1444</f>
        <v/>
      </c>
      <c r="V1444" s="51">
        <f>IF(Q1444=1,MAX(0,F1444-E1444),0)</f>
        <v/>
      </c>
    </row>
    <row r="1445">
      <c r="A1445" s="43" t="inlineStr">
        <is>
          <t>PO101659</t>
        </is>
      </c>
      <c r="B1445" s="43" t="inlineStr">
        <is>
          <t>CMD-0091</t>
        </is>
      </c>
      <c r="C1445" s="43" t="inlineStr">
        <is>
          <t>S08</t>
        </is>
      </c>
      <c r="D1445" s="47" t="n">
        <v>46094</v>
      </c>
      <c r="E1445" s="47" t="n">
        <v>46171</v>
      </c>
      <c r="F1445" s="47" t="n">
        <v>46171</v>
      </c>
      <c r="G1445" s="46" t="n">
        <v>986</v>
      </c>
      <c r="H1445" s="46" t="n">
        <v>986</v>
      </c>
      <c r="I1445" s="46" t="n">
        <v>13</v>
      </c>
      <c r="J1445" s="44" t="n">
        <v>24.514</v>
      </c>
      <c r="K1445" s="43" t="inlineStr">
        <is>
          <t>Received</t>
        </is>
      </c>
      <c r="L1445" s="17">
        <f>INDEX(Items!$C$2:$C$117,MATCH(B1445,Items!$A$2:$A$117,0))</f>
        <v/>
      </c>
      <c r="M1445" s="49">
        <f>INDEX(Items!$E$2:$E$117,MATCH(B1445,Items!$A$2:$A$117,0))</f>
        <v/>
      </c>
      <c r="N1445" s="17">
        <f>TEXT(D1445,"yyyy-mm")</f>
        <v/>
      </c>
      <c r="O1445" s="50">
        <f>G1445*J1445</f>
        <v/>
      </c>
      <c r="P1445" s="50">
        <f>(J1445-M1445)*G1445</f>
        <v/>
      </c>
      <c r="Q1445" s="51">
        <f>IF(K1445="Received",1,0)</f>
        <v/>
      </c>
      <c r="R1445" s="51">
        <f>IF(Q1445=1,F1445-D1445,0)</f>
        <v/>
      </c>
      <c r="S1445" s="51">
        <f>IF(Q1445=1,IF(F1445&lt;=E1445,1,0),0)</f>
        <v/>
      </c>
      <c r="T1445" s="51">
        <f>IF(Q1445=1,IF(H1445&gt;=G1445,1,0),0)</f>
        <v/>
      </c>
      <c r="U1445" s="51">
        <f>S1445*T1445</f>
        <v/>
      </c>
      <c r="V1445" s="51">
        <f>IF(Q1445=1,MAX(0,F1445-E1445),0)</f>
        <v/>
      </c>
    </row>
    <row r="1446">
      <c r="A1446" s="43" t="inlineStr">
        <is>
          <t>PO101903</t>
        </is>
      </c>
      <c r="B1446" s="43" t="inlineStr">
        <is>
          <t>CMD-0103</t>
        </is>
      </c>
      <c r="C1446" s="43" t="inlineStr">
        <is>
          <t>S09</t>
        </is>
      </c>
      <c r="D1446" s="47" t="n">
        <v>46094</v>
      </c>
      <c r="E1446" s="47" t="n">
        <v>46115</v>
      </c>
      <c r="F1446" s="47" t="n">
        <v>46112</v>
      </c>
      <c r="G1446" s="46" t="n">
        <v>1454</v>
      </c>
      <c r="H1446" s="46" t="n">
        <v>1454</v>
      </c>
      <c r="I1446" s="46" t="n">
        <v>6</v>
      </c>
      <c r="J1446" s="44" t="n">
        <v>4.3054</v>
      </c>
      <c r="K1446" s="43" t="inlineStr">
        <is>
          <t>Received</t>
        </is>
      </c>
      <c r="L1446" s="17">
        <f>INDEX(Items!$C$2:$C$117,MATCH(B1446,Items!$A$2:$A$117,0))</f>
        <v/>
      </c>
      <c r="M1446" s="49">
        <f>INDEX(Items!$E$2:$E$117,MATCH(B1446,Items!$A$2:$A$117,0))</f>
        <v/>
      </c>
      <c r="N1446" s="17">
        <f>TEXT(D1446,"yyyy-mm")</f>
        <v/>
      </c>
      <c r="O1446" s="50">
        <f>G1446*J1446</f>
        <v/>
      </c>
      <c r="P1446" s="50">
        <f>(J1446-M1446)*G1446</f>
        <v/>
      </c>
      <c r="Q1446" s="51">
        <f>IF(K1446="Received",1,0)</f>
        <v/>
      </c>
      <c r="R1446" s="51">
        <f>IF(Q1446=1,F1446-D1446,0)</f>
        <v/>
      </c>
      <c r="S1446" s="51">
        <f>IF(Q1446=1,IF(F1446&lt;=E1446,1,0),0)</f>
        <v/>
      </c>
      <c r="T1446" s="51">
        <f>IF(Q1446=1,IF(H1446&gt;=G1446,1,0),0)</f>
        <v/>
      </c>
      <c r="U1446" s="51">
        <f>S1446*T1446</f>
        <v/>
      </c>
      <c r="V1446" s="51">
        <f>IF(Q1446=1,MAX(0,F1446-E1446),0)</f>
        <v/>
      </c>
    </row>
    <row r="1447">
      <c r="A1447" s="43" t="inlineStr">
        <is>
          <t>PO100859</t>
        </is>
      </c>
      <c r="B1447" s="43" t="inlineStr">
        <is>
          <t>CMD-0038</t>
        </is>
      </c>
      <c r="C1447" s="43" t="inlineStr">
        <is>
          <t>S01</t>
        </is>
      </c>
      <c r="D1447" s="47" t="n">
        <v>46095</v>
      </c>
      <c r="E1447" s="47" t="n">
        <v>46123</v>
      </c>
      <c r="F1447" s="47" t="n">
        <v>46123</v>
      </c>
      <c r="G1447" s="46" t="n">
        <v>963</v>
      </c>
      <c r="H1447" s="46" t="n">
        <v>963</v>
      </c>
      <c r="I1447" s="46" t="n">
        <v>1</v>
      </c>
      <c r="J1447" s="44" t="n">
        <v>22.1347</v>
      </c>
      <c r="K1447" s="43" t="inlineStr">
        <is>
          <t>Received</t>
        </is>
      </c>
      <c r="L1447" s="17">
        <f>INDEX(Items!$C$2:$C$117,MATCH(B1447,Items!$A$2:$A$117,0))</f>
        <v/>
      </c>
      <c r="M1447" s="49">
        <f>INDEX(Items!$E$2:$E$117,MATCH(B1447,Items!$A$2:$A$117,0))</f>
        <v/>
      </c>
      <c r="N1447" s="17">
        <f>TEXT(D1447,"yyyy-mm")</f>
        <v/>
      </c>
      <c r="O1447" s="50">
        <f>G1447*J1447</f>
        <v/>
      </c>
      <c r="P1447" s="50">
        <f>(J1447-M1447)*G1447</f>
        <v/>
      </c>
      <c r="Q1447" s="51">
        <f>IF(K1447="Received",1,0)</f>
        <v/>
      </c>
      <c r="R1447" s="51">
        <f>IF(Q1447=1,F1447-D1447,0)</f>
        <v/>
      </c>
      <c r="S1447" s="51">
        <f>IF(Q1447=1,IF(F1447&lt;=E1447,1,0),0)</f>
        <v/>
      </c>
      <c r="T1447" s="51">
        <f>IF(Q1447=1,IF(H1447&gt;=G1447,1,0),0)</f>
        <v/>
      </c>
      <c r="U1447" s="51">
        <f>S1447*T1447</f>
        <v/>
      </c>
      <c r="V1447" s="51">
        <f>IF(Q1447=1,MAX(0,F1447-E1447),0)</f>
        <v/>
      </c>
    </row>
    <row r="1448">
      <c r="A1448" s="43" t="inlineStr">
        <is>
          <t>PO101707</t>
        </is>
      </c>
      <c r="B1448" s="43" t="inlineStr">
        <is>
          <t>CMD-0093</t>
        </is>
      </c>
      <c r="C1448" s="43" t="inlineStr">
        <is>
          <t>S08</t>
        </is>
      </c>
      <c r="D1448" s="47" t="n">
        <v>46095</v>
      </c>
      <c r="E1448" s="47" t="n">
        <v>46172</v>
      </c>
      <c r="F1448" s="47" t="n">
        <v>46171</v>
      </c>
      <c r="G1448" s="46" t="n">
        <v>614</v>
      </c>
      <c r="H1448" s="46" t="n">
        <v>614</v>
      </c>
      <c r="I1448" s="46" t="n">
        <v>9</v>
      </c>
      <c r="J1448" s="44" t="n">
        <v>61.1923</v>
      </c>
      <c r="K1448" s="43" t="inlineStr">
        <is>
          <t>Received</t>
        </is>
      </c>
      <c r="L1448" s="17">
        <f>INDEX(Items!$C$2:$C$117,MATCH(B1448,Items!$A$2:$A$117,0))</f>
        <v/>
      </c>
      <c r="M1448" s="49">
        <f>INDEX(Items!$E$2:$E$117,MATCH(B1448,Items!$A$2:$A$117,0))</f>
        <v/>
      </c>
      <c r="N1448" s="17">
        <f>TEXT(D1448,"yyyy-mm")</f>
        <v/>
      </c>
      <c r="O1448" s="50">
        <f>G1448*J1448</f>
        <v/>
      </c>
      <c r="P1448" s="50">
        <f>(J1448-M1448)*G1448</f>
        <v/>
      </c>
      <c r="Q1448" s="51">
        <f>IF(K1448="Received",1,0)</f>
        <v/>
      </c>
      <c r="R1448" s="51">
        <f>IF(Q1448=1,F1448-D1448,0)</f>
        <v/>
      </c>
      <c r="S1448" s="51">
        <f>IF(Q1448=1,IF(F1448&lt;=E1448,1,0),0)</f>
        <v/>
      </c>
      <c r="T1448" s="51">
        <f>IF(Q1448=1,IF(H1448&gt;=G1448,1,0),0)</f>
        <v/>
      </c>
      <c r="U1448" s="51">
        <f>S1448*T1448</f>
        <v/>
      </c>
      <c r="V1448" s="51">
        <f>IF(Q1448=1,MAX(0,F1448-E1448),0)</f>
        <v/>
      </c>
    </row>
    <row r="1449">
      <c r="A1449" s="43" t="inlineStr">
        <is>
          <t>PO101175</t>
        </is>
      </c>
      <c r="B1449" s="43" t="inlineStr">
        <is>
          <t>CMD-0054</t>
        </is>
      </c>
      <c r="C1449" s="43" t="inlineStr">
        <is>
          <t>S10</t>
        </is>
      </c>
      <c r="D1449" s="47" t="n">
        <v>46095</v>
      </c>
      <c r="E1449" s="47" t="n">
        <v>46123</v>
      </c>
      <c r="F1449" s="47" t="n">
        <v>46120</v>
      </c>
      <c r="G1449" s="46" t="n">
        <v>46614</v>
      </c>
      <c r="H1449" s="46" t="n">
        <v>32069</v>
      </c>
      <c r="I1449" s="46" t="n">
        <v>30</v>
      </c>
      <c r="J1449" s="44" t="n">
        <v>0.1738</v>
      </c>
      <c r="K1449" s="43" t="inlineStr">
        <is>
          <t>Received</t>
        </is>
      </c>
      <c r="L1449" s="17">
        <f>INDEX(Items!$C$2:$C$117,MATCH(B1449,Items!$A$2:$A$117,0))</f>
        <v/>
      </c>
      <c r="M1449" s="49">
        <f>INDEX(Items!$E$2:$E$117,MATCH(B1449,Items!$A$2:$A$117,0))</f>
        <v/>
      </c>
      <c r="N1449" s="17">
        <f>TEXT(D1449,"yyyy-mm")</f>
        <v/>
      </c>
      <c r="O1449" s="50">
        <f>G1449*J1449</f>
        <v/>
      </c>
      <c r="P1449" s="50">
        <f>(J1449-M1449)*G1449</f>
        <v/>
      </c>
      <c r="Q1449" s="51">
        <f>IF(K1449="Received",1,0)</f>
        <v/>
      </c>
      <c r="R1449" s="51">
        <f>IF(Q1449=1,F1449-D1449,0)</f>
        <v/>
      </c>
      <c r="S1449" s="51">
        <f>IF(Q1449=1,IF(F1449&lt;=E1449,1,0),0)</f>
        <v/>
      </c>
      <c r="T1449" s="51">
        <f>IF(Q1449=1,IF(H1449&gt;=G1449,1,0),0)</f>
        <v/>
      </c>
      <c r="U1449" s="51">
        <f>S1449*T1449</f>
        <v/>
      </c>
      <c r="V1449" s="51">
        <f>IF(Q1449=1,MAX(0,F1449-E1449),0)</f>
        <v/>
      </c>
    </row>
    <row r="1450">
      <c r="A1450" s="43" t="inlineStr">
        <is>
          <t>PO101861</t>
        </is>
      </c>
      <c r="B1450" s="43" t="inlineStr">
        <is>
          <t>CMD-0101</t>
        </is>
      </c>
      <c r="C1450" s="43" t="inlineStr">
        <is>
          <t>S09</t>
        </is>
      </c>
      <c r="D1450" s="47" t="n">
        <v>46095</v>
      </c>
      <c r="E1450" s="47" t="n">
        <v>46116</v>
      </c>
      <c r="F1450" s="47" t="n">
        <v>46116</v>
      </c>
      <c r="G1450" s="46" t="n">
        <v>4181</v>
      </c>
      <c r="H1450" s="46" t="n">
        <v>4181</v>
      </c>
      <c r="I1450" s="46" t="n">
        <v>15</v>
      </c>
      <c r="J1450" s="44" t="n">
        <v>3.811</v>
      </c>
      <c r="K1450" s="43" t="inlineStr">
        <is>
          <t>Received</t>
        </is>
      </c>
      <c r="L1450" s="17">
        <f>INDEX(Items!$C$2:$C$117,MATCH(B1450,Items!$A$2:$A$117,0))</f>
        <v/>
      </c>
      <c r="M1450" s="49">
        <f>INDEX(Items!$E$2:$E$117,MATCH(B1450,Items!$A$2:$A$117,0))</f>
        <v/>
      </c>
      <c r="N1450" s="17">
        <f>TEXT(D1450,"yyyy-mm")</f>
        <v/>
      </c>
      <c r="O1450" s="50">
        <f>G1450*J1450</f>
        <v/>
      </c>
      <c r="P1450" s="50">
        <f>(J1450-M1450)*G1450</f>
        <v/>
      </c>
      <c r="Q1450" s="51">
        <f>IF(K1450="Received",1,0)</f>
        <v/>
      </c>
      <c r="R1450" s="51">
        <f>IF(Q1450=1,F1450-D1450,0)</f>
        <v/>
      </c>
      <c r="S1450" s="51">
        <f>IF(Q1450=1,IF(F1450&lt;=E1450,1,0),0)</f>
        <v/>
      </c>
      <c r="T1450" s="51">
        <f>IF(Q1450=1,IF(H1450&gt;=G1450,1,0),0)</f>
        <v/>
      </c>
      <c r="U1450" s="51">
        <f>S1450*T1450</f>
        <v/>
      </c>
      <c r="V1450" s="51">
        <f>IF(Q1450=1,MAX(0,F1450-E1450),0)</f>
        <v/>
      </c>
    </row>
    <row r="1451">
      <c r="A1451" s="43" t="inlineStr">
        <is>
          <t>PO101885</t>
        </is>
      </c>
      <c r="B1451" s="43" t="inlineStr">
        <is>
          <t>CMD-0102</t>
        </is>
      </c>
      <c r="C1451" s="43" t="inlineStr">
        <is>
          <t>S09</t>
        </is>
      </c>
      <c r="D1451" s="47" t="n">
        <v>46095</v>
      </c>
      <c r="E1451" s="47" t="n">
        <v>46116</v>
      </c>
      <c r="F1451" s="47" t="n">
        <v>46116</v>
      </c>
      <c r="G1451" s="46" t="n">
        <v>2937</v>
      </c>
      <c r="H1451" s="46" t="n">
        <v>2937</v>
      </c>
      <c r="I1451" s="46" t="n">
        <v>13</v>
      </c>
      <c r="J1451" s="44" t="n">
        <v>6.9113</v>
      </c>
      <c r="K1451" s="43" t="inlineStr">
        <is>
          <t>Received</t>
        </is>
      </c>
      <c r="L1451" s="17">
        <f>INDEX(Items!$C$2:$C$117,MATCH(B1451,Items!$A$2:$A$117,0))</f>
        <v/>
      </c>
      <c r="M1451" s="49">
        <f>INDEX(Items!$E$2:$E$117,MATCH(B1451,Items!$A$2:$A$117,0))</f>
        <v/>
      </c>
      <c r="N1451" s="17">
        <f>TEXT(D1451,"yyyy-mm")</f>
        <v/>
      </c>
      <c r="O1451" s="50">
        <f>G1451*J1451</f>
        <v/>
      </c>
      <c r="P1451" s="50">
        <f>(J1451-M1451)*G1451</f>
        <v/>
      </c>
      <c r="Q1451" s="51">
        <f>IF(K1451="Received",1,0)</f>
        <v/>
      </c>
      <c r="R1451" s="51">
        <f>IF(Q1451=1,F1451-D1451,0)</f>
        <v/>
      </c>
      <c r="S1451" s="51">
        <f>IF(Q1451=1,IF(F1451&lt;=E1451,1,0),0)</f>
        <v/>
      </c>
      <c r="T1451" s="51">
        <f>IF(Q1451=1,IF(H1451&gt;=G1451,1,0),0)</f>
        <v/>
      </c>
      <c r="U1451" s="51">
        <f>S1451*T1451</f>
        <v/>
      </c>
      <c r="V1451" s="51">
        <f>IF(Q1451=1,MAX(0,F1451-E1451),0)</f>
        <v/>
      </c>
    </row>
    <row r="1452">
      <c r="A1452" s="43" t="inlineStr">
        <is>
          <t>PO100357</t>
        </is>
      </c>
      <c r="B1452" s="43" t="inlineStr">
        <is>
          <t>CMD-0016</t>
        </is>
      </c>
      <c r="C1452" s="43" t="inlineStr">
        <is>
          <t>S07</t>
        </is>
      </c>
      <c r="D1452" s="47" t="n">
        <v>46095</v>
      </c>
      <c r="E1452" s="47" t="n">
        <v>46186</v>
      </c>
      <c r="F1452" s="47" t="n">
        <v>46185</v>
      </c>
      <c r="G1452" s="46" t="n">
        <v>8041</v>
      </c>
      <c r="H1452" s="46" t="n">
        <v>8041</v>
      </c>
      <c r="I1452" s="46" t="n">
        <v>60</v>
      </c>
      <c r="J1452" s="44" t="n">
        <v>31.8836</v>
      </c>
      <c r="K1452" s="43" t="inlineStr">
        <is>
          <t>Received</t>
        </is>
      </c>
      <c r="L1452" s="17">
        <f>INDEX(Items!$C$2:$C$117,MATCH(B1452,Items!$A$2:$A$117,0))</f>
        <v/>
      </c>
      <c r="M1452" s="49">
        <f>INDEX(Items!$E$2:$E$117,MATCH(B1452,Items!$A$2:$A$117,0))</f>
        <v/>
      </c>
      <c r="N1452" s="17">
        <f>TEXT(D1452,"yyyy-mm")</f>
        <v/>
      </c>
      <c r="O1452" s="50">
        <f>G1452*J1452</f>
        <v/>
      </c>
      <c r="P1452" s="50">
        <f>(J1452-M1452)*G1452</f>
        <v/>
      </c>
      <c r="Q1452" s="51">
        <f>IF(K1452="Received",1,0)</f>
        <v/>
      </c>
      <c r="R1452" s="51">
        <f>IF(Q1452=1,F1452-D1452,0)</f>
        <v/>
      </c>
      <c r="S1452" s="51">
        <f>IF(Q1452=1,IF(F1452&lt;=E1452,1,0),0)</f>
        <v/>
      </c>
      <c r="T1452" s="51">
        <f>IF(Q1452=1,IF(H1452&gt;=G1452,1,0),0)</f>
        <v/>
      </c>
      <c r="U1452" s="51">
        <f>S1452*T1452</f>
        <v/>
      </c>
      <c r="V1452" s="51">
        <f>IF(Q1452=1,MAX(0,F1452-E1452),0)</f>
        <v/>
      </c>
    </row>
    <row r="1453">
      <c r="A1453" s="43" t="inlineStr">
        <is>
          <t>PO100717</t>
        </is>
      </c>
      <c r="B1453" s="43" t="inlineStr">
        <is>
          <t>CMD-0032</t>
        </is>
      </c>
      <c r="C1453" s="43" t="inlineStr">
        <is>
          <t>S01</t>
        </is>
      </c>
      <c r="D1453" s="47" t="n">
        <v>46095</v>
      </c>
      <c r="E1453" s="47" t="n">
        <v>46123</v>
      </c>
      <c r="F1453" s="47" t="n">
        <v>46120</v>
      </c>
      <c r="G1453" s="46" t="n">
        <v>1023</v>
      </c>
      <c r="H1453" s="46" t="n">
        <v>1023</v>
      </c>
      <c r="I1453" s="46" t="n">
        <v>1</v>
      </c>
      <c r="J1453" s="44" t="n">
        <v>5.3045</v>
      </c>
      <c r="K1453" s="43" t="inlineStr">
        <is>
          <t>Received</t>
        </is>
      </c>
      <c r="L1453" s="17">
        <f>INDEX(Items!$C$2:$C$117,MATCH(B1453,Items!$A$2:$A$117,0))</f>
        <v/>
      </c>
      <c r="M1453" s="49">
        <f>INDEX(Items!$E$2:$E$117,MATCH(B1453,Items!$A$2:$A$117,0))</f>
        <v/>
      </c>
      <c r="N1453" s="17">
        <f>TEXT(D1453,"yyyy-mm")</f>
        <v/>
      </c>
      <c r="O1453" s="50">
        <f>G1453*J1453</f>
        <v/>
      </c>
      <c r="P1453" s="50">
        <f>(J1453-M1453)*G1453</f>
        <v/>
      </c>
      <c r="Q1453" s="51">
        <f>IF(K1453="Received",1,0)</f>
        <v/>
      </c>
      <c r="R1453" s="51">
        <f>IF(Q1453=1,F1453-D1453,0)</f>
        <v/>
      </c>
      <c r="S1453" s="51">
        <f>IF(Q1453=1,IF(F1453&lt;=E1453,1,0),0)</f>
        <v/>
      </c>
      <c r="T1453" s="51">
        <f>IF(Q1453=1,IF(H1453&gt;=G1453,1,0),0)</f>
        <v/>
      </c>
      <c r="U1453" s="51">
        <f>S1453*T1453</f>
        <v/>
      </c>
      <c r="V1453" s="51">
        <f>IF(Q1453=1,MAX(0,F1453-E1453),0)</f>
        <v/>
      </c>
    </row>
    <row r="1454">
      <c r="A1454" s="43" t="inlineStr">
        <is>
          <t>PO100787</t>
        </is>
      </c>
      <c r="B1454" s="43" t="inlineStr">
        <is>
          <t>CMD-0035</t>
        </is>
      </c>
      <c r="C1454" s="43" t="inlineStr">
        <is>
          <t>S01</t>
        </is>
      </c>
      <c r="D1454" s="47" t="n">
        <v>46095</v>
      </c>
      <c r="E1454" s="47" t="n">
        <v>46123</v>
      </c>
      <c r="F1454" s="47" t="n">
        <v>46122</v>
      </c>
      <c r="G1454" s="46" t="n">
        <v>661</v>
      </c>
      <c r="H1454" s="46" t="n">
        <v>661</v>
      </c>
      <c r="I1454" s="46" t="n">
        <v>1</v>
      </c>
      <c r="J1454" s="44" t="n">
        <v>9.6511</v>
      </c>
      <c r="K1454" s="43" t="inlineStr">
        <is>
          <t>Received</t>
        </is>
      </c>
      <c r="L1454" s="17">
        <f>INDEX(Items!$C$2:$C$117,MATCH(B1454,Items!$A$2:$A$117,0))</f>
        <v/>
      </c>
      <c r="M1454" s="49">
        <f>INDEX(Items!$E$2:$E$117,MATCH(B1454,Items!$A$2:$A$117,0))</f>
        <v/>
      </c>
      <c r="N1454" s="17">
        <f>TEXT(D1454,"yyyy-mm")</f>
        <v/>
      </c>
      <c r="O1454" s="50">
        <f>G1454*J1454</f>
        <v/>
      </c>
      <c r="P1454" s="50">
        <f>(J1454-M1454)*G1454</f>
        <v/>
      </c>
      <c r="Q1454" s="51">
        <f>IF(K1454="Received",1,0)</f>
        <v/>
      </c>
      <c r="R1454" s="51">
        <f>IF(Q1454=1,F1454-D1454,0)</f>
        <v/>
      </c>
      <c r="S1454" s="51">
        <f>IF(Q1454=1,IF(F1454&lt;=E1454,1,0),0)</f>
        <v/>
      </c>
      <c r="T1454" s="51">
        <f>IF(Q1454=1,IF(H1454&gt;=G1454,1,0),0)</f>
        <v/>
      </c>
      <c r="U1454" s="51">
        <f>S1454*T1454</f>
        <v/>
      </c>
      <c r="V1454" s="51">
        <f>IF(Q1454=1,MAX(0,F1454-E1454),0)</f>
        <v/>
      </c>
    </row>
    <row r="1455">
      <c r="A1455" s="43" t="inlineStr">
        <is>
          <t>PO101635</t>
        </is>
      </c>
      <c r="B1455" s="43" t="inlineStr">
        <is>
          <t>CMD-0090</t>
        </is>
      </c>
      <c r="C1455" s="43" t="inlineStr">
        <is>
          <t>S01</t>
        </is>
      </c>
      <c r="D1455" s="47" t="n">
        <v>46096</v>
      </c>
      <c r="E1455" s="47" t="n">
        <v>46110</v>
      </c>
      <c r="F1455" s="47" t="n">
        <v>46109</v>
      </c>
      <c r="G1455" s="46" t="n">
        <v>3836</v>
      </c>
      <c r="H1455" s="46" t="n">
        <v>3836</v>
      </c>
      <c r="I1455" s="46" t="n">
        <v>12</v>
      </c>
      <c r="J1455" s="44" t="n">
        <v>7.1997</v>
      </c>
      <c r="K1455" s="43" t="inlineStr">
        <is>
          <t>Received</t>
        </is>
      </c>
      <c r="L1455" s="17">
        <f>INDEX(Items!$C$2:$C$117,MATCH(B1455,Items!$A$2:$A$117,0))</f>
        <v/>
      </c>
      <c r="M1455" s="49">
        <f>INDEX(Items!$E$2:$E$117,MATCH(B1455,Items!$A$2:$A$117,0))</f>
        <v/>
      </c>
      <c r="N1455" s="17">
        <f>TEXT(D1455,"yyyy-mm")</f>
        <v/>
      </c>
      <c r="O1455" s="50">
        <f>G1455*J1455</f>
        <v/>
      </c>
      <c r="P1455" s="50">
        <f>(J1455-M1455)*G1455</f>
        <v/>
      </c>
      <c r="Q1455" s="51">
        <f>IF(K1455="Received",1,0)</f>
        <v/>
      </c>
      <c r="R1455" s="51">
        <f>IF(Q1455=1,F1455-D1455,0)</f>
        <v/>
      </c>
      <c r="S1455" s="51">
        <f>IF(Q1455=1,IF(F1455&lt;=E1455,1,0),0)</f>
        <v/>
      </c>
      <c r="T1455" s="51">
        <f>IF(Q1455=1,IF(H1455&gt;=G1455,1,0),0)</f>
        <v/>
      </c>
      <c r="U1455" s="51">
        <f>S1455*T1455</f>
        <v/>
      </c>
      <c r="V1455" s="51">
        <f>IF(Q1455=1,MAX(0,F1455-E1455),0)</f>
        <v/>
      </c>
    </row>
    <row r="1456">
      <c r="A1456" s="43" t="inlineStr">
        <is>
          <t>PO101023</t>
        </is>
      </c>
      <c r="B1456" s="43" t="inlineStr">
        <is>
          <t>CMD-0046</t>
        </is>
      </c>
      <c r="C1456" s="43" t="inlineStr">
        <is>
          <t>S05</t>
        </is>
      </c>
      <c r="D1456" s="47" t="n">
        <v>46096</v>
      </c>
      <c r="E1456" s="47" t="n">
        <v>46201</v>
      </c>
      <c r="F1456" s="47" t="n">
        <v>46231</v>
      </c>
      <c r="G1456" s="46" t="n">
        <v>7852</v>
      </c>
      <c r="H1456" s="46" t="n">
        <v>7852</v>
      </c>
      <c r="I1456" s="46" t="n">
        <v>139</v>
      </c>
      <c r="J1456" s="44" t="n">
        <v>10.8871</v>
      </c>
      <c r="K1456" s="43" t="inlineStr">
        <is>
          <t>Received</t>
        </is>
      </c>
      <c r="L1456" s="17">
        <f>INDEX(Items!$C$2:$C$117,MATCH(B1456,Items!$A$2:$A$117,0))</f>
        <v/>
      </c>
      <c r="M1456" s="49">
        <f>INDEX(Items!$E$2:$E$117,MATCH(B1456,Items!$A$2:$A$117,0))</f>
        <v/>
      </c>
      <c r="N1456" s="17">
        <f>TEXT(D1456,"yyyy-mm")</f>
        <v/>
      </c>
      <c r="O1456" s="50">
        <f>G1456*J1456</f>
        <v/>
      </c>
      <c r="P1456" s="50">
        <f>(J1456-M1456)*G1456</f>
        <v/>
      </c>
      <c r="Q1456" s="51">
        <f>IF(K1456="Received",1,0)</f>
        <v/>
      </c>
      <c r="R1456" s="51">
        <f>IF(Q1456=1,F1456-D1456,0)</f>
        <v/>
      </c>
      <c r="S1456" s="51">
        <f>IF(Q1456=1,IF(F1456&lt;=E1456,1,0),0)</f>
        <v/>
      </c>
      <c r="T1456" s="51">
        <f>IF(Q1456=1,IF(H1456&gt;=G1456,1,0),0)</f>
        <v/>
      </c>
      <c r="U1456" s="51">
        <f>S1456*T1456</f>
        <v/>
      </c>
      <c r="V1456" s="51">
        <f>IF(Q1456=1,MAX(0,F1456-E1456),0)</f>
        <v/>
      </c>
    </row>
    <row r="1457">
      <c r="A1457" s="43" t="inlineStr">
        <is>
          <t>PO101069</t>
        </is>
      </c>
      <c r="B1457" s="43" t="inlineStr">
        <is>
          <t>CMD-0048</t>
        </is>
      </c>
      <c r="C1457" s="43" t="inlineStr">
        <is>
          <t>S10</t>
        </is>
      </c>
      <c r="D1457" s="47" t="n">
        <v>46096</v>
      </c>
      <c r="E1457" s="47" t="n">
        <v>46124</v>
      </c>
      <c r="F1457" s="47" t="n">
        <v>46130</v>
      </c>
      <c r="G1457" s="46" t="n">
        <v>18950</v>
      </c>
      <c r="H1457" s="46" t="n">
        <v>18950</v>
      </c>
      <c r="I1457" s="46" t="n">
        <v>15</v>
      </c>
      <c r="J1457" s="44" t="n">
        <v>0.3328</v>
      </c>
      <c r="K1457" s="43" t="inlineStr">
        <is>
          <t>Received</t>
        </is>
      </c>
      <c r="L1457" s="17">
        <f>INDEX(Items!$C$2:$C$117,MATCH(B1457,Items!$A$2:$A$117,0))</f>
        <v/>
      </c>
      <c r="M1457" s="49">
        <f>INDEX(Items!$E$2:$E$117,MATCH(B1457,Items!$A$2:$A$117,0))</f>
        <v/>
      </c>
      <c r="N1457" s="17">
        <f>TEXT(D1457,"yyyy-mm")</f>
        <v/>
      </c>
      <c r="O1457" s="50">
        <f>G1457*J1457</f>
        <v/>
      </c>
      <c r="P1457" s="50">
        <f>(J1457-M1457)*G1457</f>
        <v/>
      </c>
      <c r="Q1457" s="51">
        <f>IF(K1457="Received",1,0)</f>
        <v/>
      </c>
      <c r="R1457" s="51">
        <f>IF(Q1457=1,F1457-D1457,0)</f>
        <v/>
      </c>
      <c r="S1457" s="51">
        <f>IF(Q1457=1,IF(F1457&lt;=E1457,1,0),0)</f>
        <v/>
      </c>
      <c r="T1457" s="51">
        <f>IF(Q1457=1,IF(H1457&gt;=G1457,1,0),0)</f>
        <v/>
      </c>
      <c r="U1457" s="51">
        <f>S1457*T1457</f>
        <v/>
      </c>
      <c r="V1457" s="51">
        <f>IF(Q1457=1,MAX(0,F1457-E1457),0)</f>
        <v/>
      </c>
    </row>
    <row r="1458">
      <c r="A1458" s="43" t="inlineStr">
        <is>
          <t>PO100405</t>
        </is>
      </c>
      <c r="B1458" s="43" t="inlineStr">
        <is>
          <t>CMD-0018</t>
        </is>
      </c>
      <c r="C1458" s="43" t="inlineStr">
        <is>
          <t>S02</t>
        </is>
      </c>
      <c r="D1458" s="47" t="n">
        <v>46096</v>
      </c>
      <c r="E1458" s="47" t="n">
        <v>46152</v>
      </c>
      <c r="F1458" s="47" t="n">
        <v>46152</v>
      </c>
      <c r="G1458" s="46" t="n">
        <v>7342</v>
      </c>
      <c r="H1458" s="46" t="n">
        <v>7342</v>
      </c>
      <c r="I1458" s="46" t="n">
        <v>22</v>
      </c>
      <c r="J1458" s="44" t="n">
        <v>39.0576</v>
      </c>
      <c r="K1458" s="43" t="inlineStr">
        <is>
          <t>Received</t>
        </is>
      </c>
      <c r="L1458" s="17">
        <f>INDEX(Items!$C$2:$C$117,MATCH(B1458,Items!$A$2:$A$117,0))</f>
        <v/>
      </c>
      <c r="M1458" s="49">
        <f>INDEX(Items!$E$2:$E$117,MATCH(B1458,Items!$A$2:$A$117,0))</f>
        <v/>
      </c>
      <c r="N1458" s="17">
        <f>TEXT(D1458,"yyyy-mm")</f>
        <v/>
      </c>
      <c r="O1458" s="50">
        <f>G1458*J1458</f>
        <v/>
      </c>
      <c r="P1458" s="50">
        <f>(J1458-M1458)*G1458</f>
        <v/>
      </c>
      <c r="Q1458" s="51">
        <f>IF(K1458="Received",1,0)</f>
        <v/>
      </c>
      <c r="R1458" s="51">
        <f>IF(Q1458=1,F1458-D1458,0)</f>
        <v/>
      </c>
      <c r="S1458" s="51">
        <f>IF(Q1458=1,IF(F1458&lt;=E1458,1,0),0)</f>
        <v/>
      </c>
      <c r="T1458" s="51">
        <f>IF(Q1458=1,IF(H1458&gt;=G1458,1,0),0)</f>
        <v/>
      </c>
      <c r="U1458" s="51">
        <f>S1458*T1458</f>
        <v/>
      </c>
      <c r="V1458" s="51">
        <f>IF(Q1458=1,MAX(0,F1458-E1458),0)</f>
        <v/>
      </c>
    </row>
    <row r="1459">
      <c r="A1459" s="43" t="inlineStr">
        <is>
          <t>PO100763</t>
        </is>
      </c>
      <c r="B1459" s="43" t="inlineStr">
        <is>
          <t>CMD-0034</t>
        </is>
      </c>
      <c r="C1459" s="43" t="inlineStr">
        <is>
          <t>S04</t>
        </is>
      </c>
      <c r="D1459" s="47" t="n">
        <v>46096</v>
      </c>
      <c r="E1459" s="47" t="n">
        <v>46138</v>
      </c>
      <c r="F1459" s="47" t="n">
        <v>46138</v>
      </c>
      <c r="G1459" s="46" t="n">
        <v>639</v>
      </c>
      <c r="H1459" s="46" t="n">
        <v>639</v>
      </c>
      <c r="I1459" s="46" t="n">
        <v>7</v>
      </c>
      <c r="J1459" s="44" t="n">
        <v>10.8665</v>
      </c>
      <c r="K1459" s="43" t="inlineStr">
        <is>
          <t>Received</t>
        </is>
      </c>
      <c r="L1459" s="17">
        <f>INDEX(Items!$C$2:$C$117,MATCH(B1459,Items!$A$2:$A$117,0))</f>
        <v/>
      </c>
      <c r="M1459" s="49">
        <f>INDEX(Items!$E$2:$E$117,MATCH(B1459,Items!$A$2:$A$117,0))</f>
        <v/>
      </c>
      <c r="N1459" s="17">
        <f>TEXT(D1459,"yyyy-mm")</f>
        <v/>
      </c>
      <c r="O1459" s="50">
        <f>G1459*J1459</f>
        <v/>
      </c>
      <c r="P1459" s="50">
        <f>(J1459-M1459)*G1459</f>
        <v/>
      </c>
      <c r="Q1459" s="51">
        <f>IF(K1459="Received",1,0)</f>
        <v/>
      </c>
      <c r="R1459" s="51">
        <f>IF(Q1459=1,F1459-D1459,0)</f>
        <v/>
      </c>
      <c r="S1459" s="51">
        <f>IF(Q1459=1,IF(F1459&lt;=E1459,1,0),0)</f>
        <v/>
      </c>
      <c r="T1459" s="51">
        <f>IF(Q1459=1,IF(H1459&gt;=G1459,1,0),0)</f>
        <v/>
      </c>
      <c r="U1459" s="51">
        <f>S1459*T1459</f>
        <v/>
      </c>
      <c r="V1459" s="51">
        <f>IF(Q1459=1,MAX(0,F1459-E1459),0)</f>
        <v/>
      </c>
    </row>
    <row r="1460">
      <c r="A1460" s="43" t="inlineStr">
        <is>
          <t>PO100233</t>
        </is>
      </c>
      <c r="B1460" s="43" t="inlineStr">
        <is>
          <t>CMD-0010</t>
        </is>
      </c>
      <c r="C1460" s="43" t="inlineStr">
        <is>
          <t>S03</t>
        </is>
      </c>
      <c r="D1460" s="47" t="n">
        <v>46096</v>
      </c>
      <c r="E1460" s="47" t="n">
        <v>46229</v>
      </c>
      <c r="F1460" s="47" t="n">
        <v>46250</v>
      </c>
      <c r="G1460" s="46" t="n">
        <v>3945</v>
      </c>
      <c r="H1460" s="46" t="n">
        <v>3945</v>
      </c>
      <c r="I1460" s="46" t="n">
        <v>31</v>
      </c>
      <c r="J1460" s="44" t="n">
        <v>5.4634</v>
      </c>
      <c r="K1460" s="43" t="inlineStr">
        <is>
          <t>Received</t>
        </is>
      </c>
      <c r="L1460" s="17">
        <f>INDEX(Items!$C$2:$C$117,MATCH(B1460,Items!$A$2:$A$117,0))</f>
        <v/>
      </c>
      <c r="M1460" s="49">
        <f>INDEX(Items!$E$2:$E$117,MATCH(B1460,Items!$A$2:$A$117,0))</f>
        <v/>
      </c>
      <c r="N1460" s="17">
        <f>TEXT(D1460,"yyyy-mm")</f>
        <v/>
      </c>
      <c r="O1460" s="50">
        <f>G1460*J1460</f>
        <v/>
      </c>
      <c r="P1460" s="50">
        <f>(J1460-M1460)*G1460</f>
        <v/>
      </c>
      <c r="Q1460" s="51">
        <f>IF(K1460="Received",1,0)</f>
        <v/>
      </c>
      <c r="R1460" s="51">
        <f>IF(Q1460=1,F1460-D1460,0)</f>
        <v/>
      </c>
      <c r="S1460" s="51">
        <f>IF(Q1460=1,IF(F1460&lt;=E1460,1,0),0)</f>
        <v/>
      </c>
      <c r="T1460" s="51">
        <f>IF(Q1460=1,IF(H1460&gt;=G1460,1,0),0)</f>
        <v/>
      </c>
      <c r="U1460" s="51">
        <f>S1460*T1460</f>
        <v/>
      </c>
      <c r="V1460" s="51">
        <f>IF(Q1460=1,MAX(0,F1460-E1460),0)</f>
        <v/>
      </c>
    </row>
    <row r="1461">
      <c r="A1461" s="43" t="inlineStr">
        <is>
          <t>PO100561</t>
        </is>
      </c>
      <c r="B1461" s="43" t="inlineStr">
        <is>
          <t>CMD-0025</t>
        </is>
      </c>
      <c r="C1461" s="43" t="inlineStr">
        <is>
          <t>S02</t>
        </is>
      </c>
      <c r="D1461" s="47" t="n">
        <v>46097</v>
      </c>
      <c r="E1461" s="47" t="n">
        <v>46153</v>
      </c>
      <c r="F1461" s="47" t="n">
        <v>46150</v>
      </c>
      <c r="G1461" s="46" t="n">
        <v>1119</v>
      </c>
      <c r="H1461" s="46" t="n">
        <v>1119</v>
      </c>
      <c r="I1461" s="46" t="n">
        <v>8</v>
      </c>
      <c r="J1461" s="44" t="n">
        <v>10.8356</v>
      </c>
      <c r="K1461" s="43" t="inlineStr">
        <is>
          <t>Received</t>
        </is>
      </c>
      <c r="L1461" s="17">
        <f>INDEX(Items!$C$2:$C$117,MATCH(B1461,Items!$A$2:$A$117,0))</f>
        <v/>
      </c>
      <c r="M1461" s="49">
        <f>INDEX(Items!$E$2:$E$117,MATCH(B1461,Items!$A$2:$A$117,0))</f>
        <v/>
      </c>
      <c r="N1461" s="17">
        <f>TEXT(D1461,"yyyy-mm")</f>
        <v/>
      </c>
      <c r="O1461" s="50">
        <f>G1461*J1461</f>
        <v/>
      </c>
      <c r="P1461" s="50">
        <f>(J1461-M1461)*G1461</f>
        <v/>
      </c>
      <c r="Q1461" s="51">
        <f>IF(K1461="Received",1,0)</f>
        <v/>
      </c>
      <c r="R1461" s="51">
        <f>IF(Q1461=1,F1461-D1461,0)</f>
        <v/>
      </c>
      <c r="S1461" s="51">
        <f>IF(Q1461=1,IF(F1461&lt;=E1461,1,0),0)</f>
        <v/>
      </c>
      <c r="T1461" s="51">
        <f>IF(Q1461=1,IF(H1461&gt;=G1461,1,0),0)</f>
        <v/>
      </c>
      <c r="U1461" s="51">
        <f>S1461*T1461</f>
        <v/>
      </c>
      <c r="V1461" s="51">
        <f>IF(Q1461=1,MAX(0,F1461-E1461),0)</f>
        <v/>
      </c>
    </row>
    <row r="1462">
      <c r="A1462" s="43" t="inlineStr">
        <is>
          <t>PO100285</t>
        </is>
      </c>
      <c r="B1462" s="43" t="inlineStr">
        <is>
          <t>CMD-0013</t>
        </is>
      </c>
      <c r="C1462" s="43" t="inlineStr">
        <is>
          <t>S11</t>
        </is>
      </c>
      <c r="D1462" s="47" t="n">
        <v>46097</v>
      </c>
      <c r="E1462" s="47" t="n">
        <v>46216</v>
      </c>
      <c r="F1462" s="47" t="n">
        <v>46216</v>
      </c>
      <c r="G1462" s="46" t="n">
        <v>943</v>
      </c>
      <c r="H1462" s="46" t="n">
        <v>943</v>
      </c>
      <c r="I1462" s="46" t="n">
        <v>3</v>
      </c>
      <c r="J1462" s="44" t="n">
        <v>7.965</v>
      </c>
      <c r="K1462" s="43" t="inlineStr">
        <is>
          <t>Received</t>
        </is>
      </c>
      <c r="L1462" s="17">
        <f>INDEX(Items!$C$2:$C$117,MATCH(B1462,Items!$A$2:$A$117,0))</f>
        <v/>
      </c>
      <c r="M1462" s="49">
        <f>INDEX(Items!$E$2:$E$117,MATCH(B1462,Items!$A$2:$A$117,0))</f>
        <v/>
      </c>
      <c r="N1462" s="17">
        <f>TEXT(D1462,"yyyy-mm")</f>
        <v/>
      </c>
      <c r="O1462" s="50">
        <f>G1462*J1462</f>
        <v/>
      </c>
      <c r="P1462" s="50">
        <f>(J1462-M1462)*G1462</f>
        <v/>
      </c>
      <c r="Q1462" s="51">
        <f>IF(K1462="Received",1,0)</f>
        <v/>
      </c>
      <c r="R1462" s="51">
        <f>IF(Q1462=1,F1462-D1462,0)</f>
        <v/>
      </c>
      <c r="S1462" s="51">
        <f>IF(Q1462=1,IF(F1462&lt;=E1462,1,0),0)</f>
        <v/>
      </c>
      <c r="T1462" s="51">
        <f>IF(Q1462=1,IF(H1462&gt;=G1462,1,0),0)</f>
        <v/>
      </c>
      <c r="U1462" s="51">
        <f>S1462*T1462</f>
        <v/>
      </c>
      <c r="V1462" s="51">
        <f>IF(Q1462=1,MAX(0,F1462-E1462),0)</f>
        <v/>
      </c>
    </row>
    <row r="1463">
      <c r="A1463" s="43" t="inlineStr">
        <is>
          <t>PO100739</t>
        </is>
      </c>
      <c r="B1463" s="43" t="inlineStr">
        <is>
          <t>CMD-0033</t>
        </is>
      </c>
      <c r="C1463" s="43" t="inlineStr">
        <is>
          <t>S07</t>
        </is>
      </c>
      <c r="D1463" s="47" t="n">
        <v>46097</v>
      </c>
      <c r="E1463" s="47" t="n">
        <v>46139</v>
      </c>
      <c r="F1463" s="47" t="n">
        <v>46139</v>
      </c>
      <c r="G1463" s="46" t="n">
        <v>3343</v>
      </c>
      <c r="H1463" s="46" t="n">
        <v>3343</v>
      </c>
      <c r="I1463" s="46" t="n">
        <v>20</v>
      </c>
      <c r="J1463" s="44" t="n">
        <v>60.1108</v>
      </c>
      <c r="K1463" s="43" t="inlineStr">
        <is>
          <t>Received</t>
        </is>
      </c>
      <c r="L1463" s="17">
        <f>INDEX(Items!$C$2:$C$117,MATCH(B1463,Items!$A$2:$A$117,0))</f>
        <v/>
      </c>
      <c r="M1463" s="49">
        <f>INDEX(Items!$E$2:$E$117,MATCH(B1463,Items!$A$2:$A$117,0))</f>
        <v/>
      </c>
      <c r="N1463" s="17">
        <f>TEXT(D1463,"yyyy-mm")</f>
        <v/>
      </c>
      <c r="O1463" s="50">
        <f>G1463*J1463</f>
        <v/>
      </c>
      <c r="P1463" s="50">
        <f>(J1463-M1463)*G1463</f>
        <v/>
      </c>
      <c r="Q1463" s="51">
        <f>IF(K1463="Received",1,0)</f>
        <v/>
      </c>
      <c r="R1463" s="51">
        <f>IF(Q1463=1,F1463-D1463,0)</f>
        <v/>
      </c>
      <c r="S1463" s="51">
        <f>IF(Q1463=1,IF(F1463&lt;=E1463,1,0),0)</f>
        <v/>
      </c>
      <c r="T1463" s="51">
        <f>IF(Q1463=1,IF(H1463&gt;=G1463,1,0),0)</f>
        <v/>
      </c>
      <c r="U1463" s="51">
        <f>S1463*T1463</f>
        <v/>
      </c>
      <c r="V1463" s="51">
        <f>IF(Q1463=1,MAX(0,F1463-E1463),0)</f>
        <v/>
      </c>
    </row>
    <row r="1464">
      <c r="A1464" s="43" t="inlineStr">
        <is>
          <t>PO101837</t>
        </is>
      </c>
      <c r="B1464" s="43" t="inlineStr">
        <is>
          <t>CMD-0100</t>
        </is>
      </c>
      <c r="C1464" s="43" t="inlineStr">
        <is>
          <t>S09</t>
        </is>
      </c>
      <c r="D1464" s="47" t="n">
        <v>46097</v>
      </c>
      <c r="E1464" s="47" t="n">
        <v>46118</v>
      </c>
      <c r="F1464" s="47" t="n">
        <v>46118</v>
      </c>
      <c r="G1464" s="46" t="n">
        <v>6264</v>
      </c>
      <c r="H1464" s="46" t="n">
        <v>6264</v>
      </c>
      <c r="I1464" s="46" t="n">
        <v>17</v>
      </c>
      <c r="J1464" s="44" t="n">
        <v>5.0882</v>
      </c>
      <c r="K1464" s="43" t="inlineStr">
        <is>
          <t>Received</t>
        </is>
      </c>
      <c r="L1464" s="17">
        <f>INDEX(Items!$C$2:$C$117,MATCH(B1464,Items!$A$2:$A$117,0))</f>
        <v/>
      </c>
      <c r="M1464" s="49">
        <f>INDEX(Items!$E$2:$E$117,MATCH(B1464,Items!$A$2:$A$117,0))</f>
        <v/>
      </c>
      <c r="N1464" s="17">
        <f>TEXT(D1464,"yyyy-mm")</f>
        <v/>
      </c>
      <c r="O1464" s="50">
        <f>G1464*J1464</f>
        <v/>
      </c>
      <c r="P1464" s="50">
        <f>(J1464-M1464)*G1464</f>
        <v/>
      </c>
      <c r="Q1464" s="51">
        <f>IF(K1464="Received",1,0)</f>
        <v/>
      </c>
      <c r="R1464" s="51">
        <f>IF(Q1464=1,F1464-D1464,0)</f>
        <v/>
      </c>
      <c r="S1464" s="51">
        <f>IF(Q1464=1,IF(F1464&lt;=E1464,1,0),0)</f>
        <v/>
      </c>
      <c r="T1464" s="51">
        <f>IF(Q1464=1,IF(H1464&gt;=G1464,1,0),0)</f>
        <v/>
      </c>
      <c r="U1464" s="51">
        <f>S1464*T1464</f>
        <v/>
      </c>
      <c r="V1464" s="51">
        <f>IF(Q1464=1,MAX(0,F1464-E1464),0)</f>
        <v/>
      </c>
    </row>
    <row r="1465">
      <c r="A1465" s="43" t="inlineStr">
        <is>
          <t>PO100835</t>
        </is>
      </c>
      <c r="B1465" s="43" t="inlineStr">
        <is>
          <t>CMD-0037</t>
        </is>
      </c>
      <c r="C1465" s="43" t="inlineStr">
        <is>
          <t>S07</t>
        </is>
      </c>
      <c r="D1465" s="47" t="n">
        <v>46097</v>
      </c>
      <c r="E1465" s="47" t="n">
        <v>46139</v>
      </c>
      <c r="F1465" s="47" t="n">
        <v>46136</v>
      </c>
      <c r="G1465" s="46" t="n">
        <v>476</v>
      </c>
      <c r="H1465" s="46" t="n">
        <v>476</v>
      </c>
      <c r="I1465" s="46" t="n">
        <v>2</v>
      </c>
      <c r="J1465" s="44" t="n">
        <v>55.2286</v>
      </c>
      <c r="K1465" s="43" t="inlineStr">
        <is>
          <t>Received</t>
        </is>
      </c>
      <c r="L1465" s="17">
        <f>INDEX(Items!$C$2:$C$117,MATCH(B1465,Items!$A$2:$A$117,0))</f>
        <v/>
      </c>
      <c r="M1465" s="49">
        <f>INDEX(Items!$E$2:$E$117,MATCH(B1465,Items!$A$2:$A$117,0))</f>
        <v/>
      </c>
      <c r="N1465" s="17">
        <f>TEXT(D1465,"yyyy-mm")</f>
        <v/>
      </c>
      <c r="O1465" s="50">
        <f>G1465*J1465</f>
        <v/>
      </c>
      <c r="P1465" s="50">
        <f>(J1465-M1465)*G1465</f>
        <v/>
      </c>
      <c r="Q1465" s="51">
        <f>IF(K1465="Received",1,0)</f>
        <v/>
      </c>
      <c r="R1465" s="51">
        <f>IF(Q1465=1,F1465-D1465,0)</f>
        <v/>
      </c>
      <c r="S1465" s="51">
        <f>IF(Q1465=1,IF(F1465&lt;=E1465,1,0),0)</f>
        <v/>
      </c>
      <c r="T1465" s="51">
        <f>IF(Q1465=1,IF(H1465&gt;=G1465,1,0),0)</f>
        <v/>
      </c>
      <c r="U1465" s="51">
        <f>S1465*T1465</f>
        <v/>
      </c>
      <c r="V1465" s="51">
        <f>IF(Q1465=1,MAX(0,F1465-E1465),0)</f>
        <v/>
      </c>
    </row>
    <row r="1466">
      <c r="A1466" s="43" t="inlineStr">
        <is>
          <t>PO101549</t>
        </is>
      </c>
      <c r="B1466" s="43" t="inlineStr">
        <is>
          <t>CMD-0082</t>
        </is>
      </c>
      <c r="C1466" s="43" t="inlineStr">
        <is>
          <t>S01</t>
        </is>
      </c>
      <c r="D1466" s="47" t="n">
        <v>46098</v>
      </c>
      <c r="E1466" s="47" t="n">
        <v>46112</v>
      </c>
      <c r="F1466" s="47" t="n">
        <v>46129</v>
      </c>
      <c r="G1466" s="46" t="n">
        <v>7264</v>
      </c>
      <c r="H1466" s="46" t="n">
        <v>7264</v>
      </c>
      <c r="I1466" s="46" t="n">
        <v>14</v>
      </c>
      <c r="J1466" s="44" t="n">
        <v>2.3896</v>
      </c>
      <c r="K1466" s="43" t="inlineStr">
        <is>
          <t>Received</t>
        </is>
      </c>
      <c r="L1466" s="17">
        <f>INDEX(Items!$C$2:$C$117,MATCH(B1466,Items!$A$2:$A$117,0))</f>
        <v/>
      </c>
      <c r="M1466" s="49">
        <f>INDEX(Items!$E$2:$E$117,MATCH(B1466,Items!$A$2:$A$117,0))</f>
        <v/>
      </c>
      <c r="N1466" s="17">
        <f>TEXT(D1466,"yyyy-mm")</f>
        <v/>
      </c>
      <c r="O1466" s="50">
        <f>G1466*J1466</f>
        <v/>
      </c>
      <c r="P1466" s="50">
        <f>(J1466-M1466)*G1466</f>
        <v/>
      </c>
      <c r="Q1466" s="51">
        <f>IF(K1466="Received",1,0)</f>
        <v/>
      </c>
      <c r="R1466" s="51">
        <f>IF(Q1466=1,F1466-D1466,0)</f>
        <v/>
      </c>
      <c r="S1466" s="51">
        <f>IF(Q1466=1,IF(F1466&lt;=E1466,1,0),0)</f>
        <v/>
      </c>
      <c r="T1466" s="51">
        <f>IF(Q1466=1,IF(H1466&gt;=G1466,1,0),0)</f>
        <v/>
      </c>
      <c r="U1466" s="51">
        <f>S1466*T1466</f>
        <v/>
      </c>
      <c r="V1466" s="51">
        <f>IF(Q1466=1,MAX(0,F1466-E1466),0)</f>
        <v/>
      </c>
    </row>
    <row r="1467">
      <c r="A1467" s="43" t="inlineStr">
        <is>
          <t>PO100041</t>
        </is>
      </c>
      <c r="B1467" s="43" t="inlineStr">
        <is>
          <t>CMD-0002</t>
        </is>
      </c>
      <c r="C1467" s="43" t="inlineStr">
        <is>
          <t>S11</t>
        </is>
      </c>
      <c r="D1467" s="47" t="n">
        <v>46098</v>
      </c>
      <c r="E1467" s="47" t="n">
        <v>46217</v>
      </c>
      <c r="F1467" s="47" t="n">
        <v>46214</v>
      </c>
      <c r="G1467" s="46" t="n">
        <v>7256</v>
      </c>
      <c r="H1467" s="46" t="n">
        <v>7256</v>
      </c>
      <c r="I1467" s="46" t="n">
        <v>13</v>
      </c>
      <c r="J1467" s="44" t="n">
        <v>8.083</v>
      </c>
      <c r="K1467" s="43" t="inlineStr">
        <is>
          <t>Received</t>
        </is>
      </c>
      <c r="L1467" s="17">
        <f>INDEX(Items!$C$2:$C$117,MATCH(B1467,Items!$A$2:$A$117,0))</f>
        <v/>
      </c>
      <c r="M1467" s="49">
        <f>INDEX(Items!$E$2:$E$117,MATCH(B1467,Items!$A$2:$A$117,0))</f>
        <v/>
      </c>
      <c r="N1467" s="17">
        <f>TEXT(D1467,"yyyy-mm")</f>
        <v/>
      </c>
      <c r="O1467" s="50">
        <f>G1467*J1467</f>
        <v/>
      </c>
      <c r="P1467" s="50">
        <f>(J1467-M1467)*G1467</f>
        <v/>
      </c>
      <c r="Q1467" s="51">
        <f>IF(K1467="Received",1,0)</f>
        <v/>
      </c>
      <c r="R1467" s="51">
        <f>IF(Q1467=1,F1467-D1467,0)</f>
        <v/>
      </c>
      <c r="S1467" s="51">
        <f>IF(Q1467=1,IF(F1467&lt;=E1467,1,0),0)</f>
        <v/>
      </c>
      <c r="T1467" s="51">
        <f>IF(Q1467=1,IF(H1467&gt;=G1467,1,0),0)</f>
        <v/>
      </c>
      <c r="U1467" s="51">
        <f>S1467*T1467</f>
        <v/>
      </c>
      <c r="V1467" s="51">
        <f>IF(Q1467=1,MAX(0,F1467-E1467),0)</f>
        <v/>
      </c>
    </row>
    <row r="1468">
      <c r="A1468" s="43" t="inlineStr">
        <is>
          <t>PO100681</t>
        </is>
      </c>
      <c r="B1468" s="43" t="inlineStr">
        <is>
          <t>CMD-0030</t>
        </is>
      </c>
      <c r="C1468" s="43" t="inlineStr">
        <is>
          <t>S11</t>
        </is>
      </c>
      <c r="D1468" s="47" t="n">
        <v>46098</v>
      </c>
      <c r="E1468" s="47" t="n">
        <v>46175</v>
      </c>
      <c r="F1468" s="47" t="n">
        <v>46173</v>
      </c>
      <c r="G1468" s="46" t="n">
        <v>6898</v>
      </c>
      <c r="H1468" s="46" t="n">
        <v>6898</v>
      </c>
      <c r="I1468" s="46" t="n">
        <v>19</v>
      </c>
      <c r="J1468" s="44" t="n">
        <v>23.8857</v>
      </c>
      <c r="K1468" s="43" t="inlineStr">
        <is>
          <t>Received</t>
        </is>
      </c>
      <c r="L1468" s="17">
        <f>INDEX(Items!$C$2:$C$117,MATCH(B1468,Items!$A$2:$A$117,0))</f>
        <v/>
      </c>
      <c r="M1468" s="49">
        <f>INDEX(Items!$E$2:$E$117,MATCH(B1468,Items!$A$2:$A$117,0))</f>
        <v/>
      </c>
      <c r="N1468" s="17">
        <f>TEXT(D1468,"yyyy-mm")</f>
        <v/>
      </c>
      <c r="O1468" s="50">
        <f>G1468*J1468</f>
        <v/>
      </c>
      <c r="P1468" s="50">
        <f>(J1468-M1468)*G1468</f>
        <v/>
      </c>
      <c r="Q1468" s="51">
        <f>IF(K1468="Received",1,0)</f>
        <v/>
      </c>
      <c r="R1468" s="51">
        <f>IF(Q1468=1,F1468-D1468,0)</f>
        <v/>
      </c>
      <c r="S1468" s="51">
        <f>IF(Q1468=1,IF(F1468&lt;=E1468,1,0),0)</f>
        <v/>
      </c>
      <c r="T1468" s="51">
        <f>IF(Q1468=1,IF(H1468&gt;=G1468,1,0),0)</f>
        <v/>
      </c>
      <c r="U1468" s="51">
        <f>S1468*T1468</f>
        <v/>
      </c>
      <c r="V1468" s="51">
        <f>IF(Q1468=1,MAX(0,F1468-E1468),0)</f>
        <v/>
      </c>
    </row>
    <row r="1469">
      <c r="A1469" s="43" t="inlineStr">
        <is>
          <t>PO100811</t>
        </is>
      </c>
      <c r="B1469" s="43" t="inlineStr">
        <is>
          <t>CMD-0036</t>
        </is>
      </c>
      <c r="C1469" s="43" t="inlineStr">
        <is>
          <t>S04</t>
        </is>
      </c>
      <c r="D1469" s="47" t="n">
        <v>46098</v>
      </c>
      <c r="E1469" s="47" t="n">
        <v>46140</v>
      </c>
      <c r="F1469" s="47" t="n">
        <v>46138</v>
      </c>
      <c r="G1469" s="46" t="n">
        <v>436</v>
      </c>
      <c r="H1469" s="46" t="n">
        <v>436</v>
      </c>
      <c r="I1469" s="46" t="n">
        <v>6</v>
      </c>
      <c r="J1469" s="44" t="n">
        <v>12.7308</v>
      </c>
      <c r="K1469" s="43" t="inlineStr">
        <is>
          <t>Received</t>
        </is>
      </c>
      <c r="L1469" s="17">
        <f>INDEX(Items!$C$2:$C$117,MATCH(B1469,Items!$A$2:$A$117,0))</f>
        <v/>
      </c>
      <c r="M1469" s="49">
        <f>INDEX(Items!$E$2:$E$117,MATCH(B1469,Items!$A$2:$A$117,0))</f>
        <v/>
      </c>
      <c r="N1469" s="17">
        <f>TEXT(D1469,"yyyy-mm")</f>
        <v/>
      </c>
      <c r="O1469" s="50">
        <f>G1469*J1469</f>
        <v/>
      </c>
      <c r="P1469" s="50">
        <f>(J1469-M1469)*G1469</f>
        <v/>
      </c>
      <c r="Q1469" s="51">
        <f>IF(K1469="Received",1,0)</f>
        <v/>
      </c>
      <c r="R1469" s="51">
        <f>IF(Q1469=1,F1469-D1469,0)</f>
        <v/>
      </c>
      <c r="S1469" s="51">
        <f>IF(Q1469=1,IF(F1469&lt;=E1469,1,0),0)</f>
        <v/>
      </c>
      <c r="T1469" s="51">
        <f>IF(Q1469=1,IF(H1469&gt;=G1469,1,0),0)</f>
        <v/>
      </c>
      <c r="U1469" s="51">
        <f>S1469*T1469</f>
        <v/>
      </c>
      <c r="V1469" s="51">
        <f>IF(Q1469=1,MAX(0,F1469-E1469),0)</f>
        <v/>
      </c>
    </row>
    <row r="1470">
      <c r="A1470" s="43" t="inlineStr">
        <is>
          <t>PO101497</t>
        </is>
      </c>
      <c r="B1470" s="43" t="inlineStr">
        <is>
          <t>CMD-0079</t>
        </is>
      </c>
      <c r="C1470" s="43" t="inlineStr">
        <is>
          <t>S06</t>
        </is>
      </c>
      <c r="D1470" s="47" t="n">
        <v>46098</v>
      </c>
      <c r="E1470" s="47" t="n">
        <v>46119</v>
      </c>
      <c r="F1470" s="47" t="n">
        <v>46119</v>
      </c>
      <c r="G1470" s="46" t="n">
        <v>1707</v>
      </c>
      <c r="H1470" s="46" t="n">
        <v>1707</v>
      </c>
      <c r="I1470" s="46" t="n">
        <v>10</v>
      </c>
      <c r="J1470" s="44" t="n">
        <v>3.6359</v>
      </c>
      <c r="K1470" s="43" t="inlineStr">
        <is>
          <t>Received</t>
        </is>
      </c>
      <c r="L1470" s="17">
        <f>INDEX(Items!$C$2:$C$117,MATCH(B1470,Items!$A$2:$A$117,0))</f>
        <v/>
      </c>
      <c r="M1470" s="49">
        <f>INDEX(Items!$E$2:$E$117,MATCH(B1470,Items!$A$2:$A$117,0))</f>
        <v/>
      </c>
      <c r="N1470" s="17">
        <f>TEXT(D1470,"yyyy-mm")</f>
        <v/>
      </c>
      <c r="O1470" s="50">
        <f>G1470*J1470</f>
        <v/>
      </c>
      <c r="P1470" s="50">
        <f>(J1470-M1470)*G1470</f>
        <v/>
      </c>
      <c r="Q1470" s="51">
        <f>IF(K1470="Received",1,0)</f>
        <v/>
      </c>
      <c r="R1470" s="51">
        <f>IF(Q1470=1,F1470-D1470,0)</f>
        <v/>
      </c>
      <c r="S1470" s="51">
        <f>IF(Q1470=1,IF(F1470&lt;=E1470,1,0),0)</f>
        <v/>
      </c>
      <c r="T1470" s="51">
        <f>IF(Q1470=1,IF(H1470&gt;=G1470,1,0),0)</f>
        <v/>
      </c>
      <c r="U1470" s="51">
        <f>S1470*T1470</f>
        <v/>
      </c>
      <c r="V1470" s="51">
        <f>IF(Q1470=1,MAX(0,F1470-E1470),0)</f>
        <v/>
      </c>
    </row>
    <row r="1471">
      <c r="A1471" s="43" t="inlineStr">
        <is>
          <t>PO100975</t>
        </is>
      </c>
      <c r="B1471" s="43" t="inlineStr">
        <is>
          <t>CMD-0044</t>
        </is>
      </c>
      <c r="C1471" s="43" t="inlineStr">
        <is>
          <t>S05</t>
        </is>
      </c>
      <c r="D1471" s="47" t="n">
        <v>46098</v>
      </c>
      <c r="E1471" s="47" t="n">
        <v>46203</v>
      </c>
      <c r="F1471" s="47" t="n">
        <v>46201</v>
      </c>
      <c r="G1471" s="46" t="n">
        <v>7069</v>
      </c>
      <c r="H1471" s="46" t="n">
        <v>7069</v>
      </c>
      <c r="I1471" s="46" t="n">
        <v>113</v>
      </c>
      <c r="J1471" s="44" t="n">
        <v>11.9171</v>
      </c>
      <c r="K1471" s="43" t="inlineStr">
        <is>
          <t>Received</t>
        </is>
      </c>
      <c r="L1471" s="17">
        <f>INDEX(Items!$C$2:$C$117,MATCH(B1471,Items!$A$2:$A$117,0))</f>
        <v/>
      </c>
      <c r="M1471" s="49">
        <f>INDEX(Items!$E$2:$E$117,MATCH(B1471,Items!$A$2:$A$117,0))</f>
        <v/>
      </c>
      <c r="N1471" s="17">
        <f>TEXT(D1471,"yyyy-mm")</f>
        <v/>
      </c>
      <c r="O1471" s="50">
        <f>G1471*J1471</f>
        <v/>
      </c>
      <c r="P1471" s="50">
        <f>(J1471-M1471)*G1471</f>
        <v/>
      </c>
      <c r="Q1471" s="51">
        <f>IF(K1471="Received",1,0)</f>
        <v/>
      </c>
      <c r="R1471" s="51">
        <f>IF(Q1471=1,F1471-D1471,0)</f>
        <v/>
      </c>
      <c r="S1471" s="51">
        <f>IF(Q1471=1,IF(F1471&lt;=E1471,1,0),0)</f>
        <v/>
      </c>
      <c r="T1471" s="51">
        <f>IF(Q1471=1,IF(H1471&gt;=G1471,1,0),0)</f>
        <v/>
      </c>
      <c r="U1471" s="51">
        <f>S1471*T1471</f>
        <v/>
      </c>
      <c r="V1471" s="51">
        <f>IF(Q1471=1,MAX(0,F1471-E1471),0)</f>
        <v/>
      </c>
    </row>
    <row r="1472">
      <c r="A1472" s="43" t="inlineStr">
        <is>
          <t>PO100185</t>
        </is>
      </c>
      <c r="B1472" s="43" t="inlineStr">
        <is>
          <t>CMD-0008</t>
        </is>
      </c>
      <c r="C1472" s="43" t="inlineStr">
        <is>
          <t>S03</t>
        </is>
      </c>
      <c r="D1472" s="47" t="n">
        <v>46098</v>
      </c>
      <c r="E1472" s="47" t="n">
        <v>46231</v>
      </c>
      <c r="F1472" s="47" t="n">
        <v>46229</v>
      </c>
      <c r="G1472" s="46" t="n">
        <v>1266</v>
      </c>
      <c r="H1472" s="46" t="n">
        <v>1266</v>
      </c>
      <c r="I1472" s="46" t="n">
        <v>4</v>
      </c>
      <c r="J1472" s="44" t="n">
        <v>27.9188</v>
      </c>
      <c r="K1472" s="43" t="inlineStr">
        <is>
          <t>Received</t>
        </is>
      </c>
      <c r="L1472" s="17">
        <f>INDEX(Items!$C$2:$C$117,MATCH(B1472,Items!$A$2:$A$117,0))</f>
        <v/>
      </c>
      <c r="M1472" s="49">
        <f>INDEX(Items!$E$2:$E$117,MATCH(B1472,Items!$A$2:$A$117,0))</f>
        <v/>
      </c>
      <c r="N1472" s="17">
        <f>TEXT(D1472,"yyyy-mm")</f>
        <v/>
      </c>
      <c r="O1472" s="50">
        <f>G1472*J1472</f>
        <v/>
      </c>
      <c r="P1472" s="50">
        <f>(J1472-M1472)*G1472</f>
        <v/>
      </c>
      <c r="Q1472" s="51">
        <f>IF(K1472="Received",1,0)</f>
        <v/>
      </c>
      <c r="R1472" s="51">
        <f>IF(Q1472=1,F1472-D1472,0)</f>
        <v/>
      </c>
      <c r="S1472" s="51">
        <f>IF(Q1472=1,IF(F1472&lt;=E1472,1,0),0)</f>
        <v/>
      </c>
      <c r="T1472" s="51">
        <f>IF(Q1472=1,IF(H1472&gt;=G1472,1,0),0)</f>
        <v/>
      </c>
      <c r="U1472" s="51">
        <f>S1472*T1472</f>
        <v/>
      </c>
      <c r="V1472" s="51">
        <f>IF(Q1472=1,MAX(0,F1472-E1472),0)</f>
        <v/>
      </c>
    </row>
    <row r="1473">
      <c r="A1473" s="43" t="inlineStr">
        <is>
          <t>PO100161</t>
        </is>
      </c>
      <c r="B1473" s="43" t="inlineStr">
        <is>
          <t>CMD-0007</t>
        </is>
      </c>
      <c r="C1473" s="43" t="inlineStr">
        <is>
          <t>S03</t>
        </is>
      </c>
      <c r="D1473" s="47" t="n">
        <v>46098</v>
      </c>
      <c r="E1473" s="47" t="n">
        <v>46231</v>
      </c>
      <c r="F1473" s="47" t="n">
        <v>46267</v>
      </c>
      <c r="G1473" s="46" t="n">
        <v>4442</v>
      </c>
      <c r="H1473" s="46" t="n">
        <v>2842</v>
      </c>
      <c r="I1473" s="46" t="n">
        <v>20</v>
      </c>
      <c r="J1473" s="44" t="n">
        <v>22.8802</v>
      </c>
      <c r="K1473" s="43" t="inlineStr">
        <is>
          <t>Received</t>
        </is>
      </c>
      <c r="L1473" s="17">
        <f>INDEX(Items!$C$2:$C$117,MATCH(B1473,Items!$A$2:$A$117,0))</f>
        <v/>
      </c>
      <c r="M1473" s="49">
        <f>INDEX(Items!$E$2:$E$117,MATCH(B1473,Items!$A$2:$A$117,0))</f>
        <v/>
      </c>
      <c r="N1473" s="17">
        <f>TEXT(D1473,"yyyy-mm")</f>
        <v/>
      </c>
      <c r="O1473" s="50">
        <f>G1473*J1473</f>
        <v/>
      </c>
      <c r="P1473" s="50">
        <f>(J1473-M1473)*G1473</f>
        <v/>
      </c>
      <c r="Q1473" s="51">
        <f>IF(K1473="Received",1,0)</f>
        <v/>
      </c>
      <c r="R1473" s="51">
        <f>IF(Q1473=1,F1473-D1473,0)</f>
        <v/>
      </c>
      <c r="S1473" s="51">
        <f>IF(Q1473=1,IF(F1473&lt;=E1473,1,0),0)</f>
        <v/>
      </c>
      <c r="T1473" s="51">
        <f>IF(Q1473=1,IF(H1473&gt;=G1473,1,0),0)</f>
        <v/>
      </c>
      <c r="U1473" s="51">
        <f>S1473*T1473</f>
        <v/>
      </c>
      <c r="V1473" s="51">
        <f>IF(Q1473=1,MAX(0,F1473-E1473),0)</f>
        <v/>
      </c>
    </row>
    <row r="1474">
      <c r="A1474" s="43" t="inlineStr">
        <is>
          <t>PO100951</t>
        </is>
      </c>
      <c r="B1474" s="43" t="inlineStr">
        <is>
          <t>CMD-0043</t>
        </is>
      </c>
      <c r="C1474" s="43" t="inlineStr">
        <is>
          <t>S05</t>
        </is>
      </c>
      <c r="D1474" s="47" t="n">
        <v>46098</v>
      </c>
      <c r="E1474" s="47" t="n">
        <v>46203</v>
      </c>
      <c r="F1474" s="47" t="n">
        <v>46211</v>
      </c>
      <c r="G1474" s="46" t="n">
        <v>5301</v>
      </c>
      <c r="H1474" s="46" t="n">
        <v>5301</v>
      </c>
      <c r="I1474" s="46" t="n">
        <v>113</v>
      </c>
      <c r="J1474" s="44" t="n">
        <v>3.8007</v>
      </c>
      <c r="K1474" s="43" t="inlineStr">
        <is>
          <t>Received</t>
        </is>
      </c>
      <c r="L1474" s="17">
        <f>INDEX(Items!$C$2:$C$117,MATCH(B1474,Items!$A$2:$A$117,0))</f>
        <v/>
      </c>
      <c r="M1474" s="49">
        <f>INDEX(Items!$E$2:$E$117,MATCH(B1474,Items!$A$2:$A$117,0))</f>
        <v/>
      </c>
      <c r="N1474" s="17">
        <f>TEXT(D1474,"yyyy-mm")</f>
        <v/>
      </c>
      <c r="O1474" s="50">
        <f>G1474*J1474</f>
        <v/>
      </c>
      <c r="P1474" s="50">
        <f>(J1474-M1474)*G1474</f>
        <v/>
      </c>
      <c r="Q1474" s="51">
        <f>IF(K1474="Received",1,0)</f>
        <v/>
      </c>
      <c r="R1474" s="51">
        <f>IF(Q1474=1,F1474-D1474,0)</f>
        <v/>
      </c>
      <c r="S1474" s="51">
        <f>IF(Q1474=1,IF(F1474&lt;=E1474,1,0),0)</f>
        <v/>
      </c>
      <c r="T1474" s="51">
        <f>IF(Q1474=1,IF(H1474&gt;=G1474,1,0),0)</f>
        <v/>
      </c>
      <c r="U1474" s="51">
        <f>S1474*T1474</f>
        <v/>
      </c>
      <c r="V1474" s="51">
        <f>IF(Q1474=1,MAX(0,F1474-E1474),0)</f>
        <v/>
      </c>
    </row>
    <row r="1475">
      <c r="A1475" s="43" t="inlineStr">
        <is>
          <t>PO101521</t>
        </is>
      </c>
      <c r="B1475" s="43" t="inlineStr">
        <is>
          <t>CMD-0080</t>
        </is>
      </c>
      <c r="C1475" s="43" t="inlineStr">
        <is>
          <t>S06</t>
        </is>
      </c>
      <c r="D1475" s="47" t="n">
        <v>46099</v>
      </c>
      <c r="E1475" s="47" t="n">
        <v>46120</v>
      </c>
      <c r="F1475" s="47" t="n">
        <v>46119</v>
      </c>
      <c r="G1475" s="46" t="n">
        <v>4572</v>
      </c>
      <c r="H1475" s="46" t="n">
        <v>4572</v>
      </c>
      <c r="I1475" s="46" t="n">
        <v>22</v>
      </c>
      <c r="J1475" s="44" t="n">
        <v>5.6959</v>
      </c>
      <c r="K1475" s="43" t="inlineStr">
        <is>
          <t>Received</t>
        </is>
      </c>
      <c r="L1475" s="17">
        <f>INDEX(Items!$C$2:$C$117,MATCH(B1475,Items!$A$2:$A$117,0))</f>
        <v/>
      </c>
      <c r="M1475" s="49">
        <f>INDEX(Items!$E$2:$E$117,MATCH(B1475,Items!$A$2:$A$117,0))</f>
        <v/>
      </c>
      <c r="N1475" s="17">
        <f>TEXT(D1475,"yyyy-mm")</f>
        <v/>
      </c>
      <c r="O1475" s="50">
        <f>G1475*J1475</f>
        <v/>
      </c>
      <c r="P1475" s="50">
        <f>(J1475-M1475)*G1475</f>
        <v/>
      </c>
      <c r="Q1475" s="51">
        <f>IF(K1475="Received",1,0)</f>
        <v/>
      </c>
      <c r="R1475" s="51">
        <f>IF(Q1475=1,F1475-D1475,0)</f>
        <v/>
      </c>
      <c r="S1475" s="51">
        <f>IF(Q1475=1,IF(F1475&lt;=E1475,1,0),0)</f>
        <v/>
      </c>
      <c r="T1475" s="51">
        <f>IF(Q1475=1,IF(H1475&gt;=G1475,1,0),0)</f>
        <v/>
      </c>
      <c r="U1475" s="51">
        <f>S1475*T1475</f>
        <v/>
      </c>
      <c r="V1475" s="51">
        <f>IF(Q1475=1,MAX(0,F1475-E1475),0)</f>
        <v/>
      </c>
    </row>
    <row r="1476">
      <c r="A1476" s="43" t="inlineStr">
        <is>
          <t>PO101245</t>
        </is>
      </c>
      <c r="B1476" s="43" t="inlineStr">
        <is>
          <t>CMD-0058</t>
        </is>
      </c>
      <c r="C1476" s="43" t="inlineStr">
        <is>
          <t>S04</t>
        </is>
      </c>
      <c r="D1476" s="47" t="n">
        <v>46099</v>
      </c>
      <c r="E1476" s="47" t="n">
        <v>46134</v>
      </c>
      <c r="F1476" s="47" t="n">
        <v>46136</v>
      </c>
      <c r="G1476" s="46" t="n">
        <v>63978</v>
      </c>
      <c r="H1476" s="46" t="n">
        <v>63978</v>
      </c>
      <c r="I1476" s="46" t="n">
        <v>639</v>
      </c>
      <c r="J1476" s="44" t="n">
        <v>0.1213</v>
      </c>
      <c r="K1476" s="43" t="inlineStr">
        <is>
          <t>Received</t>
        </is>
      </c>
      <c r="L1476" s="17">
        <f>INDEX(Items!$C$2:$C$117,MATCH(B1476,Items!$A$2:$A$117,0))</f>
        <v/>
      </c>
      <c r="M1476" s="49">
        <f>INDEX(Items!$E$2:$E$117,MATCH(B1476,Items!$A$2:$A$117,0))</f>
        <v/>
      </c>
      <c r="N1476" s="17">
        <f>TEXT(D1476,"yyyy-mm")</f>
        <v/>
      </c>
      <c r="O1476" s="50">
        <f>G1476*J1476</f>
        <v/>
      </c>
      <c r="P1476" s="50">
        <f>(J1476-M1476)*G1476</f>
        <v/>
      </c>
      <c r="Q1476" s="51">
        <f>IF(K1476="Received",1,0)</f>
        <v/>
      </c>
      <c r="R1476" s="51">
        <f>IF(Q1476=1,F1476-D1476,0)</f>
        <v/>
      </c>
      <c r="S1476" s="51">
        <f>IF(Q1476=1,IF(F1476&lt;=E1476,1,0),0)</f>
        <v/>
      </c>
      <c r="T1476" s="51">
        <f>IF(Q1476=1,IF(H1476&gt;=G1476,1,0),0)</f>
        <v/>
      </c>
      <c r="U1476" s="51">
        <f>S1476*T1476</f>
        <v/>
      </c>
      <c r="V1476" s="51">
        <f>IF(Q1476=1,MAX(0,F1476-E1476),0)</f>
        <v/>
      </c>
    </row>
    <row r="1477">
      <c r="A1477" s="43" t="inlineStr">
        <is>
          <t>PO101449</t>
        </is>
      </c>
      <c r="B1477" s="43" t="inlineStr">
        <is>
          <t>CMD-0077</t>
        </is>
      </c>
      <c r="C1477" s="43" t="inlineStr">
        <is>
          <t>S01</t>
        </is>
      </c>
      <c r="D1477" s="47" t="n">
        <v>46099</v>
      </c>
      <c r="E1477" s="47" t="n">
        <v>46113</v>
      </c>
      <c r="F1477" s="47" t="n">
        <v>46111</v>
      </c>
      <c r="G1477" s="46" t="n">
        <v>4673</v>
      </c>
      <c r="H1477" s="46" t="n">
        <v>4673</v>
      </c>
      <c r="I1477" s="46" t="n">
        <v>7</v>
      </c>
      <c r="J1477" s="44" t="n">
        <v>9.012499999999999</v>
      </c>
      <c r="K1477" s="43" t="inlineStr">
        <is>
          <t>Received</t>
        </is>
      </c>
      <c r="L1477" s="17">
        <f>INDEX(Items!$C$2:$C$117,MATCH(B1477,Items!$A$2:$A$117,0))</f>
        <v/>
      </c>
      <c r="M1477" s="49">
        <f>INDEX(Items!$E$2:$E$117,MATCH(B1477,Items!$A$2:$A$117,0))</f>
        <v/>
      </c>
      <c r="N1477" s="17">
        <f>TEXT(D1477,"yyyy-mm")</f>
        <v/>
      </c>
      <c r="O1477" s="50">
        <f>G1477*J1477</f>
        <v/>
      </c>
      <c r="P1477" s="50">
        <f>(J1477-M1477)*G1477</f>
        <v/>
      </c>
      <c r="Q1477" s="51">
        <f>IF(K1477="Received",1,0)</f>
        <v/>
      </c>
      <c r="R1477" s="51">
        <f>IF(Q1477=1,F1477-D1477,0)</f>
        <v/>
      </c>
      <c r="S1477" s="51">
        <f>IF(Q1477=1,IF(F1477&lt;=E1477,1,0),0)</f>
        <v/>
      </c>
      <c r="T1477" s="51">
        <f>IF(Q1477=1,IF(H1477&gt;=G1477,1,0),0)</f>
        <v/>
      </c>
      <c r="U1477" s="51">
        <f>S1477*T1477</f>
        <v/>
      </c>
      <c r="V1477" s="51">
        <f>IF(Q1477=1,MAX(0,F1477-E1477),0)</f>
        <v/>
      </c>
    </row>
    <row r="1478">
      <c r="A1478" s="43" t="inlineStr">
        <is>
          <t>PO100513</t>
        </is>
      </c>
      <c r="B1478" s="43" t="inlineStr">
        <is>
          <t>CMD-0023</t>
        </is>
      </c>
      <c r="C1478" s="43" t="inlineStr">
        <is>
          <t>S04</t>
        </is>
      </c>
      <c r="D1478" s="47" t="n">
        <v>46099</v>
      </c>
      <c r="E1478" s="47" t="n">
        <v>46169</v>
      </c>
      <c r="F1478" s="47" t="n">
        <v>46166</v>
      </c>
      <c r="G1478" s="46" t="n">
        <v>5010</v>
      </c>
      <c r="H1478" s="46" t="n">
        <v>5010</v>
      </c>
      <c r="I1478" s="46" t="n">
        <v>58</v>
      </c>
      <c r="J1478" s="44" t="n">
        <v>9.064</v>
      </c>
      <c r="K1478" s="43" t="inlineStr">
        <is>
          <t>Received</t>
        </is>
      </c>
      <c r="L1478" s="17">
        <f>INDEX(Items!$C$2:$C$117,MATCH(B1478,Items!$A$2:$A$117,0))</f>
        <v/>
      </c>
      <c r="M1478" s="49">
        <f>INDEX(Items!$E$2:$E$117,MATCH(B1478,Items!$A$2:$A$117,0))</f>
        <v/>
      </c>
      <c r="N1478" s="17">
        <f>TEXT(D1478,"yyyy-mm")</f>
        <v/>
      </c>
      <c r="O1478" s="50">
        <f>G1478*J1478</f>
        <v/>
      </c>
      <c r="P1478" s="50">
        <f>(J1478-M1478)*G1478</f>
        <v/>
      </c>
      <c r="Q1478" s="51">
        <f>IF(K1478="Received",1,0)</f>
        <v/>
      </c>
      <c r="R1478" s="51">
        <f>IF(Q1478=1,F1478-D1478,0)</f>
        <v/>
      </c>
      <c r="S1478" s="51">
        <f>IF(Q1478=1,IF(F1478&lt;=E1478,1,0),0)</f>
        <v/>
      </c>
      <c r="T1478" s="51">
        <f>IF(Q1478=1,IF(H1478&gt;=G1478,1,0),0)</f>
        <v/>
      </c>
      <c r="U1478" s="51">
        <f>S1478*T1478</f>
        <v/>
      </c>
      <c r="V1478" s="51">
        <f>IF(Q1478=1,MAX(0,F1478-E1478),0)</f>
        <v/>
      </c>
    </row>
    <row r="1479">
      <c r="A1479" s="43" t="inlineStr">
        <is>
          <t>PO100447</t>
        </is>
      </c>
      <c r="B1479" s="43" t="inlineStr">
        <is>
          <t>CMD-0020</t>
        </is>
      </c>
      <c r="C1479" s="43" t="inlineStr">
        <is>
          <t>S04</t>
        </is>
      </c>
      <c r="D1479" s="47" t="n">
        <v>46099</v>
      </c>
      <c r="E1479" s="47" t="n">
        <v>46169</v>
      </c>
      <c r="F1479" s="47" t="n">
        <v>46166</v>
      </c>
      <c r="G1479" s="46" t="n">
        <v>3747</v>
      </c>
      <c r="H1479" s="46" t="n">
        <v>3747</v>
      </c>
      <c r="I1479" s="46" t="n">
        <v>37</v>
      </c>
      <c r="J1479" s="44" t="n">
        <v>5.1809</v>
      </c>
      <c r="K1479" s="43" t="inlineStr">
        <is>
          <t>Received</t>
        </is>
      </c>
      <c r="L1479" s="17">
        <f>INDEX(Items!$C$2:$C$117,MATCH(B1479,Items!$A$2:$A$117,0))</f>
        <v/>
      </c>
      <c r="M1479" s="49">
        <f>INDEX(Items!$E$2:$E$117,MATCH(B1479,Items!$A$2:$A$117,0))</f>
        <v/>
      </c>
      <c r="N1479" s="17">
        <f>TEXT(D1479,"yyyy-mm")</f>
        <v/>
      </c>
      <c r="O1479" s="50">
        <f>G1479*J1479</f>
        <v/>
      </c>
      <c r="P1479" s="50">
        <f>(J1479-M1479)*G1479</f>
        <v/>
      </c>
      <c r="Q1479" s="51">
        <f>IF(K1479="Received",1,0)</f>
        <v/>
      </c>
      <c r="R1479" s="51">
        <f>IF(Q1479=1,F1479-D1479,0)</f>
        <v/>
      </c>
      <c r="S1479" s="51">
        <f>IF(Q1479=1,IF(F1479&lt;=E1479,1,0),0)</f>
        <v/>
      </c>
      <c r="T1479" s="51">
        <f>IF(Q1479=1,IF(H1479&gt;=G1479,1,0),0)</f>
        <v/>
      </c>
      <c r="U1479" s="51">
        <f>S1479*T1479</f>
        <v/>
      </c>
      <c r="V1479" s="51">
        <f>IF(Q1479=1,MAX(0,F1479-E1479),0)</f>
        <v/>
      </c>
    </row>
    <row r="1480">
      <c r="A1480" s="43" t="inlineStr">
        <is>
          <t>PO101949</t>
        </is>
      </c>
      <c r="B1480" s="43" t="inlineStr">
        <is>
          <t>CMD-0107</t>
        </is>
      </c>
      <c r="C1480" s="43" t="inlineStr">
        <is>
          <t>S09</t>
        </is>
      </c>
      <c r="D1480" s="47" t="n">
        <v>46099</v>
      </c>
      <c r="E1480" s="47" t="n">
        <v>46120</v>
      </c>
      <c r="F1480" s="47" t="n">
        <v>46120</v>
      </c>
      <c r="G1480" s="46" t="n">
        <v>916</v>
      </c>
      <c r="H1480" s="46" t="n">
        <v>916</v>
      </c>
      <c r="I1480" s="46" t="n">
        <v>2</v>
      </c>
      <c r="J1480" s="44" t="n">
        <v>7.1585</v>
      </c>
      <c r="K1480" s="43" t="inlineStr">
        <is>
          <t>Received</t>
        </is>
      </c>
      <c r="L1480" s="17">
        <f>INDEX(Items!$C$2:$C$117,MATCH(B1480,Items!$A$2:$A$117,0))</f>
        <v/>
      </c>
      <c r="M1480" s="49">
        <f>INDEX(Items!$E$2:$E$117,MATCH(B1480,Items!$A$2:$A$117,0))</f>
        <v/>
      </c>
      <c r="N1480" s="17">
        <f>TEXT(D1480,"yyyy-mm")</f>
        <v/>
      </c>
      <c r="O1480" s="50">
        <f>G1480*J1480</f>
        <v/>
      </c>
      <c r="P1480" s="50">
        <f>(J1480-M1480)*G1480</f>
        <v/>
      </c>
      <c r="Q1480" s="51">
        <f>IF(K1480="Received",1,0)</f>
        <v/>
      </c>
      <c r="R1480" s="51">
        <f>IF(Q1480=1,F1480-D1480,0)</f>
        <v/>
      </c>
      <c r="S1480" s="51">
        <f>IF(Q1480=1,IF(F1480&lt;=E1480,1,0),0)</f>
        <v/>
      </c>
      <c r="T1480" s="51">
        <f>IF(Q1480=1,IF(H1480&gt;=G1480,1,0),0)</f>
        <v/>
      </c>
      <c r="U1480" s="51">
        <f>S1480*T1480</f>
        <v/>
      </c>
      <c r="V1480" s="51">
        <f>IF(Q1480=1,MAX(0,F1480-E1480),0)</f>
        <v/>
      </c>
    </row>
    <row r="1481">
      <c r="A1481" s="43" t="inlineStr">
        <is>
          <t>PO100883</t>
        </is>
      </c>
      <c r="B1481" s="43" t="inlineStr">
        <is>
          <t>CMD-0039</t>
        </is>
      </c>
      <c r="C1481" s="43" t="inlineStr">
        <is>
          <t>S07</t>
        </is>
      </c>
      <c r="D1481" s="47" t="n">
        <v>46099</v>
      </c>
      <c r="E1481" s="47" t="n">
        <v>46141</v>
      </c>
      <c r="F1481" s="47" t="n">
        <v>46141</v>
      </c>
      <c r="G1481" s="46" t="n">
        <v>359</v>
      </c>
      <c r="H1481" s="46" t="n">
        <v>359</v>
      </c>
      <c r="I1481" s="46" t="n">
        <v>2</v>
      </c>
      <c r="J1481" s="44" t="n">
        <v>53.5497</v>
      </c>
      <c r="K1481" s="43" t="inlineStr">
        <is>
          <t>Received</t>
        </is>
      </c>
      <c r="L1481" s="17">
        <f>INDEX(Items!$C$2:$C$117,MATCH(B1481,Items!$A$2:$A$117,0))</f>
        <v/>
      </c>
      <c r="M1481" s="49">
        <f>INDEX(Items!$E$2:$E$117,MATCH(B1481,Items!$A$2:$A$117,0))</f>
        <v/>
      </c>
      <c r="N1481" s="17">
        <f>TEXT(D1481,"yyyy-mm")</f>
        <v/>
      </c>
      <c r="O1481" s="50">
        <f>G1481*J1481</f>
        <v/>
      </c>
      <c r="P1481" s="50">
        <f>(J1481-M1481)*G1481</f>
        <v/>
      </c>
      <c r="Q1481" s="51">
        <f>IF(K1481="Received",1,0)</f>
        <v/>
      </c>
      <c r="R1481" s="51">
        <f>IF(Q1481=1,F1481-D1481,0)</f>
        <v/>
      </c>
      <c r="S1481" s="51">
        <f>IF(Q1481=1,IF(F1481&lt;=E1481,1,0),0)</f>
        <v/>
      </c>
      <c r="T1481" s="51">
        <f>IF(Q1481=1,IF(H1481&gt;=G1481,1,0),0)</f>
        <v/>
      </c>
      <c r="U1481" s="51">
        <f>S1481*T1481</f>
        <v/>
      </c>
      <c r="V1481" s="51">
        <f>IF(Q1481=1,MAX(0,F1481-E1481),0)</f>
        <v/>
      </c>
    </row>
    <row r="1482">
      <c r="A1482" s="43" t="inlineStr">
        <is>
          <t>PO100927</t>
        </is>
      </c>
      <c r="B1482" s="43" t="inlineStr">
        <is>
          <t>CMD-0042</t>
        </is>
      </c>
      <c r="C1482" s="43" t="inlineStr">
        <is>
          <t>S05</t>
        </is>
      </c>
      <c r="D1482" s="47" t="n">
        <v>46099</v>
      </c>
      <c r="E1482" s="47" t="n">
        <v>46204</v>
      </c>
      <c r="F1482" s="47" t="n">
        <v>46201</v>
      </c>
      <c r="G1482" s="46" t="n">
        <v>637</v>
      </c>
      <c r="H1482" s="46" t="n">
        <v>637</v>
      </c>
      <c r="I1482" s="46" t="n">
        <v>11</v>
      </c>
      <c r="J1482" s="44" t="n">
        <v>9.177300000000001</v>
      </c>
      <c r="K1482" s="43" t="inlineStr">
        <is>
          <t>Received</t>
        </is>
      </c>
      <c r="L1482" s="17">
        <f>INDEX(Items!$C$2:$C$117,MATCH(B1482,Items!$A$2:$A$117,0))</f>
        <v/>
      </c>
      <c r="M1482" s="49">
        <f>INDEX(Items!$E$2:$E$117,MATCH(B1482,Items!$A$2:$A$117,0))</f>
        <v/>
      </c>
      <c r="N1482" s="17">
        <f>TEXT(D1482,"yyyy-mm")</f>
        <v/>
      </c>
      <c r="O1482" s="50">
        <f>G1482*J1482</f>
        <v/>
      </c>
      <c r="P1482" s="50">
        <f>(J1482-M1482)*G1482</f>
        <v/>
      </c>
      <c r="Q1482" s="51">
        <f>IF(K1482="Received",1,0)</f>
        <v/>
      </c>
      <c r="R1482" s="51">
        <f>IF(Q1482=1,F1482-D1482,0)</f>
        <v/>
      </c>
      <c r="S1482" s="51">
        <f>IF(Q1482=1,IF(F1482&lt;=E1482,1,0),0)</f>
        <v/>
      </c>
      <c r="T1482" s="51">
        <f>IF(Q1482=1,IF(H1482&gt;=G1482,1,0),0)</f>
        <v/>
      </c>
      <c r="U1482" s="51">
        <f>S1482*T1482</f>
        <v/>
      </c>
      <c r="V1482" s="51">
        <f>IF(Q1482=1,MAX(0,F1482-E1482),0)</f>
        <v/>
      </c>
    </row>
    <row r="1483">
      <c r="A1483" s="43" t="inlineStr">
        <is>
          <t>PO101099</t>
        </is>
      </c>
      <c r="B1483" s="43" t="inlineStr">
        <is>
          <t>CMD-0050</t>
        </is>
      </c>
      <c r="C1483" s="43" t="inlineStr">
        <is>
          <t>S10</t>
        </is>
      </c>
      <c r="D1483" s="47" t="n">
        <v>46099</v>
      </c>
      <c r="E1483" s="47" t="n">
        <v>46127</v>
      </c>
      <c r="F1483" s="47" t="n">
        <v>46127</v>
      </c>
      <c r="G1483" s="46" t="n">
        <v>83970</v>
      </c>
      <c r="H1483" s="46" t="n">
        <v>83970</v>
      </c>
      <c r="I1483" s="46" t="n">
        <v>110</v>
      </c>
      <c r="J1483" s="44" t="n">
        <v>0.0772</v>
      </c>
      <c r="K1483" s="43" t="inlineStr">
        <is>
          <t>Received</t>
        </is>
      </c>
      <c r="L1483" s="17">
        <f>INDEX(Items!$C$2:$C$117,MATCH(B1483,Items!$A$2:$A$117,0))</f>
        <v/>
      </c>
      <c r="M1483" s="49">
        <f>INDEX(Items!$E$2:$E$117,MATCH(B1483,Items!$A$2:$A$117,0))</f>
        <v/>
      </c>
      <c r="N1483" s="17">
        <f>TEXT(D1483,"yyyy-mm")</f>
        <v/>
      </c>
      <c r="O1483" s="50">
        <f>G1483*J1483</f>
        <v/>
      </c>
      <c r="P1483" s="50">
        <f>(J1483-M1483)*G1483</f>
        <v/>
      </c>
      <c r="Q1483" s="51">
        <f>IF(K1483="Received",1,0)</f>
        <v/>
      </c>
      <c r="R1483" s="51">
        <f>IF(Q1483=1,F1483-D1483,0)</f>
        <v/>
      </c>
      <c r="S1483" s="51">
        <f>IF(Q1483=1,IF(F1483&lt;=E1483,1,0),0)</f>
        <v/>
      </c>
      <c r="T1483" s="51">
        <f>IF(Q1483=1,IF(H1483&gt;=G1483,1,0),0)</f>
        <v/>
      </c>
      <c r="U1483" s="51">
        <f>S1483*T1483</f>
        <v/>
      </c>
      <c r="V1483" s="51">
        <f>IF(Q1483=1,MAX(0,F1483-E1483),0)</f>
        <v/>
      </c>
    </row>
    <row r="1484">
      <c r="A1484" s="43" t="inlineStr">
        <is>
          <t>PO100089</t>
        </is>
      </c>
      <c r="B1484" s="43" t="inlineStr">
        <is>
          <t>CMD-0004</t>
        </is>
      </c>
      <c r="C1484" s="43" t="inlineStr">
        <is>
          <t>S07</t>
        </is>
      </c>
      <c r="D1484" s="47" t="n">
        <v>46099</v>
      </c>
      <c r="E1484" s="47" t="n">
        <v>46190</v>
      </c>
      <c r="F1484" s="47" t="n">
        <v>46188</v>
      </c>
      <c r="G1484" s="46" t="n">
        <v>3323</v>
      </c>
      <c r="H1484" s="46" t="n">
        <v>3323</v>
      </c>
      <c r="I1484" s="46" t="n">
        <v>29</v>
      </c>
      <c r="J1484" s="44" t="n">
        <v>4.779</v>
      </c>
      <c r="K1484" s="43" t="inlineStr">
        <is>
          <t>Received</t>
        </is>
      </c>
      <c r="L1484" s="17">
        <f>INDEX(Items!$C$2:$C$117,MATCH(B1484,Items!$A$2:$A$117,0))</f>
        <v/>
      </c>
      <c r="M1484" s="49">
        <f>INDEX(Items!$E$2:$E$117,MATCH(B1484,Items!$A$2:$A$117,0))</f>
        <v/>
      </c>
      <c r="N1484" s="17">
        <f>TEXT(D1484,"yyyy-mm")</f>
        <v/>
      </c>
      <c r="O1484" s="50">
        <f>G1484*J1484</f>
        <v/>
      </c>
      <c r="P1484" s="50">
        <f>(J1484-M1484)*G1484</f>
        <v/>
      </c>
      <c r="Q1484" s="51">
        <f>IF(K1484="Received",1,0)</f>
        <v/>
      </c>
      <c r="R1484" s="51">
        <f>IF(Q1484=1,F1484-D1484,0)</f>
        <v/>
      </c>
      <c r="S1484" s="51">
        <f>IF(Q1484=1,IF(F1484&lt;=E1484,1,0),0)</f>
        <v/>
      </c>
      <c r="T1484" s="51">
        <f>IF(Q1484=1,IF(H1484&gt;=G1484,1,0),0)</f>
        <v/>
      </c>
      <c r="U1484" s="51">
        <f>S1484*T1484</f>
        <v/>
      </c>
      <c r="V1484" s="51">
        <f>IF(Q1484=1,MAX(0,F1484-E1484),0)</f>
        <v/>
      </c>
    </row>
    <row r="1485">
      <c r="A1485" s="43" t="inlineStr">
        <is>
          <t>PO100309</t>
        </is>
      </c>
      <c r="B1485" s="43" t="inlineStr">
        <is>
          <t>CMD-0014</t>
        </is>
      </c>
      <c r="C1485" s="43" t="inlineStr">
        <is>
          <t>S03</t>
        </is>
      </c>
      <c r="D1485" s="47" t="n">
        <v>46099</v>
      </c>
      <c r="E1485" s="47" t="n">
        <v>46232</v>
      </c>
      <c r="F1485" s="47" t="n">
        <v>46234</v>
      </c>
      <c r="G1485" s="46" t="n">
        <v>5319</v>
      </c>
      <c r="H1485" s="46" t="n">
        <v>5319</v>
      </c>
      <c r="I1485" s="46" t="n">
        <v>32</v>
      </c>
      <c r="J1485" s="44" t="n">
        <v>14.8916</v>
      </c>
      <c r="K1485" s="43" t="inlineStr">
        <is>
          <t>Received</t>
        </is>
      </c>
      <c r="L1485" s="17">
        <f>INDEX(Items!$C$2:$C$117,MATCH(B1485,Items!$A$2:$A$117,0))</f>
        <v/>
      </c>
      <c r="M1485" s="49">
        <f>INDEX(Items!$E$2:$E$117,MATCH(B1485,Items!$A$2:$A$117,0))</f>
        <v/>
      </c>
      <c r="N1485" s="17">
        <f>TEXT(D1485,"yyyy-mm")</f>
        <v/>
      </c>
      <c r="O1485" s="50">
        <f>G1485*J1485</f>
        <v/>
      </c>
      <c r="P1485" s="50">
        <f>(J1485-M1485)*G1485</f>
        <v/>
      </c>
      <c r="Q1485" s="51">
        <f>IF(K1485="Received",1,0)</f>
        <v/>
      </c>
      <c r="R1485" s="51">
        <f>IF(Q1485=1,F1485-D1485,0)</f>
        <v/>
      </c>
      <c r="S1485" s="51">
        <f>IF(Q1485=1,IF(F1485&lt;=E1485,1,0),0)</f>
        <v/>
      </c>
      <c r="T1485" s="51">
        <f>IF(Q1485=1,IF(H1485&gt;=G1485,1,0),0)</f>
        <v/>
      </c>
      <c r="U1485" s="51">
        <f>S1485*T1485</f>
        <v/>
      </c>
      <c r="V1485" s="51">
        <f>IF(Q1485=1,MAX(0,F1485-E1485),0)</f>
        <v/>
      </c>
    </row>
    <row r="1486">
      <c r="A1486" s="43" t="inlineStr">
        <is>
          <t>PO101413</t>
        </is>
      </c>
      <c r="B1486" s="43" t="inlineStr">
        <is>
          <t>CMD-0074</t>
        </is>
      </c>
      <c r="C1486" s="43" t="inlineStr">
        <is>
          <t>S10</t>
        </is>
      </c>
      <c r="D1486" s="47" t="n">
        <v>46099</v>
      </c>
      <c r="E1486" s="47" t="n">
        <v>46127</v>
      </c>
      <c r="F1486" s="47" t="n">
        <v>46124</v>
      </c>
      <c r="G1486" s="46" t="n">
        <v>64281</v>
      </c>
      <c r="H1486" s="46" t="n">
        <v>64281</v>
      </c>
      <c r="I1486" s="46" t="n">
        <v>58</v>
      </c>
      <c r="J1486" s="44" t="n">
        <v>0.3601</v>
      </c>
      <c r="K1486" s="43" t="inlineStr">
        <is>
          <t>Received</t>
        </is>
      </c>
      <c r="L1486" s="17">
        <f>INDEX(Items!$C$2:$C$117,MATCH(B1486,Items!$A$2:$A$117,0))</f>
        <v/>
      </c>
      <c r="M1486" s="49">
        <f>INDEX(Items!$E$2:$E$117,MATCH(B1486,Items!$A$2:$A$117,0))</f>
        <v/>
      </c>
      <c r="N1486" s="17">
        <f>TEXT(D1486,"yyyy-mm")</f>
        <v/>
      </c>
      <c r="O1486" s="50">
        <f>G1486*J1486</f>
        <v/>
      </c>
      <c r="P1486" s="50">
        <f>(J1486-M1486)*G1486</f>
        <v/>
      </c>
      <c r="Q1486" s="51">
        <f>IF(K1486="Received",1,0)</f>
        <v/>
      </c>
      <c r="R1486" s="51">
        <f>IF(Q1486=1,F1486-D1486,0)</f>
        <v/>
      </c>
      <c r="S1486" s="51">
        <f>IF(Q1486=1,IF(F1486&lt;=E1486,1,0),0)</f>
        <v/>
      </c>
      <c r="T1486" s="51">
        <f>IF(Q1486=1,IF(H1486&gt;=G1486,1,0),0)</f>
        <v/>
      </c>
      <c r="U1486" s="51">
        <f>S1486*T1486</f>
        <v/>
      </c>
      <c r="V1486" s="51">
        <f>IF(Q1486=1,MAX(0,F1486-E1486),0)</f>
        <v/>
      </c>
    </row>
    <row r="1487">
      <c r="A1487" s="43" t="inlineStr">
        <is>
          <t>PO101325</t>
        </is>
      </c>
      <c r="B1487" s="43" t="inlineStr">
        <is>
          <t>CMD-0065</t>
        </is>
      </c>
      <c r="C1487" s="43" t="inlineStr">
        <is>
          <t>S10</t>
        </is>
      </c>
      <c r="D1487" s="47" t="n">
        <v>46099</v>
      </c>
      <c r="E1487" s="47" t="n">
        <v>46127</v>
      </c>
      <c r="F1487" s="47" t="n">
        <v>46124</v>
      </c>
      <c r="G1487" s="46" t="n">
        <v>117723</v>
      </c>
      <c r="H1487" s="46" t="n">
        <v>117723</v>
      </c>
      <c r="I1487" s="46" t="n">
        <v>105</v>
      </c>
      <c r="J1487" s="44" t="n">
        <v>0.119</v>
      </c>
      <c r="K1487" s="43" t="inlineStr">
        <is>
          <t>Received</t>
        </is>
      </c>
      <c r="L1487" s="17">
        <f>INDEX(Items!$C$2:$C$117,MATCH(B1487,Items!$A$2:$A$117,0))</f>
        <v/>
      </c>
      <c r="M1487" s="49">
        <f>INDEX(Items!$E$2:$E$117,MATCH(B1487,Items!$A$2:$A$117,0))</f>
        <v/>
      </c>
      <c r="N1487" s="17">
        <f>TEXT(D1487,"yyyy-mm")</f>
        <v/>
      </c>
      <c r="O1487" s="50">
        <f>G1487*J1487</f>
        <v/>
      </c>
      <c r="P1487" s="50">
        <f>(J1487-M1487)*G1487</f>
        <v/>
      </c>
      <c r="Q1487" s="51">
        <f>IF(K1487="Received",1,0)</f>
        <v/>
      </c>
      <c r="R1487" s="51">
        <f>IF(Q1487=1,F1487-D1487,0)</f>
        <v/>
      </c>
      <c r="S1487" s="51">
        <f>IF(Q1487=1,IF(F1487&lt;=E1487,1,0),0)</f>
        <v/>
      </c>
      <c r="T1487" s="51">
        <f>IF(Q1487=1,IF(H1487&gt;=G1487,1,0),0)</f>
        <v/>
      </c>
      <c r="U1487" s="51">
        <f>S1487*T1487</f>
        <v/>
      </c>
      <c r="V1487" s="51">
        <f>IF(Q1487=1,MAX(0,F1487-E1487),0)</f>
        <v/>
      </c>
    </row>
    <row r="1488">
      <c r="A1488" s="43" t="inlineStr">
        <is>
          <t>PO100999</t>
        </is>
      </c>
      <c r="B1488" s="43" t="inlineStr">
        <is>
          <t>CMD-0045</t>
        </is>
      </c>
      <c r="C1488" s="43" t="inlineStr">
        <is>
          <t>S05</t>
        </is>
      </c>
      <c r="D1488" s="47" t="n">
        <v>46100</v>
      </c>
      <c r="E1488" s="47" t="n">
        <v>46205</v>
      </c>
      <c r="F1488" s="47" t="n">
        <v>46209</v>
      </c>
      <c r="G1488" s="46" t="n">
        <v>4153</v>
      </c>
      <c r="H1488" s="46" t="n">
        <v>4153</v>
      </c>
      <c r="I1488" s="46" t="n">
        <v>71</v>
      </c>
      <c r="J1488" s="44" t="n">
        <v>9.2597</v>
      </c>
      <c r="K1488" s="43" t="inlineStr">
        <is>
          <t>Received</t>
        </is>
      </c>
      <c r="L1488" s="17">
        <f>INDEX(Items!$C$2:$C$117,MATCH(B1488,Items!$A$2:$A$117,0))</f>
        <v/>
      </c>
      <c r="M1488" s="49">
        <f>INDEX(Items!$E$2:$E$117,MATCH(B1488,Items!$A$2:$A$117,0))</f>
        <v/>
      </c>
      <c r="N1488" s="17">
        <f>TEXT(D1488,"yyyy-mm")</f>
        <v/>
      </c>
      <c r="O1488" s="50">
        <f>G1488*J1488</f>
        <v/>
      </c>
      <c r="P1488" s="50">
        <f>(J1488-M1488)*G1488</f>
        <v/>
      </c>
      <c r="Q1488" s="51">
        <f>IF(K1488="Received",1,0)</f>
        <v/>
      </c>
      <c r="R1488" s="51">
        <f>IF(Q1488=1,F1488-D1488,0)</f>
        <v/>
      </c>
      <c r="S1488" s="51">
        <f>IF(Q1488=1,IF(F1488&lt;=E1488,1,0),0)</f>
        <v/>
      </c>
      <c r="T1488" s="51">
        <f>IF(Q1488=1,IF(H1488&gt;=G1488,1,0),0)</f>
        <v/>
      </c>
      <c r="U1488" s="51">
        <f>S1488*T1488</f>
        <v/>
      </c>
      <c r="V1488" s="51">
        <f>IF(Q1488=1,MAX(0,F1488-E1488),0)</f>
        <v/>
      </c>
    </row>
    <row r="1489">
      <c r="A1489" s="43" t="inlineStr">
        <is>
          <t>PO101683</t>
        </is>
      </c>
      <c r="B1489" s="43" t="inlineStr">
        <is>
          <t>CMD-0092</t>
        </is>
      </c>
      <c r="C1489" s="43" t="inlineStr">
        <is>
          <t>S08</t>
        </is>
      </c>
      <c r="D1489" s="47" t="n">
        <v>46100</v>
      </c>
      <c r="E1489" s="47" t="n">
        <v>46177</v>
      </c>
      <c r="F1489" s="47" t="n">
        <v>46177</v>
      </c>
      <c r="G1489" s="46" t="n">
        <v>301</v>
      </c>
      <c r="H1489" s="46" t="n">
        <v>301</v>
      </c>
      <c r="I1489" s="46" t="n">
        <v>2</v>
      </c>
      <c r="J1489" s="44" t="n">
        <v>30.3541</v>
      </c>
      <c r="K1489" s="43" t="inlineStr">
        <is>
          <t>Received</t>
        </is>
      </c>
      <c r="L1489" s="17">
        <f>INDEX(Items!$C$2:$C$117,MATCH(B1489,Items!$A$2:$A$117,0))</f>
        <v/>
      </c>
      <c r="M1489" s="49">
        <f>INDEX(Items!$E$2:$E$117,MATCH(B1489,Items!$A$2:$A$117,0))</f>
        <v/>
      </c>
      <c r="N1489" s="17">
        <f>TEXT(D1489,"yyyy-mm")</f>
        <v/>
      </c>
      <c r="O1489" s="50">
        <f>G1489*J1489</f>
        <v/>
      </c>
      <c r="P1489" s="50">
        <f>(J1489-M1489)*G1489</f>
        <v/>
      </c>
      <c r="Q1489" s="51">
        <f>IF(K1489="Received",1,0)</f>
        <v/>
      </c>
      <c r="R1489" s="51">
        <f>IF(Q1489=1,F1489-D1489,0)</f>
        <v/>
      </c>
      <c r="S1489" s="51">
        <f>IF(Q1489=1,IF(F1489&lt;=E1489,1,0),0)</f>
        <v/>
      </c>
      <c r="T1489" s="51">
        <f>IF(Q1489=1,IF(H1489&gt;=G1489,1,0),0)</f>
        <v/>
      </c>
      <c r="U1489" s="51">
        <f>S1489*T1489</f>
        <v/>
      </c>
      <c r="V1489" s="51">
        <f>IF(Q1489=1,MAX(0,F1489-E1489),0)</f>
        <v/>
      </c>
    </row>
    <row r="1490">
      <c r="A1490" s="43" t="inlineStr">
        <is>
          <t>PO100489</t>
        </is>
      </c>
      <c r="B1490" s="43" t="inlineStr">
        <is>
          <t>CMD-0022</t>
        </is>
      </c>
      <c r="C1490" s="43" t="inlineStr">
        <is>
          <t>S02</t>
        </is>
      </c>
      <c r="D1490" s="47" t="n">
        <v>46100</v>
      </c>
      <c r="E1490" s="47" t="n">
        <v>46156</v>
      </c>
      <c r="F1490" s="47" t="n">
        <v>46154</v>
      </c>
      <c r="G1490" s="46" t="n">
        <v>4237</v>
      </c>
      <c r="H1490" s="46" t="n">
        <v>4237</v>
      </c>
      <c r="I1490" s="46" t="n">
        <v>12</v>
      </c>
      <c r="J1490" s="44" t="n">
        <v>17.6954</v>
      </c>
      <c r="K1490" s="43" t="inlineStr">
        <is>
          <t>Received</t>
        </is>
      </c>
      <c r="L1490" s="17">
        <f>INDEX(Items!$C$2:$C$117,MATCH(B1490,Items!$A$2:$A$117,0))</f>
        <v/>
      </c>
      <c r="M1490" s="49">
        <f>INDEX(Items!$E$2:$E$117,MATCH(B1490,Items!$A$2:$A$117,0))</f>
        <v/>
      </c>
      <c r="N1490" s="17">
        <f>TEXT(D1490,"yyyy-mm")</f>
        <v/>
      </c>
      <c r="O1490" s="50">
        <f>G1490*J1490</f>
        <v/>
      </c>
      <c r="P1490" s="50">
        <f>(J1490-M1490)*G1490</f>
        <v/>
      </c>
      <c r="Q1490" s="51">
        <f>IF(K1490="Received",1,0)</f>
        <v/>
      </c>
      <c r="R1490" s="51">
        <f>IF(Q1490=1,F1490-D1490,0)</f>
        <v/>
      </c>
      <c r="S1490" s="51">
        <f>IF(Q1490=1,IF(F1490&lt;=E1490,1,0),0)</f>
        <v/>
      </c>
      <c r="T1490" s="51">
        <f>IF(Q1490=1,IF(H1490&gt;=G1490,1,0),0)</f>
        <v/>
      </c>
      <c r="U1490" s="51">
        <f>S1490*T1490</f>
        <v/>
      </c>
      <c r="V1490" s="51">
        <f>IF(Q1490=1,MAX(0,F1490-E1490),0)</f>
        <v/>
      </c>
    </row>
    <row r="1491">
      <c r="A1491" s="43" t="inlineStr">
        <is>
          <t>PO101473</t>
        </is>
      </c>
      <c r="B1491" s="43" t="inlineStr">
        <is>
          <t>CMD-0078</t>
        </is>
      </c>
      <c r="C1491" s="43" t="inlineStr">
        <is>
          <t>S06</t>
        </is>
      </c>
      <c r="D1491" s="47" t="n">
        <v>46100</v>
      </c>
      <c r="E1491" s="47" t="n">
        <v>46121</v>
      </c>
      <c r="F1491" s="47" t="n">
        <v>46120</v>
      </c>
      <c r="G1491" s="46" t="n">
        <v>5047</v>
      </c>
      <c r="H1491" s="46" t="n">
        <v>5047</v>
      </c>
      <c r="I1491" s="46" t="n">
        <v>18</v>
      </c>
      <c r="J1491" s="44" t="n">
        <v>2.678</v>
      </c>
      <c r="K1491" s="43" t="inlineStr">
        <is>
          <t>Received</t>
        </is>
      </c>
      <c r="L1491" s="17">
        <f>INDEX(Items!$C$2:$C$117,MATCH(B1491,Items!$A$2:$A$117,0))</f>
        <v/>
      </c>
      <c r="M1491" s="49">
        <f>INDEX(Items!$E$2:$E$117,MATCH(B1491,Items!$A$2:$A$117,0))</f>
        <v/>
      </c>
      <c r="N1491" s="17">
        <f>TEXT(D1491,"yyyy-mm")</f>
        <v/>
      </c>
      <c r="O1491" s="50">
        <f>G1491*J1491</f>
        <v/>
      </c>
      <c r="P1491" s="50">
        <f>(J1491-M1491)*G1491</f>
        <v/>
      </c>
      <c r="Q1491" s="51">
        <f>IF(K1491="Received",1,0)</f>
        <v/>
      </c>
      <c r="R1491" s="51">
        <f>IF(Q1491=1,F1491-D1491,0)</f>
        <v/>
      </c>
      <c r="S1491" s="51">
        <f>IF(Q1491=1,IF(F1491&lt;=E1491,1,0),0)</f>
        <v/>
      </c>
      <c r="T1491" s="51">
        <f>IF(Q1491=1,IF(H1491&gt;=G1491,1,0),0)</f>
        <v/>
      </c>
      <c r="U1491" s="51">
        <f>S1491*T1491</f>
        <v/>
      </c>
      <c r="V1491" s="51">
        <f>IF(Q1491=1,MAX(0,F1491-E1491),0)</f>
        <v/>
      </c>
    </row>
    <row r="1492">
      <c r="A1492" s="43" t="inlineStr">
        <is>
          <t>PO101779</t>
        </is>
      </c>
      <c r="B1492" s="43" t="inlineStr">
        <is>
          <t>CMD-0096</t>
        </is>
      </c>
      <c r="C1492" s="43" t="inlineStr">
        <is>
          <t>S09</t>
        </is>
      </c>
      <c r="D1492" s="47" t="n">
        <v>46100</v>
      </c>
      <c r="E1492" s="47" t="n">
        <v>46121</v>
      </c>
      <c r="F1492" s="47" t="n">
        <v>46118</v>
      </c>
      <c r="G1492" s="46" t="n">
        <v>931</v>
      </c>
      <c r="H1492" s="46" t="n">
        <v>931</v>
      </c>
      <c r="I1492" s="46" t="n">
        <v>2</v>
      </c>
      <c r="J1492" s="44" t="n">
        <v>6.6126</v>
      </c>
      <c r="K1492" s="43" t="inlineStr">
        <is>
          <t>Received</t>
        </is>
      </c>
      <c r="L1492" s="17">
        <f>INDEX(Items!$C$2:$C$117,MATCH(B1492,Items!$A$2:$A$117,0))</f>
        <v/>
      </c>
      <c r="M1492" s="49">
        <f>INDEX(Items!$E$2:$E$117,MATCH(B1492,Items!$A$2:$A$117,0))</f>
        <v/>
      </c>
      <c r="N1492" s="17">
        <f>TEXT(D1492,"yyyy-mm")</f>
        <v/>
      </c>
      <c r="O1492" s="50">
        <f>G1492*J1492</f>
        <v/>
      </c>
      <c r="P1492" s="50">
        <f>(J1492-M1492)*G1492</f>
        <v/>
      </c>
      <c r="Q1492" s="51">
        <f>IF(K1492="Received",1,0)</f>
        <v/>
      </c>
      <c r="R1492" s="51">
        <f>IF(Q1492=1,F1492-D1492,0)</f>
        <v/>
      </c>
      <c r="S1492" s="51">
        <f>IF(Q1492=1,IF(F1492&lt;=E1492,1,0),0)</f>
        <v/>
      </c>
      <c r="T1492" s="51">
        <f>IF(Q1492=1,IF(H1492&gt;=G1492,1,0),0)</f>
        <v/>
      </c>
      <c r="U1492" s="51">
        <f>S1492*T1492</f>
        <v/>
      </c>
      <c r="V1492" s="51">
        <f>IF(Q1492=1,MAX(0,F1492-E1492),0)</f>
        <v/>
      </c>
    </row>
    <row r="1493">
      <c r="A1493" s="43" t="inlineStr">
        <is>
          <t>PO100609</t>
        </is>
      </c>
      <c r="B1493" s="43" t="inlineStr">
        <is>
          <t>CMD-0027</t>
        </is>
      </c>
      <c r="C1493" s="43" t="inlineStr">
        <is>
          <t>S04</t>
        </is>
      </c>
      <c r="D1493" s="47" t="n">
        <v>46101</v>
      </c>
      <c r="E1493" s="47" t="n">
        <v>46171</v>
      </c>
      <c r="F1493" s="47" t="n">
        <v>46168</v>
      </c>
      <c r="G1493" s="46" t="n">
        <v>7992</v>
      </c>
      <c r="H1493" s="46" t="n">
        <v>7992</v>
      </c>
      <c r="I1493" s="46" t="n">
        <v>77</v>
      </c>
      <c r="J1493" s="44" t="n">
        <v>9.115500000000001</v>
      </c>
      <c r="K1493" s="43" t="inlineStr">
        <is>
          <t>Received</t>
        </is>
      </c>
      <c r="L1493" s="17">
        <f>INDEX(Items!$C$2:$C$117,MATCH(B1493,Items!$A$2:$A$117,0))</f>
        <v/>
      </c>
      <c r="M1493" s="49">
        <f>INDEX(Items!$E$2:$E$117,MATCH(B1493,Items!$A$2:$A$117,0))</f>
        <v/>
      </c>
      <c r="N1493" s="17">
        <f>TEXT(D1493,"yyyy-mm")</f>
        <v/>
      </c>
      <c r="O1493" s="50">
        <f>G1493*J1493</f>
        <v/>
      </c>
      <c r="P1493" s="50">
        <f>(J1493-M1493)*G1493</f>
        <v/>
      </c>
      <c r="Q1493" s="51">
        <f>IF(K1493="Received",1,0)</f>
        <v/>
      </c>
      <c r="R1493" s="51">
        <f>IF(Q1493=1,F1493-D1493,0)</f>
        <v/>
      </c>
      <c r="S1493" s="51">
        <f>IF(Q1493=1,IF(F1493&lt;=E1493,1,0),0)</f>
        <v/>
      </c>
      <c r="T1493" s="51">
        <f>IF(Q1493=1,IF(H1493&gt;=G1493,1,0),0)</f>
        <v/>
      </c>
      <c r="U1493" s="51">
        <f>S1493*T1493</f>
        <v/>
      </c>
      <c r="V1493" s="51">
        <f>IF(Q1493=1,MAX(0,F1493-E1493),0)</f>
        <v/>
      </c>
    </row>
    <row r="1494">
      <c r="A1494" s="43" t="inlineStr">
        <is>
          <t>PO100381</t>
        </is>
      </c>
      <c r="B1494" s="43" t="inlineStr">
        <is>
          <t>CMD-0017</t>
        </is>
      </c>
      <c r="C1494" s="43" t="inlineStr">
        <is>
          <t>S11</t>
        </is>
      </c>
      <c r="D1494" s="47" t="n">
        <v>46101</v>
      </c>
      <c r="E1494" s="47" t="n">
        <v>46178</v>
      </c>
      <c r="F1494" s="47" t="n">
        <v>46177</v>
      </c>
      <c r="G1494" s="46" t="n">
        <v>7113</v>
      </c>
      <c r="H1494" s="46" t="n">
        <v>7113</v>
      </c>
      <c r="I1494" s="46" t="n">
        <v>19</v>
      </c>
      <c r="J1494" s="44" t="n">
        <v>13.0707</v>
      </c>
      <c r="K1494" s="43" t="inlineStr">
        <is>
          <t>Received</t>
        </is>
      </c>
      <c r="L1494" s="17">
        <f>INDEX(Items!$C$2:$C$117,MATCH(B1494,Items!$A$2:$A$117,0))</f>
        <v/>
      </c>
      <c r="M1494" s="49">
        <f>INDEX(Items!$E$2:$E$117,MATCH(B1494,Items!$A$2:$A$117,0))</f>
        <v/>
      </c>
      <c r="N1494" s="17">
        <f>TEXT(D1494,"yyyy-mm")</f>
        <v/>
      </c>
      <c r="O1494" s="50">
        <f>G1494*J1494</f>
        <v/>
      </c>
      <c r="P1494" s="50">
        <f>(J1494-M1494)*G1494</f>
        <v/>
      </c>
      <c r="Q1494" s="51">
        <f>IF(K1494="Received",1,0)</f>
        <v/>
      </c>
      <c r="R1494" s="51">
        <f>IF(Q1494=1,F1494-D1494,0)</f>
        <v/>
      </c>
      <c r="S1494" s="51">
        <f>IF(Q1494=1,IF(F1494&lt;=E1494,1,0),0)</f>
        <v/>
      </c>
      <c r="T1494" s="51">
        <f>IF(Q1494=1,IF(H1494&gt;=G1494,1,0),0)</f>
        <v/>
      </c>
      <c r="U1494" s="51">
        <f>S1494*T1494</f>
        <v/>
      </c>
      <c r="V1494" s="51">
        <f>IF(Q1494=1,MAX(0,F1494-E1494),0)</f>
        <v/>
      </c>
    </row>
    <row r="1495">
      <c r="A1495" s="43" t="inlineStr">
        <is>
          <t>PO100209</t>
        </is>
      </c>
      <c r="B1495" s="43" t="inlineStr">
        <is>
          <t>CMD-0009</t>
        </is>
      </c>
      <c r="C1495" s="43" t="inlineStr">
        <is>
          <t>S11</t>
        </is>
      </c>
      <c r="D1495" s="47" t="n">
        <v>46101</v>
      </c>
      <c r="E1495" s="47" t="n">
        <v>46220</v>
      </c>
      <c r="F1495" s="47" t="n">
        <v>46219</v>
      </c>
      <c r="G1495" s="46" t="n">
        <v>6431</v>
      </c>
      <c r="H1495" s="46" t="n">
        <v>6431</v>
      </c>
      <c r="I1495" s="46" t="n">
        <v>16</v>
      </c>
      <c r="J1495" s="44" t="n">
        <v>7.4222</v>
      </c>
      <c r="K1495" s="43" t="inlineStr">
        <is>
          <t>Received</t>
        </is>
      </c>
      <c r="L1495" s="17">
        <f>INDEX(Items!$C$2:$C$117,MATCH(B1495,Items!$A$2:$A$117,0))</f>
        <v/>
      </c>
      <c r="M1495" s="49">
        <f>INDEX(Items!$E$2:$E$117,MATCH(B1495,Items!$A$2:$A$117,0))</f>
        <v/>
      </c>
      <c r="N1495" s="17">
        <f>TEXT(D1495,"yyyy-mm")</f>
        <v/>
      </c>
      <c r="O1495" s="50">
        <f>G1495*J1495</f>
        <v/>
      </c>
      <c r="P1495" s="50">
        <f>(J1495-M1495)*G1495</f>
        <v/>
      </c>
      <c r="Q1495" s="51">
        <f>IF(K1495="Received",1,0)</f>
        <v/>
      </c>
      <c r="R1495" s="51">
        <f>IF(Q1495=1,F1495-D1495,0)</f>
        <v/>
      </c>
      <c r="S1495" s="51">
        <f>IF(Q1495=1,IF(F1495&lt;=E1495,1,0),0)</f>
        <v/>
      </c>
      <c r="T1495" s="51">
        <f>IF(Q1495=1,IF(H1495&gt;=G1495,1,0),0)</f>
        <v/>
      </c>
      <c r="U1495" s="51">
        <f>S1495*T1495</f>
        <v/>
      </c>
      <c r="V1495" s="51">
        <f>IF(Q1495=1,MAX(0,F1495-E1495),0)</f>
        <v/>
      </c>
    </row>
    <row r="1496">
      <c r="A1496" s="43" t="inlineStr">
        <is>
          <t>PO100065</t>
        </is>
      </c>
      <c r="B1496" s="43" t="inlineStr">
        <is>
          <t>CMD-0003</t>
        </is>
      </c>
      <c r="C1496" s="43" t="inlineStr">
        <is>
          <t>S11</t>
        </is>
      </c>
      <c r="D1496" s="47" t="n">
        <v>46101</v>
      </c>
      <c r="E1496" s="47" t="n">
        <v>46220</v>
      </c>
      <c r="F1496" s="47" t="n">
        <v>46220</v>
      </c>
      <c r="G1496" s="46" t="n">
        <v>7582</v>
      </c>
      <c r="H1496" s="46" t="n">
        <v>7582</v>
      </c>
      <c r="I1496" s="46" t="n">
        <v>14</v>
      </c>
      <c r="J1496" s="44" t="n">
        <v>25.3582</v>
      </c>
      <c r="K1496" s="43" t="inlineStr">
        <is>
          <t>Received</t>
        </is>
      </c>
      <c r="L1496" s="17">
        <f>INDEX(Items!$C$2:$C$117,MATCH(B1496,Items!$A$2:$A$117,0))</f>
        <v/>
      </c>
      <c r="M1496" s="49">
        <f>INDEX(Items!$E$2:$E$117,MATCH(B1496,Items!$A$2:$A$117,0))</f>
        <v/>
      </c>
      <c r="N1496" s="17">
        <f>TEXT(D1496,"yyyy-mm")</f>
        <v/>
      </c>
      <c r="O1496" s="50">
        <f>G1496*J1496</f>
        <v/>
      </c>
      <c r="P1496" s="50">
        <f>(J1496-M1496)*G1496</f>
        <v/>
      </c>
      <c r="Q1496" s="51">
        <f>IF(K1496="Received",1,0)</f>
        <v/>
      </c>
      <c r="R1496" s="51">
        <f>IF(Q1496=1,F1496-D1496,0)</f>
        <v/>
      </c>
      <c r="S1496" s="51">
        <f>IF(Q1496=1,IF(F1496&lt;=E1496,1,0),0)</f>
        <v/>
      </c>
      <c r="T1496" s="51">
        <f>IF(Q1496=1,IF(H1496&gt;=G1496,1,0),0)</f>
        <v/>
      </c>
      <c r="U1496" s="51">
        <f>S1496*T1496</f>
        <v/>
      </c>
      <c r="V1496" s="51">
        <f>IF(Q1496=1,MAX(0,F1496-E1496),0)</f>
        <v/>
      </c>
    </row>
    <row r="1497">
      <c r="A1497" s="43" t="inlineStr">
        <is>
          <t>PO101755</t>
        </is>
      </c>
      <c r="B1497" s="43" t="inlineStr">
        <is>
          <t>CMD-0095</t>
        </is>
      </c>
      <c r="C1497" s="43" t="inlineStr">
        <is>
          <t>S08</t>
        </is>
      </c>
      <c r="D1497" s="47" t="n">
        <v>46101</v>
      </c>
      <c r="E1497" s="47" t="n">
        <v>46178</v>
      </c>
      <c r="F1497" s="47" t="n">
        <v>46177</v>
      </c>
      <c r="G1497" s="46" t="n">
        <v>362</v>
      </c>
      <c r="H1497" s="46" t="n">
        <v>362</v>
      </c>
      <c r="I1497" s="46" t="n">
        <v>4</v>
      </c>
      <c r="J1497" s="44" t="n">
        <v>94.5849</v>
      </c>
      <c r="K1497" s="43" t="inlineStr">
        <is>
          <t>Received</t>
        </is>
      </c>
      <c r="L1497" s="17">
        <f>INDEX(Items!$C$2:$C$117,MATCH(B1497,Items!$A$2:$A$117,0))</f>
        <v/>
      </c>
      <c r="M1497" s="49">
        <f>INDEX(Items!$E$2:$E$117,MATCH(B1497,Items!$A$2:$A$117,0))</f>
        <v/>
      </c>
      <c r="N1497" s="17">
        <f>TEXT(D1497,"yyyy-mm")</f>
        <v/>
      </c>
      <c r="O1497" s="50">
        <f>G1497*J1497</f>
        <v/>
      </c>
      <c r="P1497" s="50">
        <f>(J1497-M1497)*G1497</f>
        <v/>
      </c>
      <c r="Q1497" s="51">
        <f>IF(K1497="Received",1,0)</f>
        <v/>
      </c>
      <c r="R1497" s="51">
        <f>IF(Q1497=1,F1497-D1497,0)</f>
        <v/>
      </c>
      <c r="S1497" s="51">
        <f>IF(Q1497=1,IF(F1497&lt;=E1497,1,0),0)</f>
        <v/>
      </c>
      <c r="T1497" s="51">
        <f>IF(Q1497=1,IF(H1497&gt;=G1497,1,0),0)</f>
        <v/>
      </c>
      <c r="U1497" s="51">
        <f>S1497*T1497</f>
        <v/>
      </c>
      <c r="V1497" s="51">
        <f>IF(Q1497=1,MAX(0,F1497-E1497),0)</f>
        <v/>
      </c>
    </row>
    <row r="1498">
      <c r="A1498" s="43" t="inlineStr">
        <is>
          <t>PO100333</t>
        </is>
      </c>
      <c r="B1498" s="43" t="inlineStr">
        <is>
          <t>CMD-0015</t>
        </is>
      </c>
      <c r="C1498" s="43" t="inlineStr">
        <is>
          <t>S03</t>
        </is>
      </c>
      <c r="D1498" s="47" t="n">
        <v>46101</v>
      </c>
      <c r="E1498" s="47" t="n">
        <v>46234</v>
      </c>
      <c r="F1498" s="47" t="n">
        <v>46234</v>
      </c>
      <c r="G1498" s="46" t="n">
        <v>2930</v>
      </c>
      <c r="H1498" s="46" t="n">
        <v>2930</v>
      </c>
      <c r="I1498" s="46" t="n">
        <v>13</v>
      </c>
      <c r="J1498" s="44" t="n">
        <v>6.6788</v>
      </c>
      <c r="K1498" s="43" t="inlineStr">
        <is>
          <t>Received</t>
        </is>
      </c>
      <c r="L1498" s="17">
        <f>INDEX(Items!$C$2:$C$117,MATCH(B1498,Items!$A$2:$A$117,0))</f>
        <v/>
      </c>
      <c r="M1498" s="49">
        <f>INDEX(Items!$E$2:$E$117,MATCH(B1498,Items!$A$2:$A$117,0))</f>
        <v/>
      </c>
      <c r="N1498" s="17">
        <f>TEXT(D1498,"yyyy-mm")</f>
        <v/>
      </c>
      <c r="O1498" s="50">
        <f>G1498*J1498</f>
        <v/>
      </c>
      <c r="P1498" s="50">
        <f>(J1498-M1498)*G1498</f>
        <v/>
      </c>
      <c r="Q1498" s="51">
        <f>IF(K1498="Received",1,0)</f>
        <v/>
      </c>
      <c r="R1498" s="51">
        <f>IF(Q1498=1,F1498-D1498,0)</f>
        <v/>
      </c>
      <c r="S1498" s="51">
        <f>IF(Q1498=1,IF(F1498&lt;=E1498,1,0),0)</f>
        <v/>
      </c>
      <c r="T1498" s="51">
        <f>IF(Q1498=1,IF(H1498&gt;=G1498,1,0),0)</f>
        <v/>
      </c>
      <c r="U1498" s="51">
        <f>S1498*T1498</f>
        <v/>
      </c>
      <c r="V1498" s="51">
        <f>IF(Q1498=1,MAX(0,F1498-E1498),0)</f>
        <v/>
      </c>
    </row>
    <row r="1499">
      <c r="A1499" s="43" t="inlineStr">
        <is>
          <t>PO101199</t>
        </is>
      </c>
      <c r="B1499" s="43" t="inlineStr">
        <is>
          <t>CMD-0055</t>
        </is>
      </c>
      <c r="C1499" s="43" t="inlineStr">
        <is>
          <t>S04</t>
        </is>
      </c>
      <c r="D1499" s="47" t="n">
        <v>46102</v>
      </c>
      <c r="E1499" s="47" t="n">
        <v>46137</v>
      </c>
      <c r="F1499" s="47" t="n">
        <v>46136</v>
      </c>
      <c r="G1499" s="46" t="n">
        <v>107256</v>
      </c>
      <c r="H1499" s="46" t="n">
        <v>107256</v>
      </c>
      <c r="I1499" s="46" t="n">
        <v>1099</v>
      </c>
      <c r="J1499" s="44" t="n">
        <v>0.09660000000000001</v>
      </c>
      <c r="K1499" s="43" t="inlineStr">
        <is>
          <t>Received</t>
        </is>
      </c>
      <c r="L1499" s="17">
        <f>INDEX(Items!$C$2:$C$117,MATCH(B1499,Items!$A$2:$A$117,0))</f>
        <v/>
      </c>
      <c r="M1499" s="49">
        <f>INDEX(Items!$E$2:$E$117,MATCH(B1499,Items!$A$2:$A$117,0))</f>
        <v/>
      </c>
      <c r="N1499" s="17">
        <f>TEXT(D1499,"yyyy-mm")</f>
        <v/>
      </c>
      <c r="O1499" s="50">
        <f>G1499*J1499</f>
        <v/>
      </c>
      <c r="P1499" s="50">
        <f>(J1499-M1499)*G1499</f>
        <v/>
      </c>
      <c r="Q1499" s="51">
        <f>IF(K1499="Received",1,0)</f>
        <v/>
      </c>
      <c r="R1499" s="51">
        <f>IF(Q1499=1,F1499-D1499,0)</f>
        <v/>
      </c>
      <c r="S1499" s="51">
        <f>IF(Q1499=1,IF(F1499&lt;=E1499,1,0),0)</f>
        <v/>
      </c>
      <c r="T1499" s="51">
        <f>IF(Q1499=1,IF(H1499&gt;=G1499,1,0),0)</f>
        <v/>
      </c>
      <c r="U1499" s="51">
        <f>S1499*T1499</f>
        <v/>
      </c>
      <c r="V1499" s="51">
        <f>IF(Q1499=1,MAX(0,F1499-E1499),0)</f>
        <v/>
      </c>
    </row>
    <row r="1500">
      <c r="A1500" s="43" t="inlineStr">
        <is>
          <t>PO100633</t>
        </is>
      </c>
      <c r="B1500" s="43" t="inlineStr">
        <is>
          <t>CMD-0028</t>
        </is>
      </c>
      <c r="C1500" s="43" t="inlineStr">
        <is>
          <t>S11</t>
        </is>
      </c>
      <c r="D1500" s="47" t="n">
        <v>46102</v>
      </c>
      <c r="E1500" s="47" t="n">
        <v>46179</v>
      </c>
      <c r="F1500" s="47" t="n">
        <v>46178</v>
      </c>
      <c r="G1500" s="46" t="n">
        <v>3562</v>
      </c>
      <c r="H1500" s="46" t="n">
        <v>3562</v>
      </c>
      <c r="I1500" s="46" t="n">
        <v>6</v>
      </c>
      <c r="J1500" s="44" t="n">
        <v>16.3152</v>
      </c>
      <c r="K1500" s="43" t="inlineStr">
        <is>
          <t>Received</t>
        </is>
      </c>
      <c r="L1500" s="17">
        <f>INDEX(Items!$C$2:$C$117,MATCH(B1500,Items!$A$2:$A$117,0))</f>
        <v/>
      </c>
      <c r="M1500" s="49">
        <f>INDEX(Items!$E$2:$E$117,MATCH(B1500,Items!$A$2:$A$117,0))</f>
        <v/>
      </c>
      <c r="N1500" s="17">
        <f>TEXT(D1500,"yyyy-mm")</f>
        <v/>
      </c>
      <c r="O1500" s="50">
        <f>G1500*J1500</f>
        <v/>
      </c>
      <c r="P1500" s="50">
        <f>(J1500-M1500)*G1500</f>
        <v/>
      </c>
      <c r="Q1500" s="51">
        <f>IF(K1500="Received",1,0)</f>
        <v/>
      </c>
      <c r="R1500" s="51">
        <f>IF(Q1500=1,F1500-D1500,0)</f>
        <v/>
      </c>
      <c r="S1500" s="51">
        <f>IF(Q1500=1,IF(F1500&lt;=E1500,1,0),0)</f>
        <v/>
      </c>
      <c r="T1500" s="51">
        <f>IF(Q1500=1,IF(H1500&gt;=G1500,1,0),0)</f>
        <v/>
      </c>
      <c r="U1500" s="51">
        <f>S1500*T1500</f>
        <v/>
      </c>
      <c r="V1500" s="51">
        <f>IF(Q1500=1,MAX(0,F1500-E1500),0)</f>
        <v/>
      </c>
    </row>
    <row r="1501">
      <c r="A1501" s="43" t="inlineStr">
        <is>
          <t>PO101581</t>
        </is>
      </c>
      <c r="B1501" s="43" t="inlineStr">
        <is>
          <t>CMD-0085</t>
        </is>
      </c>
      <c r="C1501" s="43" t="inlineStr">
        <is>
          <t>S06</t>
        </is>
      </c>
      <c r="D1501" s="47" t="n">
        <v>46102</v>
      </c>
      <c r="E1501" s="47" t="n">
        <v>46123</v>
      </c>
      <c r="F1501" s="47" t="n">
        <v>46123</v>
      </c>
      <c r="G1501" s="46" t="n">
        <v>927</v>
      </c>
      <c r="H1501" s="46" t="n">
        <v>927</v>
      </c>
      <c r="I1501" s="46" t="n">
        <v>3</v>
      </c>
      <c r="J1501" s="44" t="n">
        <v>10.8768</v>
      </c>
      <c r="K1501" s="43" t="inlineStr">
        <is>
          <t>Received</t>
        </is>
      </c>
      <c r="L1501" s="17">
        <f>INDEX(Items!$C$2:$C$117,MATCH(B1501,Items!$A$2:$A$117,0))</f>
        <v/>
      </c>
      <c r="M1501" s="49">
        <f>INDEX(Items!$E$2:$E$117,MATCH(B1501,Items!$A$2:$A$117,0))</f>
        <v/>
      </c>
      <c r="N1501" s="17">
        <f>TEXT(D1501,"yyyy-mm")</f>
        <v/>
      </c>
      <c r="O1501" s="50">
        <f>G1501*J1501</f>
        <v/>
      </c>
      <c r="P1501" s="50">
        <f>(J1501-M1501)*G1501</f>
        <v/>
      </c>
      <c r="Q1501" s="51">
        <f>IF(K1501="Received",1,0)</f>
        <v/>
      </c>
      <c r="R1501" s="51">
        <f>IF(Q1501=1,F1501-D1501,0)</f>
        <v/>
      </c>
      <c r="S1501" s="51">
        <f>IF(Q1501=1,IF(F1501&lt;=E1501,1,0),0)</f>
        <v/>
      </c>
      <c r="T1501" s="51">
        <f>IF(Q1501=1,IF(H1501&gt;=G1501,1,0),0)</f>
        <v/>
      </c>
      <c r="U1501" s="51">
        <f>S1501*T1501</f>
        <v/>
      </c>
      <c r="V1501" s="51">
        <f>IF(Q1501=1,MAX(0,F1501-E1501),0)</f>
        <v/>
      </c>
    </row>
    <row r="1502">
      <c r="A1502" s="43" t="inlineStr">
        <is>
          <t>PO101293</t>
        </is>
      </c>
      <c r="B1502" s="43" t="inlineStr">
        <is>
          <t>CMD-0062</t>
        </is>
      </c>
      <c r="C1502" s="43" t="inlineStr">
        <is>
          <t>S01</t>
        </is>
      </c>
      <c r="D1502" s="47" t="n">
        <v>46102</v>
      </c>
      <c r="E1502" s="47" t="n">
        <v>46123</v>
      </c>
      <c r="F1502" s="47" t="n">
        <v>46126</v>
      </c>
      <c r="G1502" s="46" t="n">
        <v>89518</v>
      </c>
      <c r="H1502" s="46" t="n">
        <v>89518</v>
      </c>
      <c r="I1502" s="46" t="n">
        <v>206</v>
      </c>
      <c r="J1502" s="44" t="n">
        <v>0.1173</v>
      </c>
      <c r="K1502" s="43" t="inlineStr">
        <is>
          <t>Received</t>
        </is>
      </c>
      <c r="L1502" s="17">
        <f>INDEX(Items!$C$2:$C$117,MATCH(B1502,Items!$A$2:$A$117,0))</f>
        <v/>
      </c>
      <c r="M1502" s="49">
        <f>INDEX(Items!$E$2:$E$117,MATCH(B1502,Items!$A$2:$A$117,0))</f>
        <v/>
      </c>
      <c r="N1502" s="17">
        <f>TEXT(D1502,"yyyy-mm")</f>
        <v/>
      </c>
      <c r="O1502" s="50">
        <f>G1502*J1502</f>
        <v/>
      </c>
      <c r="P1502" s="50">
        <f>(J1502-M1502)*G1502</f>
        <v/>
      </c>
      <c r="Q1502" s="51">
        <f>IF(K1502="Received",1,0)</f>
        <v/>
      </c>
      <c r="R1502" s="51">
        <f>IF(Q1502=1,F1502-D1502,0)</f>
        <v/>
      </c>
      <c r="S1502" s="51">
        <f>IF(Q1502=1,IF(F1502&lt;=E1502,1,0),0)</f>
        <v/>
      </c>
      <c r="T1502" s="51">
        <f>IF(Q1502=1,IF(H1502&gt;=G1502,1,0),0)</f>
        <v/>
      </c>
      <c r="U1502" s="51">
        <f>S1502*T1502</f>
        <v/>
      </c>
      <c r="V1502" s="51">
        <f>IF(Q1502=1,MAX(0,F1502-E1502),0)</f>
        <v/>
      </c>
    </row>
    <row r="1503">
      <c r="A1503" s="43" t="inlineStr">
        <is>
          <t>PO101977</t>
        </is>
      </c>
      <c r="B1503" s="43" t="inlineStr">
        <is>
          <t>CMD-0109</t>
        </is>
      </c>
      <c r="C1503" s="43" t="inlineStr">
        <is>
          <t>S12</t>
        </is>
      </c>
      <c r="D1503" s="47" t="n">
        <v>46102</v>
      </c>
      <c r="E1503" s="47" t="n">
        <v>46109</v>
      </c>
      <c r="F1503" s="47" t="n">
        <v>46106</v>
      </c>
      <c r="G1503" s="46" t="n">
        <v>6790</v>
      </c>
      <c r="H1503" s="46" t="n">
        <v>6790</v>
      </c>
      <c r="I1503" s="46" t="n">
        <v>6</v>
      </c>
      <c r="J1503" s="44" t="n">
        <v>1.751</v>
      </c>
      <c r="K1503" s="43" t="inlineStr">
        <is>
          <t>Received</t>
        </is>
      </c>
      <c r="L1503" s="17">
        <f>INDEX(Items!$C$2:$C$117,MATCH(B1503,Items!$A$2:$A$117,0))</f>
        <v/>
      </c>
      <c r="M1503" s="49">
        <f>INDEX(Items!$E$2:$E$117,MATCH(B1503,Items!$A$2:$A$117,0))</f>
        <v/>
      </c>
      <c r="N1503" s="17">
        <f>TEXT(D1503,"yyyy-mm")</f>
        <v/>
      </c>
      <c r="O1503" s="50">
        <f>G1503*J1503</f>
        <v/>
      </c>
      <c r="P1503" s="50">
        <f>(J1503-M1503)*G1503</f>
        <v/>
      </c>
      <c r="Q1503" s="51">
        <f>IF(K1503="Received",1,0)</f>
        <v/>
      </c>
      <c r="R1503" s="51">
        <f>IF(Q1503=1,F1503-D1503,0)</f>
        <v/>
      </c>
      <c r="S1503" s="51">
        <f>IF(Q1503=1,IF(F1503&lt;=E1503,1,0),0)</f>
        <v/>
      </c>
      <c r="T1503" s="51">
        <f>IF(Q1503=1,IF(H1503&gt;=G1503,1,0),0)</f>
        <v/>
      </c>
      <c r="U1503" s="51">
        <f>S1503*T1503</f>
        <v/>
      </c>
      <c r="V1503" s="51">
        <f>IF(Q1503=1,MAX(0,F1503-E1503),0)</f>
        <v/>
      </c>
    </row>
    <row r="1504">
      <c r="A1504" s="43" t="inlineStr">
        <is>
          <t>PO100137</t>
        </is>
      </c>
      <c r="B1504" s="43" t="inlineStr">
        <is>
          <t>CMD-0006</t>
        </is>
      </c>
      <c r="C1504" s="43" t="inlineStr">
        <is>
          <t>S03</t>
        </is>
      </c>
      <c r="D1504" s="47" t="n">
        <v>46102</v>
      </c>
      <c r="E1504" s="47" t="n">
        <v>46235</v>
      </c>
      <c r="F1504" s="47" t="n">
        <v>46234</v>
      </c>
      <c r="G1504" s="46" t="n">
        <v>630</v>
      </c>
      <c r="H1504" s="46" t="n">
        <v>630</v>
      </c>
      <c r="I1504" s="46" t="n">
        <v>4</v>
      </c>
      <c r="J1504" s="44" t="n">
        <v>36.049</v>
      </c>
      <c r="K1504" s="43" t="inlineStr">
        <is>
          <t>Received</t>
        </is>
      </c>
      <c r="L1504" s="17">
        <f>INDEX(Items!$C$2:$C$117,MATCH(B1504,Items!$A$2:$A$117,0))</f>
        <v/>
      </c>
      <c r="M1504" s="49">
        <f>INDEX(Items!$E$2:$E$117,MATCH(B1504,Items!$A$2:$A$117,0))</f>
        <v/>
      </c>
      <c r="N1504" s="17">
        <f>TEXT(D1504,"yyyy-mm")</f>
        <v/>
      </c>
      <c r="O1504" s="50">
        <f>G1504*J1504</f>
        <v/>
      </c>
      <c r="P1504" s="50">
        <f>(J1504-M1504)*G1504</f>
        <v/>
      </c>
      <c r="Q1504" s="51">
        <f>IF(K1504="Received",1,0)</f>
        <v/>
      </c>
      <c r="R1504" s="51">
        <f>IF(Q1504=1,F1504-D1504,0)</f>
        <v/>
      </c>
      <c r="S1504" s="51">
        <f>IF(Q1504=1,IF(F1504&lt;=E1504,1,0),0)</f>
        <v/>
      </c>
      <c r="T1504" s="51">
        <f>IF(Q1504=1,IF(H1504&gt;=G1504,1,0),0)</f>
        <v/>
      </c>
      <c r="U1504" s="51">
        <f>S1504*T1504</f>
        <v/>
      </c>
      <c r="V1504" s="51">
        <f>IF(Q1504=1,MAX(0,F1504-E1504),0)</f>
        <v/>
      </c>
    </row>
    <row r="1505">
      <c r="A1505" s="43" t="inlineStr">
        <is>
          <t>PO100113</t>
        </is>
      </c>
      <c r="B1505" s="43" t="inlineStr">
        <is>
          <t>CMD-0005</t>
        </is>
      </c>
      <c r="C1505" s="43" t="inlineStr">
        <is>
          <t>S07</t>
        </is>
      </c>
      <c r="D1505" s="47" t="n">
        <v>46102</v>
      </c>
      <c r="E1505" s="47" t="n">
        <v>46193</v>
      </c>
      <c r="F1505" s="47" t="n">
        <v>46193</v>
      </c>
      <c r="G1505" s="46" t="n">
        <v>4906</v>
      </c>
      <c r="H1505" s="46" t="n">
        <v>4906</v>
      </c>
      <c r="I1505" s="46" t="n">
        <v>40</v>
      </c>
      <c r="J1505" s="44" t="n">
        <v>6.6434</v>
      </c>
      <c r="K1505" s="43" t="inlineStr">
        <is>
          <t>Received</t>
        </is>
      </c>
      <c r="L1505" s="17">
        <f>INDEX(Items!$C$2:$C$117,MATCH(B1505,Items!$A$2:$A$117,0))</f>
        <v/>
      </c>
      <c r="M1505" s="49">
        <f>INDEX(Items!$E$2:$E$117,MATCH(B1505,Items!$A$2:$A$117,0))</f>
        <v/>
      </c>
      <c r="N1505" s="17">
        <f>TEXT(D1505,"yyyy-mm")</f>
        <v/>
      </c>
      <c r="O1505" s="50">
        <f>G1505*J1505</f>
        <v/>
      </c>
      <c r="P1505" s="50">
        <f>(J1505-M1505)*G1505</f>
        <v/>
      </c>
      <c r="Q1505" s="51">
        <f>IF(K1505="Received",1,0)</f>
        <v/>
      </c>
      <c r="R1505" s="51">
        <f>IF(Q1505=1,F1505-D1505,0)</f>
        <v/>
      </c>
      <c r="S1505" s="51">
        <f>IF(Q1505=1,IF(F1505&lt;=E1505,1,0),0)</f>
        <v/>
      </c>
      <c r="T1505" s="51">
        <f>IF(Q1505=1,IF(H1505&gt;=G1505,1,0),0)</f>
        <v/>
      </c>
      <c r="U1505" s="51">
        <f>S1505*T1505</f>
        <v/>
      </c>
      <c r="V1505" s="51">
        <f>IF(Q1505=1,MAX(0,F1505-E1505),0)</f>
        <v/>
      </c>
    </row>
    <row r="1506">
      <c r="A1506" s="43" t="inlineStr">
        <is>
          <t>PO101137</t>
        </is>
      </c>
      <c r="B1506" s="43" t="inlineStr">
        <is>
          <t>CMD-0052</t>
        </is>
      </c>
      <c r="C1506" s="43" t="inlineStr">
        <is>
          <t>S01</t>
        </is>
      </c>
      <c r="D1506" s="47" t="n">
        <v>46102</v>
      </c>
      <c r="E1506" s="47" t="n">
        <v>46123</v>
      </c>
      <c r="F1506" s="47" t="n">
        <v>46122</v>
      </c>
      <c r="G1506" s="46" t="n">
        <v>119699</v>
      </c>
      <c r="H1506" s="46" t="n">
        <v>119699</v>
      </c>
      <c r="I1506" s="46" t="n">
        <v>242</v>
      </c>
      <c r="J1506" s="44" t="n">
        <v>0.2076</v>
      </c>
      <c r="K1506" s="43" t="inlineStr">
        <is>
          <t>Received</t>
        </is>
      </c>
      <c r="L1506" s="17">
        <f>INDEX(Items!$C$2:$C$117,MATCH(B1506,Items!$A$2:$A$117,0))</f>
        <v/>
      </c>
      <c r="M1506" s="49">
        <f>INDEX(Items!$E$2:$E$117,MATCH(B1506,Items!$A$2:$A$117,0))</f>
        <v/>
      </c>
      <c r="N1506" s="17">
        <f>TEXT(D1506,"yyyy-mm")</f>
        <v/>
      </c>
      <c r="O1506" s="50">
        <f>G1506*J1506</f>
        <v/>
      </c>
      <c r="P1506" s="50">
        <f>(J1506-M1506)*G1506</f>
        <v/>
      </c>
      <c r="Q1506" s="51">
        <f>IF(K1506="Received",1,0)</f>
        <v/>
      </c>
      <c r="R1506" s="51">
        <f>IF(Q1506=1,F1506-D1506,0)</f>
        <v/>
      </c>
      <c r="S1506" s="51">
        <f>IF(Q1506=1,IF(F1506&lt;=E1506,1,0),0)</f>
        <v/>
      </c>
      <c r="T1506" s="51">
        <f>IF(Q1506=1,IF(H1506&gt;=G1506,1,0),0)</f>
        <v/>
      </c>
      <c r="U1506" s="51">
        <f>S1506*T1506</f>
        <v/>
      </c>
      <c r="V1506" s="51">
        <f>IF(Q1506=1,MAX(0,F1506-E1506),0)</f>
        <v/>
      </c>
    </row>
    <row r="1507">
      <c r="A1507" s="43" t="inlineStr">
        <is>
          <t>PO100257</t>
        </is>
      </c>
      <c r="B1507" s="43" t="inlineStr">
        <is>
          <t>CMD-0011</t>
        </is>
      </c>
      <c r="C1507" s="43" t="inlineStr">
        <is>
          <t>S07</t>
        </is>
      </c>
      <c r="D1507" s="47" t="n">
        <v>46102</v>
      </c>
      <c r="E1507" s="47" t="n">
        <v>46193</v>
      </c>
      <c r="F1507" s="47" t="n">
        <v>46192</v>
      </c>
      <c r="G1507" s="46" t="n">
        <v>3017</v>
      </c>
      <c r="H1507" s="46" t="n">
        <v>3017</v>
      </c>
      <c r="I1507" s="46" t="n">
        <v>25</v>
      </c>
      <c r="J1507" s="44" t="n">
        <v>9.5344</v>
      </c>
      <c r="K1507" s="43" t="inlineStr">
        <is>
          <t>Received</t>
        </is>
      </c>
      <c r="L1507" s="17">
        <f>INDEX(Items!$C$2:$C$117,MATCH(B1507,Items!$A$2:$A$117,0))</f>
        <v/>
      </c>
      <c r="M1507" s="49">
        <f>INDEX(Items!$E$2:$E$117,MATCH(B1507,Items!$A$2:$A$117,0))</f>
        <v/>
      </c>
      <c r="N1507" s="17">
        <f>TEXT(D1507,"yyyy-mm")</f>
        <v/>
      </c>
      <c r="O1507" s="50">
        <f>G1507*J1507</f>
        <v/>
      </c>
      <c r="P1507" s="50">
        <f>(J1507-M1507)*G1507</f>
        <v/>
      </c>
      <c r="Q1507" s="51">
        <f>IF(K1507="Received",1,0)</f>
        <v/>
      </c>
      <c r="R1507" s="51">
        <f>IF(Q1507=1,F1507-D1507,0)</f>
        <v/>
      </c>
      <c r="S1507" s="51">
        <f>IF(Q1507=1,IF(F1507&lt;=E1507,1,0),0)</f>
        <v/>
      </c>
      <c r="T1507" s="51">
        <f>IF(Q1507=1,IF(H1507&gt;=G1507,1,0),0)</f>
        <v/>
      </c>
      <c r="U1507" s="51">
        <f>S1507*T1507</f>
        <v/>
      </c>
      <c r="V1507" s="51">
        <f>IF(Q1507=1,MAX(0,F1507-E1507),0)</f>
        <v/>
      </c>
    </row>
    <row r="1508">
      <c r="A1508" s="43" t="inlineStr">
        <is>
          <t>PO101046</t>
        </is>
      </c>
      <c r="B1508" s="43" t="inlineStr">
        <is>
          <t>CMD-0047</t>
        </is>
      </c>
      <c r="C1508" s="43" t="inlineStr">
        <is>
          <t>S04</t>
        </is>
      </c>
      <c r="D1508" s="47" t="n">
        <v>46113</v>
      </c>
      <c r="E1508" s="47" t="n">
        <v>46148</v>
      </c>
      <c r="F1508" s="47" t="n">
        <v>46148</v>
      </c>
      <c r="G1508" s="46" t="n">
        <v>19917</v>
      </c>
      <c r="H1508" s="46" t="n">
        <v>19917</v>
      </c>
      <c r="I1508" s="46" t="n">
        <v>184</v>
      </c>
      <c r="J1508" s="44" t="n">
        <v>0.3049</v>
      </c>
      <c r="K1508" s="43" t="inlineStr">
        <is>
          <t>Received</t>
        </is>
      </c>
      <c r="L1508" s="17">
        <f>INDEX(Items!$C$2:$C$117,MATCH(B1508,Items!$A$2:$A$117,0))</f>
        <v/>
      </c>
      <c r="M1508" s="49">
        <f>INDEX(Items!$E$2:$E$117,MATCH(B1508,Items!$A$2:$A$117,0))</f>
        <v/>
      </c>
      <c r="N1508" s="17">
        <f>TEXT(D1508,"yyyy-mm")</f>
        <v/>
      </c>
      <c r="O1508" s="50">
        <f>G1508*J1508</f>
        <v/>
      </c>
      <c r="P1508" s="50">
        <f>(J1508-M1508)*G1508</f>
        <v/>
      </c>
      <c r="Q1508" s="51">
        <f>IF(K1508="Received",1,0)</f>
        <v/>
      </c>
      <c r="R1508" s="51">
        <f>IF(Q1508=1,F1508-D1508,0)</f>
        <v/>
      </c>
      <c r="S1508" s="51">
        <f>IF(Q1508=1,IF(F1508&lt;=E1508,1,0),0)</f>
        <v/>
      </c>
      <c r="T1508" s="51">
        <f>IF(Q1508=1,IF(H1508&gt;=G1508,1,0),0)</f>
        <v/>
      </c>
      <c r="U1508" s="51">
        <f>S1508*T1508</f>
        <v/>
      </c>
      <c r="V1508" s="51">
        <f>IF(Q1508=1,MAX(0,F1508-E1508),0)</f>
        <v/>
      </c>
    </row>
    <row r="1509">
      <c r="A1509" s="43" t="inlineStr">
        <is>
          <t>PO101799</t>
        </is>
      </c>
      <c r="B1509" s="43" t="inlineStr">
        <is>
          <t>CMD-0097</t>
        </is>
      </c>
      <c r="C1509" s="43" t="inlineStr">
        <is>
          <t>S09</t>
        </is>
      </c>
      <c r="D1509" s="47" t="n">
        <v>46114</v>
      </c>
      <c r="E1509" s="47" t="n">
        <v>46135</v>
      </c>
      <c r="F1509" s="47" t="n">
        <v>46132</v>
      </c>
      <c r="G1509" s="46" t="n">
        <v>648</v>
      </c>
      <c r="H1509" s="46" t="n">
        <v>648</v>
      </c>
      <c r="I1509" s="46" t="n">
        <v>0</v>
      </c>
      <c r="J1509" s="44" t="n">
        <v>9.5481</v>
      </c>
      <c r="K1509" s="43" t="inlineStr">
        <is>
          <t>Received</t>
        </is>
      </c>
      <c r="L1509" s="17">
        <f>INDEX(Items!$C$2:$C$117,MATCH(B1509,Items!$A$2:$A$117,0))</f>
        <v/>
      </c>
      <c r="M1509" s="49">
        <f>INDEX(Items!$E$2:$E$117,MATCH(B1509,Items!$A$2:$A$117,0))</f>
        <v/>
      </c>
      <c r="N1509" s="17">
        <f>TEXT(D1509,"yyyy-mm")</f>
        <v/>
      </c>
      <c r="O1509" s="50">
        <f>G1509*J1509</f>
        <v/>
      </c>
      <c r="P1509" s="50">
        <f>(J1509-M1509)*G1509</f>
        <v/>
      </c>
      <c r="Q1509" s="51">
        <f>IF(K1509="Received",1,0)</f>
        <v/>
      </c>
      <c r="R1509" s="51">
        <f>IF(Q1509=1,F1509-D1509,0)</f>
        <v/>
      </c>
      <c r="S1509" s="51">
        <f>IF(Q1509=1,IF(F1509&lt;=E1509,1,0),0)</f>
        <v/>
      </c>
      <c r="T1509" s="51">
        <f>IF(Q1509=1,IF(H1509&gt;=G1509,1,0),0)</f>
        <v/>
      </c>
      <c r="U1509" s="51">
        <f>S1509*T1509</f>
        <v/>
      </c>
      <c r="V1509" s="51">
        <f>IF(Q1509=1,MAX(0,F1509-E1509),0)</f>
        <v/>
      </c>
    </row>
    <row r="1510">
      <c r="A1510" s="43" t="inlineStr">
        <is>
          <t>PO100425</t>
        </is>
      </c>
      <c r="B1510" s="43" t="inlineStr">
        <is>
          <t>CMD-0019</t>
        </is>
      </c>
      <c r="C1510" s="43" t="inlineStr">
        <is>
          <t>S11</t>
        </is>
      </c>
      <c r="D1510" s="47" t="n">
        <v>46114</v>
      </c>
      <c r="E1510" s="47" t="n">
        <v>46191</v>
      </c>
      <c r="F1510" s="47" t="n">
        <v>46190</v>
      </c>
      <c r="G1510" s="46" t="n">
        <v>715</v>
      </c>
      <c r="H1510" s="46" t="n">
        <v>715</v>
      </c>
      <c r="I1510" s="46" t="n">
        <v>1</v>
      </c>
      <c r="J1510" s="44" t="n">
        <v>7.4675</v>
      </c>
      <c r="K1510" s="43" t="inlineStr">
        <is>
          <t>Received</t>
        </is>
      </c>
      <c r="L1510" s="17">
        <f>INDEX(Items!$C$2:$C$117,MATCH(B1510,Items!$A$2:$A$117,0))</f>
        <v/>
      </c>
      <c r="M1510" s="49">
        <f>INDEX(Items!$E$2:$E$117,MATCH(B1510,Items!$A$2:$A$117,0))</f>
        <v/>
      </c>
      <c r="N1510" s="17">
        <f>TEXT(D1510,"yyyy-mm")</f>
        <v/>
      </c>
      <c r="O1510" s="50">
        <f>G1510*J1510</f>
        <v/>
      </c>
      <c r="P1510" s="50">
        <f>(J1510-M1510)*G1510</f>
        <v/>
      </c>
      <c r="Q1510" s="51">
        <f>IF(K1510="Received",1,0)</f>
        <v/>
      </c>
      <c r="R1510" s="51">
        <f>IF(Q1510=1,F1510-D1510,0)</f>
        <v/>
      </c>
      <c r="S1510" s="51">
        <f>IF(Q1510=1,IF(F1510&lt;=E1510,1,0),0)</f>
        <v/>
      </c>
      <c r="T1510" s="51">
        <f>IF(Q1510=1,IF(H1510&gt;=G1510,1,0),0)</f>
        <v/>
      </c>
      <c r="U1510" s="51">
        <f>S1510*T1510</f>
        <v/>
      </c>
      <c r="V1510" s="51">
        <f>IF(Q1510=1,MAX(0,F1510-E1510),0)</f>
        <v/>
      </c>
    </row>
    <row r="1511">
      <c r="A1511" s="43" t="inlineStr">
        <is>
          <t>PO100467</t>
        </is>
      </c>
      <c r="B1511" s="43" t="inlineStr">
        <is>
          <t>CMD-0021</t>
        </is>
      </c>
      <c r="C1511" s="43" t="inlineStr">
        <is>
          <t>S04</t>
        </is>
      </c>
      <c r="D1511" s="47" t="n">
        <v>46115</v>
      </c>
      <c r="E1511" s="47" t="n">
        <v>46185</v>
      </c>
      <c r="F1511" s="47" t="n">
        <v>46182</v>
      </c>
      <c r="G1511" s="46" t="n">
        <v>976</v>
      </c>
      <c r="H1511" s="46" t="n">
        <v>976</v>
      </c>
      <c r="I1511" s="46" t="n">
        <v>5</v>
      </c>
      <c r="J1511" s="44" t="n">
        <v>5.0882</v>
      </c>
      <c r="K1511" s="43" t="inlineStr">
        <is>
          <t>Received</t>
        </is>
      </c>
      <c r="L1511" s="17">
        <f>INDEX(Items!$C$2:$C$117,MATCH(B1511,Items!$A$2:$A$117,0))</f>
        <v/>
      </c>
      <c r="M1511" s="49">
        <f>INDEX(Items!$E$2:$E$117,MATCH(B1511,Items!$A$2:$A$117,0))</f>
        <v/>
      </c>
      <c r="N1511" s="17">
        <f>TEXT(D1511,"yyyy-mm")</f>
        <v/>
      </c>
      <c r="O1511" s="50">
        <f>G1511*J1511</f>
        <v/>
      </c>
      <c r="P1511" s="50">
        <f>(J1511-M1511)*G1511</f>
        <v/>
      </c>
      <c r="Q1511" s="51">
        <f>IF(K1511="Received",1,0)</f>
        <v/>
      </c>
      <c r="R1511" s="51">
        <f>IF(Q1511=1,F1511-D1511,0)</f>
        <v/>
      </c>
      <c r="S1511" s="51">
        <f>IF(Q1511=1,IF(F1511&lt;=E1511,1,0),0)</f>
        <v/>
      </c>
      <c r="T1511" s="51">
        <f>IF(Q1511=1,IF(H1511&gt;=G1511,1,0),0)</f>
        <v/>
      </c>
      <c r="U1511" s="51">
        <f>S1511*T1511</f>
        <v/>
      </c>
      <c r="V1511" s="51">
        <f>IF(Q1511=1,MAX(0,F1511-E1511),0)</f>
        <v/>
      </c>
    </row>
    <row r="1512">
      <c r="A1512" s="43" t="inlineStr">
        <is>
          <t>PO100701</t>
        </is>
      </c>
      <c r="B1512" s="43" t="inlineStr">
        <is>
          <t>CMD-0031</t>
        </is>
      </c>
      <c r="C1512" s="43" t="inlineStr">
        <is>
          <t>S01</t>
        </is>
      </c>
      <c r="D1512" s="47" t="n">
        <v>46116</v>
      </c>
      <c r="E1512" s="47" t="n">
        <v>46144</v>
      </c>
      <c r="F1512" s="47" t="n">
        <v>46142</v>
      </c>
      <c r="G1512" s="46" t="n">
        <v>729</v>
      </c>
      <c r="H1512" s="46" t="n">
        <v>729</v>
      </c>
      <c r="I1512" s="46" t="n">
        <v>1</v>
      </c>
      <c r="J1512" s="44" t="n">
        <v>9.980700000000001</v>
      </c>
      <c r="K1512" s="43" t="inlineStr">
        <is>
          <t>Received</t>
        </is>
      </c>
      <c r="L1512" s="17">
        <f>INDEX(Items!$C$2:$C$117,MATCH(B1512,Items!$A$2:$A$117,0))</f>
        <v/>
      </c>
      <c r="M1512" s="49">
        <f>INDEX(Items!$E$2:$E$117,MATCH(B1512,Items!$A$2:$A$117,0))</f>
        <v/>
      </c>
      <c r="N1512" s="17">
        <f>TEXT(D1512,"yyyy-mm")</f>
        <v/>
      </c>
      <c r="O1512" s="50">
        <f>G1512*J1512</f>
        <v/>
      </c>
      <c r="P1512" s="50">
        <f>(J1512-M1512)*G1512</f>
        <v/>
      </c>
      <c r="Q1512" s="51">
        <f>IF(K1512="Received",1,0)</f>
        <v/>
      </c>
      <c r="R1512" s="51">
        <f>IF(Q1512=1,F1512-D1512,0)</f>
        <v/>
      </c>
      <c r="S1512" s="51">
        <f>IF(Q1512=1,IF(F1512&lt;=E1512,1,0),0)</f>
        <v/>
      </c>
      <c r="T1512" s="51">
        <f>IF(Q1512=1,IF(H1512&gt;=G1512,1,0),0)</f>
        <v/>
      </c>
      <c r="U1512" s="51">
        <f>S1512*T1512</f>
        <v/>
      </c>
      <c r="V1512" s="51">
        <f>IF(Q1512=1,MAX(0,F1512-E1512),0)</f>
        <v/>
      </c>
    </row>
    <row r="1513">
      <c r="A1513" s="43" t="inlineStr">
        <is>
          <t>PO101613</t>
        </is>
      </c>
      <c r="B1513" s="43" t="inlineStr">
        <is>
          <t>CMD-0089</t>
        </is>
      </c>
      <c r="C1513" s="43" t="inlineStr">
        <is>
          <t>S01</t>
        </is>
      </c>
      <c r="D1513" s="47" t="n">
        <v>46116</v>
      </c>
      <c r="E1513" s="47" t="n">
        <v>46130</v>
      </c>
      <c r="F1513" s="47" t="n">
        <v>46129</v>
      </c>
      <c r="G1513" s="46" t="n">
        <v>632</v>
      </c>
      <c r="H1513" s="46" t="n">
        <v>632</v>
      </c>
      <c r="I1513" s="46" t="n">
        <v>2</v>
      </c>
      <c r="J1513" s="44" t="n">
        <v>9.774699999999999</v>
      </c>
      <c r="K1513" s="43" t="inlineStr">
        <is>
          <t>Received</t>
        </is>
      </c>
      <c r="L1513" s="17">
        <f>INDEX(Items!$C$2:$C$117,MATCH(B1513,Items!$A$2:$A$117,0))</f>
        <v/>
      </c>
      <c r="M1513" s="49">
        <f>INDEX(Items!$E$2:$E$117,MATCH(B1513,Items!$A$2:$A$117,0))</f>
        <v/>
      </c>
      <c r="N1513" s="17">
        <f>TEXT(D1513,"yyyy-mm")</f>
        <v/>
      </c>
      <c r="O1513" s="50">
        <f>G1513*J1513</f>
        <v/>
      </c>
      <c r="P1513" s="50">
        <f>(J1513-M1513)*G1513</f>
        <v/>
      </c>
      <c r="Q1513" s="51">
        <f>IF(K1513="Received",1,0)</f>
        <v/>
      </c>
      <c r="R1513" s="51">
        <f>IF(Q1513=1,F1513-D1513,0)</f>
        <v/>
      </c>
      <c r="S1513" s="51">
        <f>IF(Q1513=1,IF(F1513&lt;=E1513,1,0),0)</f>
        <v/>
      </c>
      <c r="T1513" s="51">
        <f>IF(Q1513=1,IF(H1513&gt;=G1513,1,0),0)</f>
        <v/>
      </c>
      <c r="U1513" s="51">
        <f>S1513*T1513</f>
        <v/>
      </c>
      <c r="V1513" s="51">
        <f>IF(Q1513=1,MAX(0,F1513-E1513),0)</f>
        <v/>
      </c>
    </row>
    <row r="1514">
      <c r="A1514" s="43" t="inlineStr">
        <is>
          <t>PO101379</t>
        </is>
      </c>
      <c r="B1514" s="43" t="inlineStr">
        <is>
          <t>CMD-0070</t>
        </is>
      </c>
      <c r="C1514" s="43" t="inlineStr">
        <is>
          <t>S04</t>
        </is>
      </c>
      <c r="D1514" s="47" t="n">
        <v>46116</v>
      </c>
      <c r="E1514" s="47" t="n">
        <v>46151</v>
      </c>
      <c r="F1514" s="47" t="n">
        <v>46149</v>
      </c>
      <c r="G1514" s="46" t="n">
        <v>39486</v>
      </c>
      <c r="H1514" s="46" t="n">
        <v>39486</v>
      </c>
      <c r="I1514" s="46" t="n">
        <v>396</v>
      </c>
      <c r="J1514" s="44" t="n">
        <v>0.1452</v>
      </c>
      <c r="K1514" s="43" t="inlineStr">
        <is>
          <t>Received</t>
        </is>
      </c>
      <c r="L1514" s="17">
        <f>INDEX(Items!$C$2:$C$117,MATCH(B1514,Items!$A$2:$A$117,0))</f>
        <v/>
      </c>
      <c r="M1514" s="49">
        <f>INDEX(Items!$E$2:$E$117,MATCH(B1514,Items!$A$2:$A$117,0))</f>
        <v/>
      </c>
      <c r="N1514" s="17">
        <f>TEXT(D1514,"yyyy-mm")</f>
        <v/>
      </c>
      <c r="O1514" s="50">
        <f>G1514*J1514</f>
        <v/>
      </c>
      <c r="P1514" s="50">
        <f>(J1514-M1514)*G1514</f>
        <v/>
      </c>
      <c r="Q1514" s="51">
        <f>IF(K1514="Received",1,0)</f>
        <v/>
      </c>
      <c r="R1514" s="51">
        <f>IF(Q1514=1,F1514-D1514,0)</f>
        <v/>
      </c>
      <c r="S1514" s="51">
        <f>IF(Q1514=1,IF(F1514&lt;=E1514,1,0),0)</f>
        <v/>
      </c>
      <c r="T1514" s="51">
        <f>IF(Q1514=1,IF(H1514&gt;=G1514,1,0),0)</f>
        <v/>
      </c>
      <c r="U1514" s="51">
        <f>S1514*T1514</f>
        <v/>
      </c>
      <c r="V1514" s="51">
        <f>IF(Q1514=1,MAX(0,F1514-E1514),0)</f>
        <v/>
      </c>
    </row>
    <row r="1515">
      <c r="A1515" s="43" t="inlineStr">
        <is>
          <t>PO101216</t>
        </is>
      </c>
      <c r="B1515" s="43" t="inlineStr">
        <is>
          <t>CMD-0056</t>
        </is>
      </c>
      <c r="C1515" s="43" t="inlineStr">
        <is>
          <t>S04</t>
        </is>
      </c>
      <c r="D1515" s="47" t="n">
        <v>46120</v>
      </c>
      <c r="E1515" s="47" t="n">
        <v>46155</v>
      </c>
      <c r="F1515" s="47" t="n">
        <v>46155</v>
      </c>
      <c r="G1515" s="46" t="n">
        <v>64293</v>
      </c>
      <c r="H1515" s="46" t="n">
        <v>64293</v>
      </c>
      <c r="I1515" s="46" t="n">
        <v>632</v>
      </c>
      <c r="J1515" s="44" t="n">
        <v>0.1045</v>
      </c>
      <c r="K1515" s="43" t="inlineStr">
        <is>
          <t>Received</t>
        </is>
      </c>
      <c r="L1515" s="17">
        <f>INDEX(Items!$C$2:$C$117,MATCH(B1515,Items!$A$2:$A$117,0))</f>
        <v/>
      </c>
      <c r="M1515" s="49">
        <f>INDEX(Items!$E$2:$E$117,MATCH(B1515,Items!$A$2:$A$117,0))</f>
        <v/>
      </c>
      <c r="N1515" s="17">
        <f>TEXT(D1515,"yyyy-mm")</f>
        <v/>
      </c>
      <c r="O1515" s="50">
        <f>G1515*J1515</f>
        <v/>
      </c>
      <c r="P1515" s="50">
        <f>(J1515-M1515)*G1515</f>
        <v/>
      </c>
      <c r="Q1515" s="51">
        <f>IF(K1515="Received",1,0)</f>
        <v/>
      </c>
      <c r="R1515" s="51">
        <f>IF(Q1515=1,F1515-D1515,0)</f>
        <v/>
      </c>
      <c r="S1515" s="51">
        <f>IF(Q1515=1,IF(F1515&lt;=E1515,1,0),0)</f>
        <v/>
      </c>
      <c r="T1515" s="51">
        <f>IF(Q1515=1,IF(H1515&gt;=G1515,1,0),0)</f>
        <v/>
      </c>
      <c r="U1515" s="51">
        <f>S1515*T1515</f>
        <v/>
      </c>
      <c r="V1515" s="51">
        <f>IF(Q1515=1,MAX(0,F1515-E1515),0)</f>
        <v/>
      </c>
    </row>
    <row r="1516">
      <c r="A1516" s="43" t="inlineStr">
        <is>
          <t>PO101262</t>
        </is>
      </c>
      <c r="B1516" s="43" t="inlineStr">
        <is>
          <t>CMD-0059</t>
        </is>
      </c>
      <c r="C1516" s="43" t="inlineStr">
        <is>
          <t>S01</t>
        </is>
      </c>
      <c r="D1516" s="47" t="n">
        <v>46122</v>
      </c>
      <c r="E1516" s="47" t="n">
        <v>46143</v>
      </c>
      <c r="F1516" s="47" t="n">
        <v>46141</v>
      </c>
      <c r="G1516" s="46" t="n">
        <v>183821</v>
      </c>
      <c r="H1516" s="46" t="n">
        <v>183821</v>
      </c>
      <c r="I1516" s="46" t="n">
        <v>381</v>
      </c>
      <c r="J1516" s="44" t="n">
        <v>0.0289</v>
      </c>
      <c r="K1516" s="43" t="inlineStr">
        <is>
          <t>Received</t>
        </is>
      </c>
      <c r="L1516" s="17">
        <f>INDEX(Items!$C$2:$C$117,MATCH(B1516,Items!$A$2:$A$117,0))</f>
        <v/>
      </c>
      <c r="M1516" s="49">
        <f>INDEX(Items!$E$2:$E$117,MATCH(B1516,Items!$A$2:$A$117,0))</f>
        <v/>
      </c>
      <c r="N1516" s="17">
        <f>TEXT(D1516,"yyyy-mm")</f>
        <v/>
      </c>
      <c r="O1516" s="50">
        <f>G1516*J1516</f>
        <v/>
      </c>
      <c r="P1516" s="50">
        <f>(J1516-M1516)*G1516</f>
        <v/>
      </c>
      <c r="Q1516" s="51">
        <f>IF(K1516="Received",1,0)</f>
        <v/>
      </c>
      <c r="R1516" s="51">
        <f>IF(Q1516=1,F1516-D1516,0)</f>
        <v/>
      </c>
      <c r="S1516" s="51">
        <f>IF(Q1516=1,IF(F1516&lt;=E1516,1,0),0)</f>
        <v/>
      </c>
      <c r="T1516" s="51">
        <f>IF(Q1516=1,IF(H1516&gt;=G1516,1,0),0)</f>
        <v/>
      </c>
      <c r="U1516" s="51">
        <f>S1516*T1516</f>
        <v/>
      </c>
      <c r="V1516" s="51">
        <f>IF(Q1516=1,MAX(0,F1516-E1516),0)</f>
        <v/>
      </c>
    </row>
    <row r="1517">
      <c r="A1517" s="43" t="inlineStr">
        <is>
          <t>PO101811</t>
        </is>
      </c>
      <c r="B1517" s="43" t="inlineStr">
        <is>
          <t>CMD-0098</t>
        </is>
      </c>
      <c r="C1517" s="43" t="inlineStr">
        <is>
          <t>S09</t>
        </is>
      </c>
      <c r="D1517" s="47" t="n">
        <v>46122</v>
      </c>
      <c r="E1517" s="47" t="n">
        <v>46143</v>
      </c>
      <c r="F1517" s="47" t="n">
        <v>46143</v>
      </c>
      <c r="G1517" s="46" t="n">
        <v>772</v>
      </c>
      <c r="H1517" s="46" t="n">
        <v>772</v>
      </c>
      <c r="I1517" s="46" t="n">
        <v>0</v>
      </c>
      <c r="J1517" s="44" t="n">
        <v>7.416</v>
      </c>
      <c r="K1517" s="43" t="inlineStr">
        <is>
          <t>Received</t>
        </is>
      </c>
      <c r="L1517" s="17">
        <f>INDEX(Items!$C$2:$C$117,MATCH(B1517,Items!$A$2:$A$117,0))</f>
        <v/>
      </c>
      <c r="M1517" s="49">
        <f>INDEX(Items!$E$2:$E$117,MATCH(B1517,Items!$A$2:$A$117,0))</f>
        <v/>
      </c>
      <c r="N1517" s="17">
        <f>TEXT(D1517,"yyyy-mm")</f>
        <v/>
      </c>
      <c r="O1517" s="50">
        <f>G1517*J1517</f>
        <v/>
      </c>
      <c r="P1517" s="50">
        <f>(J1517-M1517)*G1517</f>
        <v/>
      </c>
      <c r="Q1517" s="51">
        <f>IF(K1517="Received",1,0)</f>
        <v/>
      </c>
      <c r="R1517" s="51">
        <f>IF(Q1517=1,F1517-D1517,0)</f>
        <v/>
      </c>
      <c r="S1517" s="51">
        <f>IF(Q1517=1,IF(F1517&lt;=E1517,1,0),0)</f>
        <v/>
      </c>
      <c r="T1517" s="51">
        <f>IF(Q1517=1,IF(H1517&gt;=G1517,1,0),0)</f>
        <v/>
      </c>
      <c r="U1517" s="51">
        <f>S1517*T1517</f>
        <v/>
      </c>
      <c r="V1517" s="51">
        <f>IF(Q1517=1,MAX(0,F1517-E1517),0)</f>
        <v/>
      </c>
    </row>
    <row r="1518">
      <c r="A1518" s="43" t="inlineStr">
        <is>
          <t>PO101116</t>
        </is>
      </c>
      <c r="B1518" s="43" t="inlineStr">
        <is>
          <t>CMD-0051</t>
        </is>
      </c>
      <c r="C1518" s="43" t="inlineStr">
        <is>
          <t>S01</t>
        </is>
      </c>
      <c r="D1518" s="47" t="n">
        <v>46122</v>
      </c>
      <c r="E1518" s="47" t="n">
        <v>46143</v>
      </c>
      <c r="F1518" s="47" t="n">
        <v>46143</v>
      </c>
      <c r="G1518" s="46" t="n">
        <v>280964</v>
      </c>
      <c r="H1518" s="46" t="n">
        <v>280964</v>
      </c>
      <c r="I1518" s="46" t="n">
        <v>534</v>
      </c>
      <c r="J1518" s="44" t="n">
        <v>0.0243</v>
      </c>
      <c r="K1518" s="43" t="inlineStr">
        <is>
          <t>Received</t>
        </is>
      </c>
      <c r="L1518" s="17">
        <f>INDEX(Items!$C$2:$C$117,MATCH(B1518,Items!$A$2:$A$117,0))</f>
        <v/>
      </c>
      <c r="M1518" s="49">
        <f>INDEX(Items!$E$2:$E$117,MATCH(B1518,Items!$A$2:$A$117,0))</f>
        <v/>
      </c>
      <c r="N1518" s="17">
        <f>TEXT(D1518,"yyyy-mm")</f>
        <v/>
      </c>
      <c r="O1518" s="50">
        <f>G1518*J1518</f>
        <v/>
      </c>
      <c r="P1518" s="50">
        <f>(J1518-M1518)*G1518</f>
        <v/>
      </c>
      <c r="Q1518" s="51">
        <f>IF(K1518="Received",1,0)</f>
        <v/>
      </c>
      <c r="R1518" s="51">
        <f>IF(Q1518=1,F1518-D1518,0)</f>
        <v/>
      </c>
      <c r="S1518" s="51">
        <f>IF(Q1518=1,IF(F1518&lt;=E1518,1,0),0)</f>
        <v/>
      </c>
      <c r="T1518" s="51">
        <f>IF(Q1518=1,IF(H1518&gt;=G1518,1,0),0)</f>
        <v/>
      </c>
      <c r="U1518" s="51">
        <f>S1518*T1518</f>
        <v/>
      </c>
      <c r="V1518" s="51">
        <f>IF(Q1518=1,MAX(0,F1518-E1518),0)</f>
        <v/>
      </c>
    </row>
    <row r="1519">
      <c r="A1519" s="43" t="inlineStr">
        <is>
          <t>PO101154</t>
        </is>
      </c>
      <c r="B1519" s="43" t="inlineStr">
        <is>
          <t>CMD-0053</t>
        </is>
      </c>
      <c r="C1519" s="43" t="inlineStr">
        <is>
          <t>S04</t>
        </is>
      </c>
      <c r="D1519" s="47" t="n">
        <v>46124</v>
      </c>
      <c r="E1519" s="47" t="n">
        <v>46159</v>
      </c>
      <c r="F1519" s="47" t="n">
        <v>46159</v>
      </c>
      <c r="G1519" s="46" t="n">
        <v>53588</v>
      </c>
      <c r="H1519" s="46" t="n">
        <v>53588</v>
      </c>
      <c r="I1519" s="46" t="n">
        <v>558</v>
      </c>
      <c r="J1519" s="44" t="n">
        <v>0.0997</v>
      </c>
      <c r="K1519" s="43" t="inlineStr">
        <is>
          <t>Received</t>
        </is>
      </c>
      <c r="L1519" s="17">
        <f>INDEX(Items!$C$2:$C$117,MATCH(B1519,Items!$A$2:$A$117,0))</f>
        <v/>
      </c>
      <c r="M1519" s="49">
        <f>INDEX(Items!$E$2:$E$117,MATCH(B1519,Items!$A$2:$A$117,0))</f>
        <v/>
      </c>
      <c r="N1519" s="17">
        <f>TEXT(D1519,"yyyy-mm")</f>
        <v/>
      </c>
      <c r="O1519" s="50">
        <f>G1519*J1519</f>
        <v/>
      </c>
      <c r="P1519" s="50">
        <f>(J1519-M1519)*G1519</f>
        <v/>
      </c>
      <c r="Q1519" s="51">
        <f>IF(K1519="Received",1,0)</f>
        <v/>
      </c>
      <c r="R1519" s="51">
        <f>IF(Q1519=1,F1519-D1519,0)</f>
        <v/>
      </c>
      <c r="S1519" s="51">
        <f>IF(Q1519=1,IF(F1519&lt;=E1519,1,0),0)</f>
        <v/>
      </c>
      <c r="T1519" s="51">
        <f>IF(Q1519=1,IF(H1519&gt;=G1519,1,0),0)</f>
        <v/>
      </c>
      <c r="U1519" s="51">
        <f>S1519*T1519</f>
        <v/>
      </c>
      <c r="V1519" s="51">
        <f>IF(Q1519=1,MAX(0,F1519-E1519),0)</f>
        <v/>
      </c>
    </row>
    <row r="1520">
      <c r="A1520" s="43" t="inlineStr">
        <is>
          <t>PO101928</t>
        </is>
      </c>
      <c r="B1520" s="43" t="inlineStr">
        <is>
          <t>CMD-0106</t>
        </is>
      </c>
      <c r="C1520" s="43" t="inlineStr">
        <is>
          <t>S09</t>
        </is>
      </c>
      <c r="D1520" s="47" t="n">
        <v>46124</v>
      </c>
      <c r="E1520" s="47" t="n">
        <v>46145</v>
      </c>
      <c r="F1520" s="47" t="n">
        <v>46142</v>
      </c>
      <c r="G1520" s="46" t="n">
        <v>590</v>
      </c>
      <c r="H1520" s="46" t="n">
        <v>590</v>
      </c>
      <c r="I1520" s="46" t="n">
        <v>2</v>
      </c>
      <c r="J1520" s="44" t="n">
        <v>10.7326</v>
      </c>
      <c r="K1520" s="43" t="inlineStr">
        <is>
          <t>Received</t>
        </is>
      </c>
      <c r="L1520" s="17">
        <f>INDEX(Items!$C$2:$C$117,MATCH(B1520,Items!$A$2:$A$117,0))</f>
        <v/>
      </c>
      <c r="M1520" s="49">
        <f>INDEX(Items!$E$2:$E$117,MATCH(B1520,Items!$A$2:$A$117,0))</f>
        <v/>
      </c>
      <c r="N1520" s="17">
        <f>TEXT(D1520,"yyyy-mm")</f>
        <v/>
      </c>
      <c r="O1520" s="50">
        <f>G1520*J1520</f>
        <v/>
      </c>
      <c r="P1520" s="50">
        <f>(J1520-M1520)*G1520</f>
        <v/>
      </c>
      <c r="Q1520" s="51">
        <f>IF(K1520="Received",1,0)</f>
        <v/>
      </c>
      <c r="R1520" s="51">
        <f>IF(Q1520=1,F1520-D1520,0)</f>
        <v/>
      </c>
      <c r="S1520" s="51">
        <f>IF(Q1520=1,IF(F1520&lt;=E1520,1,0),0)</f>
        <v/>
      </c>
      <c r="T1520" s="51">
        <f>IF(Q1520=1,IF(H1520&gt;=G1520,1,0),0)</f>
        <v/>
      </c>
      <c r="U1520" s="51">
        <f>S1520*T1520</f>
        <v/>
      </c>
      <c r="V1520" s="51">
        <f>IF(Q1520=1,MAX(0,F1520-E1520),0)</f>
        <v/>
      </c>
    </row>
    <row r="1521">
      <c r="A1521" s="43" t="inlineStr">
        <is>
          <t>PO100884</t>
        </is>
      </c>
      <c r="B1521" s="43" t="inlineStr">
        <is>
          <t>CMD-0039</t>
        </is>
      </c>
      <c r="C1521" s="43" t="inlineStr">
        <is>
          <t>S07</t>
        </is>
      </c>
      <c r="D1521" s="47" t="n">
        <v>46125</v>
      </c>
      <c r="E1521" s="47" t="n">
        <v>46167</v>
      </c>
      <c r="F1521" s="47" t="n">
        <v>46165</v>
      </c>
      <c r="G1521" s="46" t="n">
        <v>353</v>
      </c>
      <c r="H1521" s="46" t="n">
        <v>353</v>
      </c>
      <c r="I1521" s="46" t="n">
        <v>1</v>
      </c>
      <c r="J1521" s="44" t="n">
        <v>53.5497</v>
      </c>
      <c r="K1521" s="43" t="inlineStr">
        <is>
          <t>Received</t>
        </is>
      </c>
      <c r="L1521" s="17">
        <f>INDEX(Items!$C$2:$C$117,MATCH(B1521,Items!$A$2:$A$117,0))</f>
        <v/>
      </c>
      <c r="M1521" s="49">
        <f>INDEX(Items!$E$2:$E$117,MATCH(B1521,Items!$A$2:$A$117,0))</f>
        <v/>
      </c>
      <c r="N1521" s="17">
        <f>TEXT(D1521,"yyyy-mm")</f>
        <v/>
      </c>
      <c r="O1521" s="50">
        <f>G1521*J1521</f>
        <v/>
      </c>
      <c r="P1521" s="50">
        <f>(J1521-M1521)*G1521</f>
        <v/>
      </c>
      <c r="Q1521" s="51">
        <f>IF(K1521="Received",1,0)</f>
        <v/>
      </c>
      <c r="R1521" s="51">
        <f>IF(Q1521=1,F1521-D1521,0)</f>
        <v/>
      </c>
      <c r="S1521" s="51">
        <f>IF(Q1521=1,IF(F1521&lt;=E1521,1,0),0)</f>
        <v/>
      </c>
      <c r="T1521" s="51">
        <f>IF(Q1521=1,IF(H1521&gt;=G1521,1,0),0)</f>
        <v/>
      </c>
      <c r="U1521" s="51">
        <f>S1521*T1521</f>
        <v/>
      </c>
      <c r="V1521" s="51">
        <f>IF(Q1521=1,MAX(0,F1521-E1521),0)</f>
        <v/>
      </c>
    </row>
    <row r="1522">
      <c r="A1522" s="43" t="inlineStr">
        <is>
          <t>PO101474</t>
        </is>
      </c>
      <c r="B1522" s="43" t="inlineStr">
        <is>
          <t>CMD-0078</t>
        </is>
      </c>
      <c r="C1522" s="43" t="inlineStr">
        <is>
          <t>S06</t>
        </is>
      </c>
      <c r="D1522" s="47" t="n">
        <v>46125</v>
      </c>
      <c r="E1522" s="47" t="n">
        <v>46146</v>
      </c>
      <c r="F1522" s="47" t="n">
        <v>46143</v>
      </c>
      <c r="G1522" s="46" t="n">
        <v>3813</v>
      </c>
      <c r="H1522" s="46" t="n">
        <v>3813</v>
      </c>
      <c r="I1522" s="46" t="n">
        <v>22</v>
      </c>
      <c r="J1522" s="44" t="n">
        <v>2.678</v>
      </c>
      <c r="K1522" s="43" t="inlineStr">
        <is>
          <t>Received</t>
        </is>
      </c>
      <c r="L1522" s="17">
        <f>INDEX(Items!$C$2:$C$117,MATCH(B1522,Items!$A$2:$A$117,0))</f>
        <v/>
      </c>
      <c r="M1522" s="49">
        <f>INDEX(Items!$E$2:$E$117,MATCH(B1522,Items!$A$2:$A$117,0))</f>
        <v/>
      </c>
      <c r="N1522" s="17">
        <f>TEXT(D1522,"yyyy-mm")</f>
        <v/>
      </c>
      <c r="O1522" s="50">
        <f>G1522*J1522</f>
        <v/>
      </c>
      <c r="P1522" s="50">
        <f>(J1522-M1522)*G1522</f>
        <v/>
      </c>
      <c r="Q1522" s="51">
        <f>IF(K1522="Received",1,0)</f>
        <v/>
      </c>
      <c r="R1522" s="51">
        <f>IF(Q1522=1,F1522-D1522,0)</f>
        <v/>
      </c>
      <c r="S1522" s="51">
        <f>IF(Q1522=1,IF(F1522&lt;=E1522,1,0),0)</f>
        <v/>
      </c>
      <c r="T1522" s="51">
        <f>IF(Q1522=1,IF(H1522&gt;=G1522,1,0),0)</f>
        <v/>
      </c>
      <c r="U1522" s="51">
        <f>S1522*T1522</f>
        <v/>
      </c>
      <c r="V1522" s="51">
        <f>IF(Q1522=1,MAX(0,F1522-E1522),0)</f>
        <v/>
      </c>
    </row>
    <row r="1523">
      <c r="A1523" s="43" t="inlineStr">
        <is>
          <t>PO100897</t>
        </is>
      </c>
      <c r="B1523" s="43" t="inlineStr">
        <is>
          <t>CMD-0040</t>
        </is>
      </c>
      <c r="C1523" s="43" t="inlineStr">
        <is>
          <t>S07</t>
        </is>
      </c>
      <c r="D1523" s="47" t="n">
        <v>46125</v>
      </c>
      <c r="E1523" s="47" t="n">
        <v>46167</v>
      </c>
      <c r="F1523" s="47" t="n">
        <v>46166</v>
      </c>
      <c r="G1523" s="46" t="n">
        <v>792</v>
      </c>
      <c r="H1523" s="46" t="n">
        <v>792</v>
      </c>
      <c r="I1523" s="46" t="n">
        <v>5</v>
      </c>
      <c r="J1523" s="44" t="n">
        <v>9.2288</v>
      </c>
      <c r="K1523" s="43" t="inlineStr">
        <is>
          <t>Received</t>
        </is>
      </c>
      <c r="L1523" s="17">
        <f>INDEX(Items!$C$2:$C$117,MATCH(B1523,Items!$A$2:$A$117,0))</f>
        <v/>
      </c>
      <c r="M1523" s="49">
        <f>INDEX(Items!$E$2:$E$117,MATCH(B1523,Items!$A$2:$A$117,0))</f>
        <v/>
      </c>
      <c r="N1523" s="17">
        <f>TEXT(D1523,"yyyy-mm")</f>
        <v/>
      </c>
      <c r="O1523" s="50">
        <f>G1523*J1523</f>
        <v/>
      </c>
      <c r="P1523" s="50">
        <f>(J1523-M1523)*G1523</f>
        <v/>
      </c>
      <c r="Q1523" s="51">
        <f>IF(K1523="Received",1,0)</f>
        <v/>
      </c>
      <c r="R1523" s="51">
        <f>IF(Q1523=1,F1523-D1523,0)</f>
        <v/>
      </c>
      <c r="S1523" s="51">
        <f>IF(Q1523=1,IF(F1523&lt;=E1523,1,0),0)</f>
        <v/>
      </c>
      <c r="T1523" s="51">
        <f>IF(Q1523=1,IF(H1523&gt;=G1523,1,0),0)</f>
        <v/>
      </c>
      <c r="U1523" s="51">
        <f>S1523*T1523</f>
        <v/>
      </c>
      <c r="V1523" s="51">
        <f>IF(Q1523=1,MAX(0,F1523-E1523),0)</f>
        <v/>
      </c>
    </row>
    <row r="1524">
      <c r="A1524" s="43" t="inlineStr">
        <is>
          <t>PO101138</t>
        </is>
      </c>
      <c r="B1524" s="43" t="inlineStr">
        <is>
          <t>CMD-0052</t>
        </is>
      </c>
      <c r="C1524" s="43" t="inlineStr">
        <is>
          <t>S01</t>
        </is>
      </c>
      <c r="D1524" s="47" t="n">
        <v>46125</v>
      </c>
      <c r="E1524" s="47" t="n">
        <v>46146</v>
      </c>
      <c r="F1524" s="47" t="n">
        <v>46146</v>
      </c>
      <c r="G1524" s="46" t="n">
        <v>125702</v>
      </c>
      <c r="H1524" s="46" t="n">
        <v>125702</v>
      </c>
      <c r="I1524" s="46" t="n">
        <v>272</v>
      </c>
      <c r="J1524" s="44" t="n">
        <v>0.2076</v>
      </c>
      <c r="K1524" s="43" t="inlineStr">
        <is>
          <t>Received</t>
        </is>
      </c>
      <c r="L1524" s="17">
        <f>INDEX(Items!$C$2:$C$117,MATCH(B1524,Items!$A$2:$A$117,0))</f>
        <v/>
      </c>
      <c r="M1524" s="49">
        <f>INDEX(Items!$E$2:$E$117,MATCH(B1524,Items!$A$2:$A$117,0))</f>
        <v/>
      </c>
      <c r="N1524" s="17">
        <f>TEXT(D1524,"yyyy-mm")</f>
        <v/>
      </c>
      <c r="O1524" s="50">
        <f>G1524*J1524</f>
        <v/>
      </c>
      <c r="P1524" s="50">
        <f>(J1524-M1524)*G1524</f>
        <v/>
      </c>
      <c r="Q1524" s="51">
        <f>IF(K1524="Received",1,0)</f>
        <v/>
      </c>
      <c r="R1524" s="51">
        <f>IF(Q1524=1,F1524-D1524,0)</f>
        <v/>
      </c>
      <c r="S1524" s="51">
        <f>IF(Q1524=1,IF(F1524&lt;=E1524,1,0),0)</f>
        <v/>
      </c>
      <c r="T1524" s="51">
        <f>IF(Q1524=1,IF(H1524&gt;=G1524,1,0),0)</f>
        <v/>
      </c>
      <c r="U1524" s="51">
        <f>S1524*T1524</f>
        <v/>
      </c>
      <c r="V1524" s="51">
        <f>IF(Q1524=1,MAX(0,F1524-E1524),0)</f>
        <v/>
      </c>
    </row>
    <row r="1525">
      <c r="A1525" s="43" t="inlineStr">
        <is>
          <t>PO100210</t>
        </is>
      </c>
      <c r="B1525" s="43" t="inlineStr">
        <is>
          <t>CMD-0009</t>
        </is>
      </c>
      <c r="C1525" s="43" t="inlineStr">
        <is>
          <t>S11</t>
        </is>
      </c>
      <c r="D1525" s="47" t="n">
        <v>46125</v>
      </c>
      <c r="E1525" s="47" t="n">
        <v>46244</v>
      </c>
      <c r="F1525" s="47" t="n">
        <v>46243</v>
      </c>
      <c r="G1525" s="46" t="n">
        <v>6695</v>
      </c>
      <c r="H1525" s="46" t="n">
        <v>6695</v>
      </c>
      <c r="I1525" s="46" t="n">
        <v>15</v>
      </c>
      <c r="J1525" s="44" t="n">
        <v>7.4222</v>
      </c>
      <c r="K1525" s="43" t="inlineStr">
        <is>
          <t>Received</t>
        </is>
      </c>
      <c r="L1525" s="17">
        <f>INDEX(Items!$C$2:$C$117,MATCH(B1525,Items!$A$2:$A$117,0))</f>
        <v/>
      </c>
      <c r="M1525" s="49">
        <f>INDEX(Items!$E$2:$E$117,MATCH(B1525,Items!$A$2:$A$117,0))</f>
        <v/>
      </c>
      <c r="N1525" s="17">
        <f>TEXT(D1525,"yyyy-mm")</f>
        <v/>
      </c>
      <c r="O1525" s="50">
        <f>G1525*J1525</f>
        <v/>
      </c>
      <c r="P1525" s="50">
        <f>(J1525-M1525)*G1525</f>
        <v/>
      </c>
      <c r="Q1525" s="51">
        <f>IF(K1525="Received",1,0)</f>
        <v/>
      </c>
      <c r="R1525" s="51">
        <f>IF(Q1525=1,F1525-D1525,0)</f>
        <v/>
      </c>
      <c r="S1525" s="51">
        <f>IF(Q1525=1,IF(F1525&lt;=E1525,1,0),0)</f>
        <v/>
      </c>
      <c r="T1525" s="51">
        <f>IF(Q1525=1,IF(H1525&gt;=G1525,1,0),0)</f>
        <v/>
      </c>
      <c r="U1525" s="51">
        <f>S1525*T1525</f>
        <v/>
      </c>
      <c r="V1525" s="51">
        <f>IF(Q1525=1,MAX(0,F1525-E1525),0)</f>
        <v/>
      </c>
    </row>
    <row r="1526">
      <c r="A1526" s="43" t="inlineStr">
        <is>
          <t>PO100976</t>
        </is>
      </c>
      <c r="B1526" s="43" t="inlineStr">
        <is>
          <t>CMD-0044</t>
        </is>
      </c>
      <c r="C1526" s="43" t="inlineStr">
        <is>
          <t>S05</t>
        </is>
      </c>
      <c r="D1526" s="47" t="n">
        <v>46125</v>
      </c>
      <c r="E1526" s="47" t="n">
        <v>46230</v>
      </c>
      <c r="F1526" s="47" t="n">
        <v>46227</v>
      </c>
      <c r="G1526" s="46" t="n">
        <v>7421</v>
      </c>
      <c r="H1526" s="46" t="n">
        <v>7421</v>
      </c>
      <c r="I1526" s="46" t="n">
        <v>138</v>
      </c>
      <c r="J1526" s="44" t="n">
        <v>11.9171</v>
      </c>
      <c r="K1526" s="43" t="inlineStr">
        <is>
          <t>Received</t>
        </is>
      </c>
      <c r="L1526" s="17">
        <f>INDEX(Items!$C$2:$C$117,MATCH(B1526,Items!$A$2:$A$117,0))</f>
        <v/>
      </c>
      <c r="M1526" s="49">
        <f>INDEX(Items!$E$2:$E$117,MATCH(B1526,Items!$A$2:$A$117,0))</f>
        <v/>
      </c>
      <c r="N1526" s="17">
        <f>TEXT(D1526,"yyyy-mm")</f>
        <v/>
      </c>
      <c r="O1526" s="50">
        <f>G1526*J1526</f>
        <v/>
      </c>
      <c r="P1526" s="50">
        <f>(J1526-M1526)*G1526</f>
        <v/>
      </c>
      <c r="Q1526" s="51">
        <f>IF(K1526="Received",1,0)</f>
        <v/>
      </c>
      <c r="R1526" s="51">
        <f>IF(Q1526=1,F1526-D1526,0)</f>
        <v/>
      </c>
      <c r="S1526" s="51">
        <f>IF(Q1526=1,IF(F1526&lt;=E1526,1,0),0)</f>
        <v/>
      </c>
      <c r="T1526" s="51">
        <f>IF(Q1526=1,IF(H1526&gt;=G1526,1,0),0)</f>
        <v/>
      </c>
      <c r="U1526" s="51">
        <f>S1526*T1526</f>
        <v/>
      </c>
      <c r="V1526" s="51">
        <f>IF(Q1526=1,MAX(0,F1526-E1526),0)</f>
        <v/>
      </c>
    </row>
    <row r="1527">
      <c r="A1527" s="43" t="inlineStr">
        <is>
          <t>PO100234</t>
        </is>
      </c>
      <c r="B1527" s="43" t="inlineStr">
        <is>
          <t>CMD-0010</t>
        </is>
      </c>
      <c r="C1527" s="43" t="inlineStr">
        <is>
          <t>S03</t>
        </is>
      </c>
      <c r="D1527" s="47" t="n">
        <v>46126</v>
      </c>
      <c r="E1527" s="47" t="n">
        <v>46259</v>
      </c>
      <c r="F1527" s="47" t="n">
        <v>46257</v>
      </c>
      <c r="G1527" s="46" t="n">
        <v>4300</v>
      </c>
      <c r="H1527" s="46" t="n">
        <v>4300</v>
      </c>
      <c r="I1527" s="46" t="n">
        <v>33</v>
      </c>
      <c r="J1527" s="44" t="n">
        <v>5.4634</v>
      </c>
      <c r="K1527" s="43" t="inlineStr">
        <is>
          <t>Received</t>
        </is>
      </c>
      <c r="L1527" s="17">
        <f>INDEX(Items!$C$2:$C$117,MATCH(B1527,Items!$A$2:$A$117,0))</f>
        <v/>
      </c>
      <c r="M1527" s="49">
        <f>INDEX(Items!$E$2:$E$117,MATCH(B1527,Items!$A$2:$A$117,0))</f>
        <v/>
      </c>
      <c r="N1527" s="17">
        <f>TEXT(D1527,"yyyy-mm")</f>
        <v/>
      </c>
      <c r="O1527" s="50">
        <f>G1527*J1527</f>
        <v/>
      </c>
      <c r="P1527" s="50">
        <f>(J1527-M1527)*G1527</f>
        <v/>
      </c>
      <c r="Q1527" s="51">
        <f>IF(K1527="Received",1,0)</f>
        <v/>
      </c>
      <c r="R1527" s="51">
        <f>IF(Q1527=1,F1527-D1527,0)</f>
        <v/>
      </c>
      <c r="S1527" s="51">
        <f>IF(Q1527=1,IF(F1527&lt;=E1527,1,0),0)</f>
        <v/>
      </c>
      <c r="T1527" s="51">
        <f>IF(Q1527=1,IF(H1527&gt;=G1527,1,0),0)</f>
        <v/>
      </c>
      <c r="U1527" s="51">
        <f>S1527*T1527</f>
        <v/>
      </c>
      <c r="V1527" s="51">
        <f>IF(Q1527=1,MAX(0,F1527-E1527),0)</f>
        <v/>
      </c>
    </row>
    <row r="1528">
      <c r="A1528" s="43" t="inlineStr">
        <is>
          <t>PO101756</t>
        </is>
      </c>
      <c r="B1528" s="43" t="inlineStr">
        <is>
          <t>CMD-0095</t>
        </is>
      </c>
      <c r="C1528" s="43" t="inlineStr">
        <is>
          <t>S08</t>
        </is>
      </c>
      <c r="D1528" s="47" t="n">
        <v>46126</v>
      </c>
      <c r="E1528" s="47" t="n">
        <v>46203</v>
      </c>
      <c r="F1528" s="47" t="n">
        <v>46200</v>
      </c>
      <c r="G1528" s="46" t="n">
        <v>350</v>
      </c>
      <c r="H1528" s="46" t="n">
        <v>350</v>
      </c>
      <c r="I1528" s="46" t="n">
        <v>2</v>
      </c>
      <c r="J1528" s="44" t="n">
        <v>94.5849</v>
      </c>
      <c r="K1528" s="43" t="inlineStr">
        <is>
          <t>Received</t>
        </is>
      </c>
      <c r="L1528" s="17">
        <f>INDEX(Items!$C$2:$C$117,MATCH(B1528,Items!$A$2:$A$117,0))</f>
        <v/>
      </c>
      <c r="M1528" s="49">
        <f>INDEX(Items!$E$2:$E$117,MATCH(B1528,Items!$A$2:$A$117,0))</f>
        <v/>
      </c>
      <c r="N1528" s="17">
        <f>TEXT(D1528,"yyyy-mm")</f>
        <v/>
      </c>
      <c r="O1528" s="50">
        <f>G1528*J1528</f>
        <v/>
      </c>
      <c r="P1528" s="50">
        <f>(J1528-M1528)*G1528</f>
        <v/>
      </c>
      <c r="Q1528" s="51">
        <f>IF(K1528="Received",1,0)</f>
        <v/>
      </c>
      <c r="R1528" s="51">
        <f>IF(Q1528=1,F1528-D1528,0)</f>
        <v/>
      </c>
      <c r="S1528" s="51">
        <f>IF(Q1528=1,IF(F1528&lt;=E1528,1,0),0)</f>
        <v/>
      </c>
      <c r="T1528" s="51">
        <f>IF(Q1528=1,IF(H1528&gt;=G1528,1,0),0)</f>
        <v/>
      </c>
      <c r="U1528" s="51">
        <f>S1528*T1528</f>
        <v/>
      </c>
      <c r="V1528" s="51">
        <f>IF(Q1528=1,MAX(0,F1528-E1528),0)</f>
        <v/>
      </c>
    </row>
    <row r="1529">
      <c r="A1529" s="43" t="inlineStr">
        <is>
          <t>PO100812</t>
        </is>
      </c>
      <c r="B1529" s="43" t="inlineStr">
        <is>
          <t>CMD-0036</t>
        </is>
      </c>
      <c r="C1529" s="43" t="inlineStr">
        <is>
          <t>S04</t>
        </is>
      </c>
      <c r="D1529" s="47" t="n">
        <v>46126</v>
      </c>
      <c r="E1529" s="47" t="n">
        <v>46168</v>
      </c>
      <c r="F1529" s="47" t="n">
        <v>46168</v>
      </c>
      <c r="G1529" s="46" t="n">
        <v>500</v>
      </c>
      <c r="H1529" s="46" t="n">
        <v>500</v>
      </c>
      <c r="I1529" s="46" t="n">
        <v>7</v>
      </c>
      <c r="J1529" s="44" t="n">
        <v>12.7308</v>
      </c>
      <c r="K1529" s="43" t="inlineStr">
        <is>
          <t>Received</t>
        </is>
      </c>
      <c r="L1529" s="17">
        <f>INDEX(Items!$C$2:$C$117,MATCH(B1529,Items!$A$2:$A$117,0))</f>
        <v/>
      </c>
      <c r="M1529" s="49">
        <f>INDEX(Items!$E$2:$E$117,MATCH(B1529,Items!$A$2:$A$117,0))</f>
        <v/>
      </c>
      <c r="N1529" s="17">
        <f>TEXT(D1529,"yyyy-mm")</f>
        <v/>
      </c>
      <c r="O1529" s="50">
        <f>G1529*J1529</f>
        <v/>
      </c>
      <c r="P1529" s="50">
        <f>(J1529-M1529)*G1529</f>
        <v/>
      </c>
      <c r="Q1529" s="51">
        <f>IF(K1529="Received",1,0)</f>
        <v/>
      </c>
      <c r="R1529" s="51">
        <f>IF(Q1529=1,F1529-D1529,0)</f>
        <v/>
      </c>
      <c r="S1529" s="51">
        <f>IF(Q1529=1,IF(F1529&lt;=E1529,1,0),0)</f>
        <v/>
      </c>
      <c r="T1529" s="51">
        <f>IF(Q1529=1,IF(H1529&gt;=G1529,1,0),0)</f>
        <v/>
      </c>
      <c r="U1529" s="51">
        <f>S1529*T1529</f>
        <v/>
      </c>
      <c r="V1529" s="51">
        <f>IF(Q1529=1,MAX(0,F1529-E1529),0)</f>
        <v/>
      </c>
    </row>
    <row r="1530">
      <c r="A1530" s="43" t="inlineStr">
        <is>
          <t>PO101450</t>
        </is>
      </c>
      <c r="B1530" s="43" t="inlineStr">
        <is>
          <t>CMD-0077</t>
        </is>
      </c>
      <c r="C1530" s="43" t="inlineStr">
        <is>
          <t>S01</t>
        </is>
      </c>
      <c r="D1530" s="47" t="n">
        <v>46126</v>
      </c>
      <c r="E1530" s="47" t="n">
        <v>46140</v>
      </c>
      <c r="F1530" s="47" t="n">
        <v>46140</v>
      </c>
      <c r="G1530" s="46" t="n">
        <v>3894</v>
      </c>
      <c r="H1530" s="46" t="n">
        <v>3894</v>
      </c>
      <c r="I1530" s="46" t="n">
        <v>11</v>
      </c>
      <c r="J1530" s="44" t="n">
        <v>9.012499999999999</v>
      </c>
      <c r="K1530" s="43" t="inlineStr">
        <is>
          <t>Received</t>
        </is>
      </c>
      <c r="L1530" s="17">
        <f>INDEX(Items!$C$2:$C$117,MATCH(B1530,Items!$A$2:$A$117,0))</f>
        <v/>
      </c>
      <c r="M1530" s="49">
        <f>INDEX(Items!$E$2:$E$117,MATCH(B1530,Items!$A$2:$A$117,0))</f>
        <v/>
      </c>
      <c r="N1530" s="17">
        <f>TEXT(D1530,"yyyy-mm")</f>
        <v/>
      </c>
      <c r="O1530" s="50">
        <f>G1530*J1530</f>
        <v/>
      </c>
      <c r="P1530" s="50">
        <f>(J1530-M1530)*G1530</f>
        <v/>
      </c>
      <c r="Q1530" s="51">
        <f>IF(K1530="Received",1,0)</f>
        <v/>
      </c>
      <c r="R1530" s="51">
        <f>IF(Q1530=1,F1530-D1530,0)</f>
        <v/>
      </c>
      <c r="S1530" s="51">
        <f>IF(Q1530=1,IF(F1530&lt;=E1530,1,0),0)</f>
        <v/>
      </c>
      <c r="T1530" s="51">
        <f>IF(Q1530=1,IF(H1530&gt;=G1530,1,0),0)</f>
        <v/>
      </c>
      <c r="U1530" s="51">
        <f>S1530*T1530</f>
        <v/>
      </c>
      <c r="V1530" s="51">
        <f>IF(Q1530=1,MAX(0,F1530-E1530),0)</f>
        <v/>
      </c>
    </row>
    <row r="1531">
      <c r="A1531" s="43" t="inlineStr">
        <is>
          <t>PO101950</t>
        </is>
      </c>
      <c r="B1531" s="43" t="inlineStr">
        <is>
          <t>CMD-0107</t>
        </is>
      </c>
      <c r="C1531" s="43" t="inlineStr">
        <is>
          <t>S09</t>
        </is>
      </c>
      <c r="D1531" s="47" t="n">
        <v>46126</v>
      </c>
      <c r="E1531" s="47" t="n">
        <v>46147</v>
      </c>
      <c r="F1531" s="47" t="n">
        <v>46145</v>
      </c>
      <c r="G1531" s="46" t="n">
        <v>1178</v>
      </c>
      <c r="H1531" s="46" t="n">
        <v>1178</v>
      </c>
      <c r="I1531" s="46" t="n">
        <v>3</v>
      </c>
      <c r="J1531" s="44" t="n">
        <v>7.1585</v>
      </c>
      <c r="K1531" s="43" t="inlineStr">
        <is>
          <t>Received</t>
        </is>
      </c>
      <c r="L1531" s="17">
        <f>INDEX(Items!$C$2:$C$117,MATCH(B1531,Items!$A$2:$A$117,0))</f>
        <v/>
      </c>
      <c r="M1531" s="49">
        <f>INDEX(Items!$E$2:$E$117,MATCH(B1531,Items!$A$2:$A$117,0))</f>
        <v/>
      </c>
      <c r="N1531" s="17">
        <f>TEXT(D1531,"yyyy-mm")</f>
        <v/>
      </c>
      <c r="O1531" s="50">
        <f>G1531*J1531</f>
        <v/>
      </c>
      <c r="P1531" s="50">
        <f>(J1531-M1531)*G1531</f>
        <v/>
      </c>
      <c r="Q1531" s="51">
        <f>IF(K1531="Received",1,0)</f>
        <v/>
      </c>
      <c r="R1531" s="51">
        <f>IF(Q1531=1,F1531-D1531,0)</f>
        <v/>
      </c>
      <c r="S1531" s="51">
        <f>IF(Q1531=1,IF(F1531&lt;=E1531,1,0),0)</f>
        <v/>
      </c>
      <c r="T1531" s="51">
        <f>IF(Q1531=1,IF(H1531&gt;=G1531,1,0),0)</f>
        <v/>
      </c>
      <c r="U1531" s="51">
        <f>S1531*T1531</f>
        <v/>
      </c>
      <c r="V1531" s="51">
        <f>IF(Q1531=1,MAX(0,F1531-E1531),0)</f>
        <v/>
      </c>
    </row>
    <row r="1532">
      <c r="A1532" s="43" t="inlineStr">
        <is>
          <t>PO100538</t>
        </is>
      </c>
      <c r="B1532" s="43" t="inlineStr">
        <is>
          <t>CMD-0024</t>
        </is>
      </c>
      <c r="C1532" s="43" t="inlineStr">
        <is>
          <t>S04</t>
        </is>
      </c>
      <c r="D1532" s="47" t="n">
        <v>46127</v>
      </c>
      <c r="E1532" s="47" t="n">
        <v>46197</v>
      </c>
      <c r="F1532" s="47" t="n">
        <v>46197</v>
      </c>
      <c r="G1532" s="46" t="n">
        <v>4470</v>
      </c>
      <c r="H1532" s="46" t="n">
        <v>4470</v>
      </c>
      <c r="I1532" s="46" t="n">
        <v>40</v>
      </c>
      <c r="J1532" s="44" t="n">
        <v>3.4093</v>
      </c>
      <c r="K1532" s="43" t="inlineStr">
        <is>
          <t>Received</t>
        </is>
      </c>
      <c r="L1532" s="17">
        <f>INDEX(Items!$C$2:$C$117,MATCH(B1532,Items!$A$2:$A$117,0))</f>
        <v/>
      </c>
      <c r="M1532" s="49">
        <f>INDEX(Items!$E$2:$E$117,MATCH(B1532,Items!$A$2:$A$117,0))</f>
        <v/>
      </c>
      <c r="N1532" s="17">
        <f>TEXT(D1532,"yyyy-mm")</f>
        <v/>
      </c>
      <c r="O1532" s="50">
        <f>G1532*J1532</f>
        <v/>
      </c>
      <c r="P1532" s="50">
        <f>(J1532-M1532)*G1532</f>
        <v/>
      </c>
      <c r="Q1532" s="51">
        <f>IF(K1532="Received",1,0)</f>
        <v/>
      </c>
      <c r="R1532" s="51">
        <f>IF(Q1532=1,F1532-D1532,0)</f>
        <v/>
      </c>
      <c r="S1532" s="51">
        <f>IF(Q1532=1,IF(F1532&lt;=E1532,1,0),0)</f>
        <v/>
      </c>
      <c r="T1532" s="51">
        <f>IF(Q1532=1,IF(H1532&gt;=G1532,1,0),0)</f>
        <v/>
      </c>
      <c r="U1532" s="51">
        <f>S1532*T1532</f>
        <v/>
      </c>
      <c r="V1532" s="51">
        <f>IF(Q1532=1,MAX(0,F1532-E1532),0)</f>
        <v/>
      </c>
    </row>
    <row r="1533">
      <c r="A1533" s="43" t="inlineStr">
        <is>
          <t>PO100490</t>
        </is>
      </c>
      <c r="B1533" s="43" t="inlineStr">
        <is>
          <t>CMD-0022</t>
        </is>
      </c>
      <c r="C1533" s="43" t="inlineStr">
        <is>
          <t>S02</t>
        </is>
      </c>
      <c r="D1533" s="47" t="n">
        <v>46127</v>
      </c>
      <c r="E1533" s="47" t="n">
        <v>46183</v>
      </c>
      <c r="F1533" s="47" t="n">
        <v>46190</v>
      </c>
      <c r="G1533" s="46" t="n">
        <v>4065</v>
      </c>
      <c r="H1533" s="46" t="n">
        <v>4065</v>
      </c>
      <c r="I1533" s="46" t="n">
        <v>22</v>
      </c>
      <c r="J1533" s="44" t="n">
        <v>17.6954</v>
      </c>
      <c r="K1533" s="43" t="inlineStr">
        <is>
          <t>Received</t>
        </is>
      </c>
      <c r="L1533" s="17">
        <f>INDEX(Items!$C$2:$C$117,MATCH(B1533,Items!$A$2:$A$117,0))</f>
        <v/>
      </c>
      <c r="M1533" s="49">
        <f>INDEX(Items!$E$2:$E$117,MATCH(B1533,Items!$A$2:$A$117,0))</f>
        <v/>
      </c>
      <c r="N1533" s="17">
        <f>TEXT(D1533,"yyyy-mm")</f>
        <v/>
      </c>
      <c r="O1533" s="50">
        <f>G1533*J1533</f>
        <v/>
      </c>
      <c r="P1533" s="50">
        <f>(J1533-M1533)*G1533</f>
        <v/>
      </c>
      <c r="Q1533" s="51">
        <f>IF(K1533="Received",1,0)</f>
        <v/>
      </c>
      <c r="R1533" s="51">
        <f>IF(Q1533=1,F1533-D1533,0)</f>
        <v/>
      </c>
      <c r="S1533" s="51">
        <f>IF(Q1533=1,IF(F1533&lt;=E1533,1,0),0)</f>
        <v/>
      </c>
      <c r="T1533" s="51">
        <f>IF(Q1533=1,IF(H1533&gt;=G1533,1,0),0)</f>
        <v/>
      </c>
      <c r="U1533" s="51">
        <f>S1533*T1533</f>
        <v/>
      </c>
      <c r="V1533" s="51">
        <f>IF(Q1533=1,MAX(0,F1533-E1533),0)</f>
        <v/>
      </c>
    </row>
    <row r="1534">
      <c r="A1534" s="43" t="inlineStr">
        <is>
          <t>PO100334</t>
        </is>
      </c>
      <c r="B1534" s="43" t="inlineStr">
        <is>
          <t>CMD-0015</t>
        </is>
      </c>
      <c r="C1534" s="43" t="inlineStr">
        <is>
          <t>S03</t>
        </is>
      </c>
      <c r="D1534" s="47" t="n">
        <v>46127</v>
      </c>
      <c r="E1534" s="47" t="n">
        <v>46260</v>
      </c>
      <c r="F1534" s="47" t="n">
        <v>46259</v>
      </c>
      <c r="G1534" s="46" t="n">
        <v>4032</v>
      </c>
      <c r="H1534" s="46" t="n">
        <v>4032</v>
      </c>
      <c r="I1534" s="46" t="n">
        <v>17</v>
      </c>
      <c r="J1534" s="44" t="n">
        <v>6.6788</v>
      </c>
      <c r="K1534" s="43" t="inlineStr">
        <is>
          <t>Received</t>
        </is>
      </c>
      <c r="L1534" s="17">
        <f>INDEX(Items!$C$2:$C$117,MATCH(B1534,Items!$A$2:$A$117,0))</f>
        <v/>
      </c>
      <c r="M1534" s="49">
        <f>INDEX(Items!$E$2:$E$117,MATCH(B1534,Items!$A$2:$A$117,0))</f>
        <v/>
      </c>
      <c r="N1534" s="17">
        <f>TEXT(D1534,"yyyy-mm")</f>
        <v/>
      </c>
      <c r="O1534" s="50">
        <f>G1534*J1534</f>
        <v/>
      </c>
      <c r="P1534" s="50">
        <f>(J1534-M1534)*G1534</f>
        <v/>
      </c>
      <c r="Q1534" s="51">
        <f>IF(K1534="Received",1,0)</f>
        <v/>
      </c>
      <c r="R1534" s="51">
        <f>IF(Q1534=1,F1534-D1534,0)</f>
        <v/>
      </c>
      <c r="S1534" s="51">
        <f>IF(Q1534=1,IF(F1534&lt;=E1534,1,0),0)</f>
        <v/>
      </c>
      <c r="T1534" s="51">
        <f>IF(Q1534=1,IF(H1534&gt;=G1534,1,0),0)</f>
        <v/>
      </c>
      <c r="U1534" s="51">
        <f>S1534*T1534</f>
        <v/>
      </c>
      <c r="V1534" s="51">
        <f>IF(Q1534=1,MAX(0,F1534-E1534),0)</f>
        <v/>
      </c>
    </row>
    <row r="1535">
      <c r="A1535" s="43" t="inlineStr">
        <is>
          <t>PO101636</t>
        </is>
      </c>
      <c r="B1535" s="43" t="inlineStr">
        <is>
          <t>CMD-0090</t>
        </is>
      </c>
      <c r="C1535" s="43" t="inlineStr">
        <is>
          <t>S01</t>
        </is>
      </c>
      <c r="D1535" s="47" t="n">
        <v>46127</v>
      </c>
      <c r="E1535" s="47" t="n">
        <v>46141</v>
      </c>
      <c r="F1535" s="47" t="n">
        <v>46138</v>
      </c>
      <c r="G1535" s="46" t="n">
        <v>4951</v>
      </c>
      <c r="H1535" s="46" t="n">
        <v>4951</v>
      </c>
      <c r="I1535" s="46" t="n">
        <v>10</v>
      </c>
      <c r="J1535" s="44" t="n">
        <v>7.1997</v>
      </c>
      <c r="K1535" s="43" t="inlineStr">
        <is>
          <t>Received</t>
        </is>
      </c>
      <c r="L1535" s="17">
        <f>INDEX(Items!$C$2:$C$117,MATCH(B1535,Items!$A$2:$A$117,0))</f>
        <v/>
      </c>
      <c r="M1535" s="49">
        <f>INDEX(Items!$E$2:$E$117,MATCH(B1535,Items!$A$2:$A$117,0))</f>
        <v/>
      </c>
      <c r="N1535" s="17">
        <f>TEXT(D1535,"yyyy-mm")</f>
        <v/>
      </c>
      <c r="O1535" s="50">
        <f>G1535*J1535</f>
        <v/>
      </c>
      <c r="P1535" s="50">
        <f>(J1535-M1535)*G1535</f>
        <v/>
      </c>
      <c r="Q1535" s="51">
        <f>IF(K1535="Received",1,0)</f>
        <v/>
      </c>
      <c r="R1535" s="51">
        <f>IF(Q1535=1,F1535-D1535,0)</f>
        <v/>
      </c>
      <c r="S1535" s="51">
        <f>IF(Q1535=1,IF(F1535&lt;=E1535,1,0),0)</f>
        <v/>
      </c>
      <c r="T1535" s="51">
        <f>IF(Q1535=1,IF(H1535&gt;=G1535,1,0),0)</f>
        <v/>
      </c>
      <c r="U1535" s="51">
        <f>S1535*T1535</f>
        <v/>
      </c>
      <c r="V1535" s="51">
        <f>IF(Q1535=1,MAX(0,F1535-E1535),0)</f>
        <v/>
      </c>
    </row>
    <row r="1536">
      <c r="A1536" s="43" t="inlineStr">
        <is>
          <t>PO100066</t>
        </is>
      </c>
      <c r="B1536" s="43" t="inlineStr">
        <is>
          <t>CMD-0003</t>
        </is>
      </c>
      <c r="C1536" s="43" t="inlineStr">
        <is>
          <t>S11</t>
        </is>
      </c>
      <c r="D1536" s="47" t="n">
        <v>46127</v>
      </c>
      <c r="E1536" s="47" t="n">
        <v>46246</v>
      </c>
      <c r="F1536" s="47" t="n">
        <v>46244</v>
      </c>
      <c r="G1536" s="46" t="n">
        <v>7219</v>
      </c>
      <c r="H1536" s="46" t="n">
        <v>7219</v>
      </c>
      <c r="I1536" s="46" t="n">
        <v>8</v>
      </c>
      <c r="J1536" s="44" t="n">
        <v>25.3582</v>
      </c>
      <c r="K1536" s="43" t="inlineStr">
        <is>
          <t>Received</t>
        </is>
      </c>
      <c r="L1536" s="17">
        <f>INDEX(Items!$C$2:$C$117,MATCH(B1536,Items!$A$2:$A$117,0))</f>
        <v/>
      </c>
      <c r="M1536" s="49">
        <f>INDEX(Items!$E$2:$E$117,MATCH(B1536,Items!$A$2:$A$117,0))</f>
        <v/>
      </c>
      <c r="N1536" s="17">
        <f>TEXT(D1536,"yyyy-mm")</f>
        <v/>
      </c>
      <c r="O1536" s="50">
        <f>G1536*J1536</f>
        <v/>
      </c>
      <c r="P1536" s="50">
        <f>(J1536-M1536)*G1536</f>
        <v/>
      </c>
      <c r="Q1536" s="51">
        <f>IF(K1536="Received",1,0)</f>
        <v/>
      </c>
      <c r="R1536" s="51">
        <f>IF(Q1536=1,F1536-D1536,0)</f>
        <v/>
      </c>
      <c r="S1536" s="51">
        <f>IF(Q1536=1,IF(F1536&lt;=E1536,1,0),0)</f>
        <v/>
      </c>
      <c r="T1536" s="51">
        <f>IF(Q1536=1,IF(H1536&gt;=G1536,1,0),0)</f>
        <v/>
      </c>
      <c r="U1536" s="51">
        <f>S1536*T1536</f>
        <v/>
      </c>
      <c r="V1536" s="51">
        <f>IF(Q1536=1,MAX(0,F1536-E1536),0)</f>
        <v/>
      </c>
    </row>
    <row r="1537">
      <c r="A1537" s="43" t="inlineStr">
        <is>
          <t>PO101660</t>
        </is>
      </c>
      <c r="B1537" s="43" t="inlineStr">
        <is>
          <t>CMD-0091</t>
        </is>
      </c>
      <c r="C1537" s="43" t="inlineStr">
        <is>
          <t>S08</t>
        </is>
      </c>
      <c r="D1537" s="47" t="n">
        <v>46127</v>
      </c>
      <c r="E1537" s="47" t="n">
        <v>46204</v>
      </c>
      <c r="F1537" s="47" t="n">
        <v>46204</v>
      </c>
      <c r="G1537" s="46" t="n">
        <v>1018</v>
      </c>
      <c r="H1537" s="46" t="n">
        <v>1018</v>
      </c>
      <c r="I1537" s="46" t="n">
        <v>9</v>
      </c>
      <c r="J1537" s="44" t="n">
        <v>24.514</v>
      </c>
      <c r="K1537" s="43" t="inlineStr">
        <is>
          <t>Received</t>
        </is>
      </c>
      <c r="L1537" s="17">
        <f>INDEX(Items!$C$2:$C$117,MATCH(B1537,Items!$A$2:$A$117,0))</f>
        <v/>
      </c>
      <c r="M1537" s="49">
        <f>INDEX(Items!$E$2:$E$117,MATCH(B1537,Items!$A$2:$A$117,0))</f>
        <v/>
      </c>
      <c r="N1537" s="17">
        <f>TEXT(D1537,"yyyy-mm")</f>
        <v/>
      </c>
      <c r="O1537" s="50">
        <f>G1537*J1537</f>
        <v/>
      </c>
      <c r="P1537" s="50">
        <f>(J1537-M1537)*G1537</f>
        <v/>
      </c>
      <c r="Q1537" s="51">
        <f>IF(K1537="Received",1,0)</f>
        <v/>
      </c>
      <c r="R1537" s="51">
        <f>IF(Q1537=1,F1537-D1537,0)</f>
        <v/>
      </c>
      <c r="S1537" s="51">
        <f>IF(Q1537=1,IF(F1537&lt;=E1537,1,0),0)</f>
        <v/>
      </c>
      <c r="T1537" s="51">
        <f>IF(Q1537=1,IF(H1537&gt;=G1537,1,0),0)</f>
        <v/>
      </c>
      <c r="U1537" s="51">
        <f>S1537*T1537</f>
        <v/>
      </c>
      <c r="V1537" s="51">
        <f>IF(Q1537=1,MAX(0,F1537-E1537),0)</f>
        <v/>
      </c>
    </row>
    <row r="1538">
      <c r="A1538" s="43" t="inlineStr">
        <is>
          <t>PO101200</t>
        </is>
      </c>
      <c r="B1538" s="43" t="inlineStr">
        <is>
          <t>CMD-0055</t>
        </is>
      </c>
      <c r="C1538" s="43" t="inlineStr">
        <is>
          <t>S04</t>
        </is>
      </c>
      <c r="D1538" s="47" t="n">
        <v>46127</v>
      </c>
      <c r="E1538" s="47" t="n">
        <v>46162</v>
      </c>
      <c r="F1538" s="47" t="n">
        <v>46161</v>
      </c>
      <c r="G1538" s="46" t="n">
        <v>112467</v>
      </c>
      <c r="H1538" s="46" t="n">
        <v>112467</v>
      </c>
      <c r="I1538" s="46" t="n">
        <v>1144</v>
      </c>
      <c r="J1538" s="44" t="n">
        <v>0.09660000000000001</v>
      </c>
      <c r="K1538" s="43" t="inlineStr">
        <is>
          <t>Received</t>
        </is>
      </c>
      <c r="L1538" s="17">
        <f>INDEX(Items!$C$2:$C$117,MATCH(B1538,Items!$A$2:$A$117,0))</f>
        <v/>
      </c>
      <c r="M1538" s="49">
        <f>INDEX(Items!$E$2:$E$117,MATCH(B1538,Items!$A$2:$A$117,0))</f>
        <v/>
      </c>
      <c r="N1538" s="17">
        <f>TEXT(D1538,"yyyy-mm")</f>
        <v/>
      </c>
      <c r="O1538" s="50">
        <f>G1538*J1538</f>
        <v/>
      </c>
      <c r="P1538" s="50">
        <f>(J1538-M1538)*G1538</f>
        <v/>
      </c>
      <c r="Q1538" s="51">
        <f>IF(K1538="Received",1,0)</f>
        <v/>
      </c>
      <c r="R1538" s="51">
        <f>IF(Q1538=1,F1538-D1538,0)</f>
        <v/>
      </c>
      <c r="S1538" s="51">
        <f>IF(Q1538=1,IF(F1538&lt;=E1538,1,0),0)</f>
        <v/>
      </c>
      <c r="T1538" s="51">
        <f>IF(Q1538=1,IF(H1538&gt;=G1538,1,0),0)</f>
        <v/>
      </c>
      <c r="U1538" s="51">
        <f>S1538*T1538</f>
        <v/>
      </c>
      <c r="V1538" s="51">
        <f>IF(Q1538=1,MAX(0,F1538-E1538),0)</f>
        <v/>
      </c>
    </row>
    <row r="1539">
      <c r="A1539" s="43" t="inlineStr">
        <is>
          <t>PO100514</t>
        </is>
      </c>
      <c r="B1539" s="43" t="inlineStr">
        <is>
          <t>CMD-0023</t>
        </is>
      </c>
      <c r="C1539" s="43" t="inlineStr">
        <is>
          <t>S04</t>
        </is>
      </c>
      <c r="D1539" s="47" t="n">
        <v>46127</v>
      </c>
      <c r="E1539" s="47" t="n">
        <v>46197</v>
      </c>
      <c r="F1539" s="47" t="n">
        <v>46195</v>
      </c>
      <c r="G1539" s="46" t="n">
        <v>4680</v>
      </c>
      <c r="H1539" s="46" t="n">
        <v>4680</v>
      </c>
      <c r="I1539" s="46" t="n">
        <v>46</v>
      </c>
      <c r="J1539" s="44" t="n">
        <v>9.064</v>
      </c>
      <c r="K1539" s="43" t="inlineStr">
        <is>
          <t>Received</t>
        </is>
      </c>
      <c r="L1539" s="17">
        <f>INDEX(Items!$C$2:$C$117,MATCH(B1539,Items!$A$2:$A$117,0))</f>
        <v/>
      </c>
      <c r="M1539" s="49">
        <f>INDEX(Items!$E$2:$E$117,MATCH(B1539,Items!$A$2:$A$117,0))</f>
        <v/>
      </c>
      <c r="N1539" s="17">
        <f>TEXT(D1539,"yyyy-mm")</f>
        <v/>
      </c>
      <c r="O1539" s="50">
        <f>G1539*J1539</f>
        <v/>
      </c>
      <c r="P1539" s="50">
        <f>(J1539-M1539)*G1539</f>
        <v/>
      </c>
      <c r="Q1539" s="51">
        <f>IF(K1539="Received",1,0)</f>
        <v/>
      </c>
      <c r="R1539" s="51">
        <f>IF(Q1539=1,F1539-D1539,0)</f>
        <v/>
      </c>
      <c r="S1539" s="51">
        <f>IF(Q1539=1,IF(F1539&lt;=E1539,1,0),0)</f>
        <v/>
      </c>
      <c r="T1539" s="51">
        <f>IF(Q1539=1,IF(H1539&gt;=G1539,1,0),0)</f>
        <v/>
      </c>
      <c r="U1539" s="51">
        <f>S1539*T1539</f>
        <v/>
      </c>
      <c r="V1539" s="51">
        <f>IF(Q1539=1,MAX(0,F1539-E1539),0)</f>
        <v/>
      </c>
    </row>
    <row r="1540">
      <c r="A1540" s="43" t="inlineStr">
        <is>
          <t>PO100788</t>
        </is>
      </c>
      <c r="B1540" s="43" t="inlineStr">
        <is>
          <t>CMD-0035</t>
        </is>
      </c>
      <c r="C1540" s="43" t="inlineStr">
        <is>
          <t>S01</t>
        </is>
      </c>
      <c r="D1540" s="47" t="n">
        <v>46127</v>
      </c>
      <c r="E1540" s="47" t="n">
        <v>46155</v>
      </c>
      <c r="F1540" s="47" t="n">
        <v>46154</v>
      </c>
      <c r="G1540" s="46" t="n">
        <v>669</v>
      </c>
      <c r="H1540" s="46" t="n">
        <v>669</v>
      </c>
      <c r="I1540" s="46" t="n">
        <v>1</v>
      </c>
      <c r="J1540" s="44" t="n">
        <v>9.6511</v>
      </c>
      <c r="K1540" s="43" t="inlineStr">
        <is>
          <t>Received</t>
        </is>
      </c>
      <c r="L1540" s="17">
        <f>INDEX(Items!$C$2:$C$117,MATCH(B1540,Items!$A$2:$A$117,0))</f>
        <v/>
      </c>
      <c r="M1540" s="49">
        <f>INDEX(Items!$E$2:$E$117,MATCH(B1540,Items!$A$2:$A$117,0))</f>
        <v/>
      </c>
      <c r="N1540" s="17">
        <f>TEXT(D1540,"yyyy-mm")</f>
        <v/>
      </c>
      <c r="O1540" s="50">
        <f>G1540*J1540</f>
        <v/>
      </c>
      <c r="P1540" s="50">
        <f>(J1540-M1540)*G1540</f>
        <v/>
      </c>
      <c r="Q1540" s="51">
        <f>IF(K1540="Received",1,0)</f>
        <v/>
      </c>
      <c r="R1540" s="51">
        <f>IF(Q1540=1,F1540-D1540,0)</f>
        <v/>
      </c>
      <c r="S1540" s="51">
        <f>IF(Q1540=1,IF(F1540&lt;=E1540,1,0),0)</f>
        <v/>
      </c>
      <c r="T1540" s="51">
        <f>IF(Q1540=1,IF(H1540&gt;=G1540,1,0),0)</f>
        <v/>
      </c>
      <c r="U1540" s="51">
        <f>S1540*T1540</f>
        <v/>
      </c>
      <c r="V1540" s="51">
        <f>IF(Q1540=1,MAX(0,F1540-E1540),0)</f>
        <v/>
      </c>
    </row>
    <row r="1541">
      <c r="A1541" s="43" t="inlineStr">
        <is>
          <t>PO100114</t>
        </is>
      </c>
      <c r="B1541" s="43" t="inlineStr">
        <is>
          <t>CMD-0005</t>
        </is>
      </c>
      <c r="C1541" s="43" t="inlineStr">
        <is>
          <t>S07</t>
        </is>
      </c>
      <c r="D1541" s="47" t="n">
        <v>46127</v>
      </c>
      <c r="E1541" s="47" t="n">
        <v>46218</v>
      </c>
      <c r="F1541" s="47" t="n">
        <v>46217</v>
      </c>
      <c r="G1541" s="46" t="n">
        <v>4564</v>
      </c>
      <c r="H1541" s="46" t="n">
        <v>4564</v>
      </c>
      <c r="I1541" s="46" t="n">
        <v>36</v>
      </c>
      <c r="J1541" s="44" t="n">
        <v>6.6434</v>
      </c>
      <c r="K1541" s="43" t="inlineStr">
        <is>
          <t>Received</t>
        </is>
      </c>
      <c r="L1541" s="17">
        <f>INDEX(Items!$C$2:$C$117,MATCH(B1541,Items!$A$2:$A$117,0))</f>
        <v/>
      </c>
      <c r="M1541" s="49">
        <f>INDEX(Items!$E$2:$E$117,MATCH(B1541,Items!$A$2:$A$117,0))</f>
        <v/>
      </c>
      <c r="N1541" s="17">
        <f>TEXT(D1541,"yyyy-mm")</f>
        <v/>
      </c>
      <c r="O1541" s="50">
        <f>G1541*J1541</f>
        <v/>
      </c>
      <c r="P1541" s="50">
        <f>(J1541-M1541)*G1541</f>
        <v/>
      </c>
      <c r="Q1541" s="51">
        <f>IF(K1541="Received",1,0)</f>
        <v/>
      </c>
      <c r="R1541" s="51">
        <f>IF(Q1541=1,F1541-D1541,0)</f>
        <v/>
      </c>
      <c r="S1541" s="51">
        <f>IF(Q1541=1,IF(F1541&lt;=E1541,1,0),0)</f>
        <v/>
      </c>
      <c r="T1541" s="51">
        <f>IF(Q1541=1,IF(H1541&gt;=G1541,1,0),0)</f>
        <v/>
      </c>
      <c r="U1541" s="51">
        <f>S1541*T1541</f>
        <v/>
      </c>
      <c r="V1541" s="51">
        <f>IF(Q1541=1,MAX(0,F1541-E1541),0)</f>
        <v/>
      </c>
    </row>
    <row r="1542">
      <c r="A1542" s="43" t="inlineStr">
        <is>
          <t>PO100682</t>
        </is>
      </c>
      <c r="B1542" s="43" t="inlineStr">
        <is>
          <t>CMD-0030</t>
        </is>
      </c>
      <c r="C1542" s="43" t="inlineStr">
        <is>
          <t>S11</t>
        </is>
      </c>
      <c r="D1542" s="47" t="n">
        <v>46127</v>
      </c>
      <c r="E1542" s="47" t="n">
        <v>46204</v>
      </c>
      <c r="F1542" s="47" t="n">
        <v>46201</v>
      </c>
      <c r="G1542" s="46" t="n">
        <v>7057</v>
      </c>
      <c r="H1542" s="46" t="n">
        <v>7057</v>
      </c>
      <c r="I1542" s="46" t="n">
        <v>12</v>
      </c>
      <c r="J1542" s="44" t="n">
        <v>23.8857</v>
      </c>
      <c r="K1542" s="43" t="inlineStr">
        <is>
          <t>Received</t>
        </is>
      </c>
      <c r="L1542" s="17">
        <f>INDEX(Items!$C$2:$C$117,MATCH(B1542,Items!$A$2:$A$117,0))</f>
        <v/>
      </c>
      <c r="M1542" s="49">
        <f>INDEX(Items!$E$2:$E$117,MATCH(B1542,Items!$A$2:$A$117,0))</f>
        <v/>
      </c>
      <c r="N1542" s="17">
        <f>TEXT(D1542,"yyyy-mm")</f>
        <v/>
      </c>
      <c r="O1542" s="50">
        <f>G1542*J1542</f>
        <v/>
      </c>
      <c r="P1542" s="50">
        <f>(J1542-M1542)*G1542</f>
        <v/>
      </c>
      <c r="Q1542" s="51">
        <f>IF(K1542="Received",1,0)</f>
        <v/>
      </c>
      <c r="R1542" s="51">
        <f>IF(Q1542=1,F1542-D1542,0)</f>
        <v/>
      </c>
      <c r="S1542" s="51">
        <f>IF(Q1542=1,IF(F1542&lt;=E1542,1,0),0)</f>
        <v/>
      </c>
      <c r="T1542" s="51">
        <f>IF(Q1542=1,IF(H1542&gt;=G1542,1,0),0)</f>
        <v/>
      </c>
      <c r="U1542" s="51">
        <f>S1542*T1542</f>
        <v/>
      </c>
      <c r="V1542" s="51">
        <f>IF(Q1542=1,MAX(0,F1542-E1542),0)</f>
        <v/>
      </c>
    </row>
    <row r="1543">
      <c r="A1543" s="43" t="inlineStr">
        <is>
          <t>PO100042</t>
        </is>
      </c>
      <c r="B1543" s="43" t="inlineStr">
        <is>
          <t>CMD-0002</t>
        </is>
      </c>
      <c r="C1543" s="43" t="inlineStr">
        <is>
          <t>S11</t>
        </is>
      </c>
      <c r="D1543" s="47" t="n">
        <v>46128</v>
      </c>
      <c r="E1543" s="47" t="n">
        <v>46247</v>
      </c>
      <c r="F1543" s="47" t="n">
        <v>46245</v>
      </c>
      <c r="G1543" s="46" t="n">
        <v>7529</v>
      </c>
      <c r="H1543" s="46" t="n">
        <v>7529</v>
      </c>
      <c r="I1543" s="46" t="n">
        <v>14</v>
      </c>
      <c r="J1543" s="44" t="n">
        <v>8.083</v>
      </c>
      <c r="K1543" s="43" t="inlineStr">
        <is>
          <t>Received</t>
        </is>
      </c>
      <c r="L1543" s="17">
        <f>INDEX(Items!$C$2:$C$117,MATCH(B1543,Items!$A$2:$A$117,0))</f>
        <v/>
      </c>
      <c r="M1543" s="49">
        <f>INDEX(Items!$E$2:$E$117,MATCH(B1543,Items!$A$2:$A$117,0))</f>
        <v/>
      </c>
      <c r="N1543" s="17">
        <f>TEXT(D1543,"yyyy-mm")</f>
        <v/>
      </c>
      <c r="O1543" s="50">
        <f>G1543*J1543</f>
        <v/>
      </c>
      <c r="P1543" s="50">
        <f>(J1543-M1543)*G1543</f>
        <v/>
      </c>
      <c r="Q1543" s="51">
        <f>IF(K1543="Received",1,0)</f>
        <v/>
      </c>
      <c r="R1543" s="51">
        <f>IF(Q1543=1,F1543-D1543,0)</f>
        <v/>
      </c>
      <c r="S1543" s="51">
        <f>IF(Q1543=1,IF(F1543&lt;=E1543,1,0),0)</f>
        <v/>
      </c>
      <c r="T1543" s="51">
        <f>IF(Q1543=1,IF(H1543&gt;=G1543,1,0),0)</f>
        <v/>
      </c>
      <c r="U1543" s="51">
        <f>S1543*T1543</f>
        <v/>
      </c>
      <c r="V1543" s="51">
        <f>IF(Q1543=1,MAX(0,F1543-E1543),0)</f>
        <v/>
      </c>
    </row>
    <row r="1544">
      <c r="A1544" s="43" t="inlineStr">
        <is>
          <t>PO100610</t>
        </is>
      </c>
      <c r="B1544" s="43" t="inlineStr">
        <is>
          <t>CMD-0027</t>
        </is>
      </c>
      <c r="C1544" s="43" t="inlineStr">
        <is>
          <t>S04</t>
        </is>
      </c>
      <c r="D1544" s="47" t="n">
        <v>46128</v>
      </c>
      <c r="E1544" s="47" t="n">
        <v>46198</v>
      </c>
      <c r="F1544" s="47" t="n">
        <v>46198</v>
      </c>
      <c r="G1544" s="46" t="n">
        <v>7043</v>
      </c>
      <c r="H1544" s="46" t="n">
        <v>7043</v>
      </c>
      <c r="I1544" s="46" t="n">
        <v>85</v>
      </c>
      <c r="J1544" s="44" t="n">
        <v>9.115500000000001</v>
      </c>
      <c r="K1544" s="43" t="inlineStr">
        <is>
          <t>Received</t>
        </is>
      </c>
      <c r="L1544" s="17">
        <f>INDEX(Items!$C$2:$C$117,MATCH(B1544,Items!$A$2:$A$117,0))</f>
        <v/>
      </c>
      <c r="M1544" s="49">
        <f>INDEX(Items!$E$2:$E$117,MATCH(B1544,Items!$A$2:$A$117,0))</f>
        <v/>
      </c>
      <c r="N1544" s="17">
        <f>TEXT(D1544,"yyyy-mm")</f>
        <v/>
      </c>
      <c r="O1544" s="50">
        <f>G1544*J1544</f>
        <v/>
      </c>
      <c r="P1544" s="50">
        <f>(J1544-M1544)*G1544</f>
        <v/>
      </c>
      <c r="Q1544" s="51">
        <f>IF(K1544="Received",1,0)</f>
        <v/>
      </c>
      <c r="R1544" s="51">
        <f>IF(Q1544=1,F1544-D1544,0)</f>
        <v/>
      </c>
      <c r="S1544" s="51">
        <f>IF(Q1544=1,IF(F1544&lt;=E1544,1,0),0)</f>
        <v/>
      </c>
      <c r="T1544" s="51">
        <f>IF(Q1544=1,IF(H1544&gt;=G1544,1,0),0)</f>
        <v/>
      </c>
      <c r="U1544" s="51">
        <f>S1544*T1544</f>
        <v/>
      </c>
      <c r="V1544" s="51">
        <f>IF(Q1544=1,MAX(0,F1544-E1544),0)</f>
        <v/>
      </c>
    </row>
    <row r="1545">
      <c r="A1545" s="43" t="inlineStr">
        <is>
          <t>PO100382</t>
        </is>
      </c>
      <c r="B1545" s="43" t="inlineStr">
        <is>
          <t>CMD-0017</t>
        </is>
      </c>
      <c r="C1545" s="43" t="inlineStr">
        <is>
          <t>S11</t>
        </is>
      </c>
      <c r="D1545" s="47" t="n">
        <v>46128</v>
      </c>
      <c r="E1545" s="47" t="n">
        <v>46205</v>
      </c>
      <c r="F1545" s="47" t="n">
        <v>46204</v>
      </c>
      <c r="G1545" s="46" t="n">
        <v>6938</v>
      </c>
      <c r="H1545" s="46" t="n">
        <v>6938</v>
      </c>
      <c r="I1545" s="46" t="n">
        <v>10</v>
      </c>
      <c r="J1545" s="44" t="n">
        <v>13.0707</v>
      </c>
      <c r="K1545" s="43" t="inlineStr">
        <is>
          <t>Received</t>
        </is>
      </c>
      <c r="L1545" s="17">
        <f>INDEX(Items!$C$2:$C$117,MATCH(B1545,Items!$A$2:$A$117,0))</f>
        <v/>
      </c>
      <c r="M1545" s="49">
        <f>INDEX(Items!$E$2:$E$117,MATCH(B1545,Items!$A$2:$A$117,0))</f>
        <v/>
      </c>
      <c r="N1545" s="17">
        <f>TEXT(D1545,"yyyy-mm")</f>
        <v/>
      </c>
      <c r="O1545" s="50">
        <f>G1545*J1545</f>
        <v/>
      </c>
      <c r="P1545" s="50">
        <f>(J1545-M1545)*G1545</f>
        <v/>
      </c>
      <c r="Q1545" s="51">
        <f>IF(K1545="Received",1,0)</f>
        <v/>
      </c>
      <c r="R1545" s="51">
        <f>IF(Q1545=1,F1545-D1545,0)</f>
        <v/>
      </c>
      <c r="S1545" s="51">
        <f>IF(Q1545=1,IF(F1545&lt;=E1545,1,0),0)</f>
        <v/>
      </c>
      <c r="T1545" s="51">
        <f>IF(Q1545=1,IF(H1545&gt;=G1545,1,0),0)</f>
        <v/>
      </c>
      <c r="U1545" s="51">
        <f>S1545*T1545</f>
        <v/>
      </c>
      <c r="V1545" s="51">
        <f>IF(Q1545=1,MAX(0,F1545-E1545),0)</f>
        <v/>
      </c>
    </row>
    <row r="1546">
      <c r="A1546" s="43" t="inlineStr">
        <is>
          <t>PO100907</t>
        </is>
      </c>
      <c r="B1546" s="43" t="inlineStr">
        <is>
          <t>CMD-0041</t>
        </is>
      </c>
      <c r="C1546" s="43" t="inlineStr">
        <is>
          <t>S05</t>
        </is>
      </c>
      <c r="D1546" s="47" t="n">
        <v>46128</v>
      </c>
      <c r="E1546" s="47" t="n">
        <v>46233</v>
      </c>
      <c r="F1546" s="47" t="n">
        <v>46230</v>
      </c>
      <c r="G1546" s="46" t="n">
        <v>1100</v>
      </c>
      <c r="H1546" s="46" t="n">
        <v>1100</v>
      </c>
      <c r="I1546" s="46" t="n">
        <v>23</v>
      </c>
      <c r="J1546" s="44" t="n">
        <v>5.7989</v>
      </c>
      <c r="K1546" s="43" t="inlineStr">
        <is>
          <t>Received</t>
        </is>
      </c>
      <c r="L1546" s="17">
        <f>INDEX(Items!$C$2:$C$117,MATCH(B1546,Items!$A$2:$A$117,0))</f>
        <v/>
      </c>
      <c r="M1546" s="49">
        <f>INDEX(Items!$E$2:$E$117,MATCH(B1546,Items!$A$2:$A$117,0))</f>
        <v/>
      </c>
      <c r="N1546" s="17">
        <f>TEXT(D1546,"yyyy-mm")</f>
        <v/>
      </c>
      <c r="O1546" s="50">
        <f>G1546*J1546</f>
        <v/>
      </c>
      <c r="P1546" s="50">
        <f>(J1546-M1546)*G1546</f>
        <v/>
      </c>
      <c r="Q1546" s="51">
        <f>IF(K1546="Received",1,0)</f>
        <v/>
      </c>
      <c r="R1546" s="51">
        <f>IF(Q1546=1,F1546-D1546,0)</f>
        <v/>
      </c>
      <c r="S1546" s="51">
        <f>IF(Q1546=1,IF(F1546&lt;=E1546,1,0),0)</f>
        <v/>
      </c>
      <c r="T1546" s="51">
        <f>IF(Q1546=1,IF(H1546&gt;=G1546,1,0),0)</f>
        <v/>
      </c>
      <c r="U1546" s="51">
        <f>S1546*T1546</f>
        <v/>
      </c>
      <c r="V1546" s="51">
        <f>IF(Q1546=1,MAX(0,F1546-E1546),0)</f>
        <v/>
      </c>
    </row>
    <row r="1547">
      <c r="A1547" s="43" t="inlineStr">
        <is>
          <t>PO101294</t>
        </is>
      </c>
      <c r="B1547" s="43" t="inlineStr">
        <is>
          <t>CMD-0062</t>
        </is>
      </c>
      <c r="C1547" s="43" t="inlineStr">
        <is>
          <t>S01</t>
        </is>
      </c>
      <c r="D1547" s="47" t="n">
        <v>46128</v>
      </c>
      <c r="E1547" s="47" t="n">
        <v>46149</v>
      </c>
      <c r="F1547" s="47" t="n">
        <v>46149</v>
      </c>
      <c r="G1547" s="46" t="n">
        <v>73435</v>
      </c>
      <c r="H1547" s="46" t="n">
        <v>73435</v>
      </c>
      <c r="I1547" s="46" t="n">
        <v>125</v>
      </c>
      <c r="J1547" s="44" t="n">
        <v>0.1173</v>
      </c>
      <c r="K1547" s="43" t="inlineStr">
        <is>
          <t>Received</t>
        </is>
      </c>
      <c r="L1547" s="17">
        <f>INDEX(Items!$C$2:$C$117,MATCH(B1547,Items!$A$2:$A$117,0))</f>
        <v/>
      </c>
      <c r="M1547" s="49">
        <f>INDEX(Items!$E$2:$E$117,MATCH(B1547,Items!$A$2:$A$117,0))</f>
        <v/>
      </c>
      <c r="N1547" s="17">
        <f>TEXT(D1547,"yyyy-mm")</f>
        <v/>
      </c>
      <c r="O1547" s="50">
        <f>G1547*J1547</f>
        <v/>
      </c>
      <c r="P1547" s="50">
        <f>(J1547-M1547)*G1547</f>
        <v/>
      </c>
      <c r="Q1547" s="51">
        <f>IF(K1547="Received",1,0)</f>
        <v/>
      </c>
      <c r="R1547" s="51">
        <f>IF(Q1547=1,F1547-D1547,0)</f>
        <v/>
      </c>
      <c r="S1547" s="51">
        <f>IF(Q1547=1,IF(F1547&lt;=E1547,1,0),0)</f>
        <v/>
      </c>
      <c r="T1547" s="51">
        <f>IF(Q1547=1,IF(H1547&gt;=G1547,1,0),0)</f>
        <v/>
      </c>
      <c r="U1547" s="51">
        <f>S1547*T1547</f>
        <v/>
      </c>
      <c r="V1547" s="51">
        <f>IF(Q1547=1,MAX(0,F1547-E1547),0)</f>
        <v/>
      </c>
    </row>
    <row r="1548">
      <c r="A1548" s="43" t="inlineStr">
        <is>
          <t>PO100928</t>
        </is>
      </c>
      <c r="B1548" s="43" t="inlineStr">
        <is>
          <t>CMD-0042</t>
        </is>
      </c>
      <c r="C1548" s="43" t="inlineStr">
        <is>
          <t>S05</t>
        </is>
      </c>
      <c r="D1548" s="47" t="n">
        <v>46128</v>
      </c>
      <c r="E1548" s="47" t="n">
        <v>46233</v>
      </c>
      <c r="F1548" s="47" t="n">
        <v>46280</v>
      </c>
      <c r="G1548" s="46" t="n">
        <v>800</v>
      </c>
      <c r="H1548" s="46" t="n">
        <v>800</v>
      </c>
      <c r="I1548" s="46" t="n">
        <v>15</v>
      </c>
      <c r="J1548" s="44" t="n">
        <v>9.177300000000001</v>
      </c>
      <c r="K1548" s="43" t="inlineStr">
        <is>
          <t>Received</t>
        </is>
      </c>
      <c r="L1548" s="17">
        <f>INDEX(Items!$C$2:$C$117,MATCH(B1548,Items!$A$2:$A$117,0))</f>
        <v/>
      </c>
      <c r="M1548" s="49">
        <f>INDEX(Items!$E$2:$E$117,MATCH(B1548,Items!$A$2:$A$117,0))</f>
        <v/>
      </c>
      <c r="N1548" s="17">
        <f>TEXT(D1548,"yyyy-mm")</f>
        <v/>
      </c>
      <c r="O1548" s="50">
        <f>G1548*J1548</f>
        <v/>
      </c>
      <c r="P1548" s="50">
        <f>(J1548-M1548)*G1548</f>
        <v/>
      </c>
      <c r="Q1548" s="51">
        <f>IF(K1548="Received",1,0)</f>
        <v/>
      </c>
      <c r="R1548" s="51">
        <f>IF(Q1548=1,F1548-D1548,0)</f>
        <v/>
      </c>
      <c r="S1548" s="51">
        <f>IF(Q1548=1,IF(F1548&lt;=E1548,1,0),0)</f>
        <v/>
      </c>
      <c r="T1548" s="51">
        <f>IF(Q1548=1,IF(H1548&gt;=G1548,1,0),0)</f>
        <v/>
      </c>
      <c r="U1548" s="51">
        <f>S1548*T1548</f>
        <v/>
      </c>
      <c r="V1548" s="51">
        <f>IF(Q1548=1,MAX(0,F1548-E1548),0)</f>
        <v/>
      </c>
    </row>
    <row r="1549">
      <c r="A1549" s="43" t="inlineStr">
        <is>
          <t>PO101780</t>
        </is>
      </c>
      <c r="B1549" s="43" t="inlineStr">
        <is>
          <t>CMD-0096</t>
        </is>
      </c>
      <c r="C1549" s="43" t="inlineStr">
        <is>
          <t>S09</t>
        </is>
      </c>
      <c r="D1549" s="47" t="n">
        <v>46128</v>
      </c>
      <c r="E1549" s="47" t="n">
        <v>46149</v>
      </c>
      <c r="F1549" s="47" t="n">
        <v>46148</v>
      </c>
      <c r="G1549" s="46" t="n">
        <v>871</v>
      </c>
      <c r="H1549" s="46" t="n">
        <v>871</v>
      </c>
      <c r="I1549" s="46" t="n">
        <v>2</v>
      </c>
      <c r="J1549" s="44" t="n">
        <v>6.6126</v>
      </c>
      <c r="K1549" s="43" t="inlineStr">
        <is>
          <t>Received</t>
        </is>
      </c>
      <c r="L1549" s="17">
        <f>INDEX(Items!$C$2:$C$117,MATCH(B1549,Items!$A$2:$A$117,0))</f>
        <v/>
      </c>
      <c r="M1549" s="49">
        <f>INDEX(Items!$E$2:$E$117,MATCH(B1549,Items!$A$2:$A$117,0))</f>
        <v/>
      </c>
      <c r="N1549" s="17">
        <f>TEXT(D1549,"yyyy-mm")</f>
        <v/>
      </c>
      <c r="O1549" s="50">
        <f>G1549*J1549</f>
        <v/>
      </c>
      <c r="P1549" s="50">
        <f>(J1549-M1549)*G1549</f>
        <v/>
      </c>
      <c r="Q1549" s="51">
        <f>IF(K1549="Received",1,0)</f>
        <v/>
      </c>
      <c r="R1549" s="51">
        <f>IF(Q1549=1,F1549-D1549,0)</f>
        <v/>
      </c>
      <c r="S1549" s="51">
        <f>IF(Q1549=1,IF(F1549&lt;=E1549,1,0),0)</f>
        <v/>
      </c>
      <c r="T1549" s="51">
        <f>IF(Q1549=1,IF(H1549&gt;=G1549,1,0),0)</f>
        <v/>
      </c>
      <c r="U1549" s="51">
        <f>S1549*T1549</f>
        <v/>
      </c>
      <c r="V1549" s="51">
        <f>IF(Q1549=1,MAX(0,F1549-E1549),0)</f>
        <v/>
      </c>
    </row>
    <row r="1550">
      <c r="A1550" s="43" t="inlineStr">
        <is>
          <t>PO101708</t>
        </is>
      </c>
      <c r="B1550" s="43" t="inlineStr">
        <is>
          <t>CMD-0093</t>
        </is>
      </c>
      <c r="C1550" s="43" t="inlineStr">
        <is>
          <t>S08</t>
        </is>
      </c>
      <c r="D1550" s="47" t="n">
        <v>46128</v>
      </c>
      <c r="E1550" s="47" t="n">
        <v>46205</v>
      </c>
      <c r="F1550" s="47" t="n">
        <v>46204</v>
      </c>
      <c r="G1550" s="46" t="n">
        <v>696</v>
      </c>
      <c r="H1550" s="46" t="n">
        <v>696</v>
      </c>
      <c r="I1550" s="46" t="n">
        <v>6</v>
      </c>
      <c r="J1550" s="44" t="n">
        <v>61.1923</v>
      </c>
      <c r="K1550" s="43" t="inlineStr">
        <is>
          <t>Received</t>
        </is>
      </c>
      <c r="L1550" s="17">
        <f>INDEX(Items!$C$2:$C$117,MATCH(B1550,Items!$A$2:$A$117,0))</f>
        <v/>
      </c>
      <c r="M1550" s="49">
        <f>INDEX(Items!$E$2:$E$117,MATCH(B1550,Items!$A$2:$A$117,0))</f>
        <v/>
      </c>
      <c r="N1550" s="17">
        <f>TEXT(D1550,"yyyy-mm")</f>
        <v/>
      </c>
      <c r="O1550" s="50">
        <f>G1550*J1550</f>
        <v/>
      </c>
      <c r="P1550" s="50">
        <f>(J1550-M1550)*G1550</f>
        <v/>
      </c>
      <c r="Q1550" s="51">
        <f>IF(K1550="Received",1,0)</f>
        <v/>
      </c>
      <c r="R1550" s="51">
        <f>IF(Q1550=1,F1550-D1550,0)</f>
        <v/>
      </c>
      <c r="S1550" s="51">
        <f>IF(Q1550=1,IF(F1550&lt;=E1550,1,0),0)</f>
        <v/>
      </c>
      <c r="T1550" s="51">
        <f>IF(Q1550=1,IF(H1550&gt;=G1550,1,0),0)</f>
        <v/>
      </c>
      <c r="U1550" s="51">
        <f>S1550*T1550</f>
        <v/>
      </c>
      <c r="V1550" s="51">
        <f>IF(Q1550=1,MAX(0,F1550-E1550),0)</f>
        <v/>
      </c>
    </row>
    <row r="1551">
      <c r="A1551" s="43" t="inlineStr">
        <is>
          <t>PO101414</t>
        </is>
      </c>
      <c r="B1551" s="43" t="inlineStr">
        <is>
          <t>CMD-0074</t>
        </is>
      </c>
      <c r="C1551" s="43" t="inlineStr">
        <is>
          <t>S10</t>
        </is>
      </c>
      <c r="D1551" s="47" t="n">
        <v>46128</v>
      </c>
      <c r="E1551" s="47" t="n">
        <v>46156</v>
      </c>
      <c r="F1551" s="47" t="n">
        <v>46153</v>
      </c>
      <c r="G1551" s="46" t="n">
        <v>57525</v>
      </c>
      <c r="H1551" s="46" t="n">
        <v>57525</v>
      </c>
      <c r="I1551" s="46" t="n">
        <v>62</v>
      </c>
      <c r="J1551" s="44" t="n">
        <v>0.3601</v>
      </c>
      <c r="K1551" s="43" t="inlineStr">
        <is>
          <t>Received</t>
        </is>
      </c>
      <c r="L1551" s="17">
        <f>INDEX(Items!$C$2:$C$117,MATCH(B1551,Items!$A$2:$A$117,0))</f>
        <v/>
      </c>
      <c r="M1551" s="49">
        <f>INDEX(Items!$E$2:$E$117,MATCH(B1551,Items!$A$2:$A$117,0))</f>
        <v/>
      </c>
      <c r="N1551" s="17">
        <f>TEXT(D1551,"yyyy-mm")</f>
        <v/>
      </c>
      <c r="O1551" s="50">
        <f>G1551*J1551</f>
        <v/>
      </c>
      <c r="P1551" s="50">
        <f>(J1551-M1551)*G1551</f>
        <v/>
      </c>
      <c r="Q1551" s="51">
        <f>IF(K1551="Received",1,0)</f>
        <v/>
      </c>
      <c r="R1551" s="51">
        <f>IF(Q1551=1,F1551-D1551,0)</f>
        <v/>
      </c>
      <c r="S1551" s="51">
        <f>IF(Q1551=1,IF(F1551&lt;=E1551,1,0),0)</f>
        <v/>
      </c>
      <c r="T1551" s="51">
        <f>IF(Q1551=1,IF(H1551&gt;=G1551,1,0),0)</f>
        <v/>
      </c>
      <c r="U1551" s="51">
        <f>S1551*T1551</f>
        <v/>
      </c>
      <c r="V1551" s="51">
        <f>IF(Q1551=1,MAX(0,F1551-E1551),0)</f>
        <v/>
      </c>
    </row>
    <row r="1552">
      <c r="A1552" s="43" t="inlineStr">
        <is>
          <t>PO101684</t>
        </is>
      </c>
      <c r="B1552" s="43" t="inlineStr">
        <is>
          <t>CMD-0092</t>
        </is>
      </c>
      <c r="C1552" s="43" t="inlineStr">
        <is>
          <t>S08</t>
        </is>
      </c>
      <c r="D1552" s="47" t="n">
        <v>46128</v>
      </c>
      <c r="E1552" s="47" t="n">
        <v>46205</v>
      </c>
      <c r="F1552" s="47" t="n">
        <v>46205</v>
      </c>
      <c r="G1552" s="46" t="n">
        <v>273</v>
      </c>
      <c r="H1552" s="46" t="n">
        <v>273</v>
      </c>
      <c r="I1552" s="46" t="n">
        <v>5</v>
      </c>
      <c r="J1552" s="44" t="n">
        <v>30.3541</v>
      </c>
      <c r="K1552" s="43" t="inlineStr">
        <is>
          <t>Received</t>
        </is>
      </c>
      <c r="L1552" s="17">
        <f>INDEX(Items!$C$2:$C$117,MATCH(B1552,Items!$A$2:$A$117,0))</f>
        <v/>
      </c>
      <c r="M1552" s="49">
        <f>INDEX(Items!$E$2:$E$117,MATCH(B1552,Items!$A$2:$A$117,0))</f>
        <v/>
      </c>
      <c r="N1552" s="17">
        <f>TEXT(D1552,"yyyy-mm")</f>
        <v/>
      </c>
      <c r="O1552" s="50">
        <f>G1552*J1552</f>
        <v/>
      </c>
      <c r="P1552" s="50">
        <f>(J1552-M1552)*G1552</f>
        <v/>
      </c>
      <c r="Q1552" s="51">
        <f>IF(K1552="Received",1,0)</f>
        <v/>
      </c>
      <c r="R1552" s="51">
        <f>IF(Q1552=1,F1552-D1552,0)</f>
        <v/>
      </c>
      <c r="S1552" s="51">
        <f>IF(Q1552=1,IF(F1552&lt;=E1552,1,0),0)</f>
        <v/>
      </c>
      <c r="T1552" s="51">
        <f>IF(Q1552=1,IF(H1552&gt;=G1552,1,0),0)</f>
        <v/>
      </c>
      <c r="U1552" s="51">
        <f>S1552*T1552</f>
        <v/>
      </c>
      <c r="V1552" s="51">
        <f>IF(Q1552=1,MAX(0,F1552-E1552),0)</f>
        <v/>
      </c>
    </row>
    <row r="1553">
      <c r="A1553" s="43" t="inlineStr">
        <is>
          <t>PO101498</t>
        </is>
      </c>
      <c r="B1553" s="43" t="inlineStr">
        <is>
          <t>CMD-0079</t>
        </is>
      </c>
      <c r="C1553" s="43" t="inlineStr">
        <is>
          <t>S06</t>
        </is>
      </c>
      <c r="D1553" s="47" t="n">
        <v>46128</v>
      </c>
      <c r="E1553" s="47" t="n">
        <v>46149</v>
      </c>
      <c r="F1553" s="47" t="n">
        <v>46149</v>
      </c>
      <c r="G1553" s="46" t="n">
        <v>1793</v>
      </c>
      <c r="H1553" s="46" t="n">
        <v>1793</v>
      </c>
      <c r="I1553" s="46" t="n">
        <v>8</v>
      </c>
      <c r="J1553" s="44" t="n">
        <v>3.6359</v>
      </c>
      <c r="K1553" s="43" t="inlineStr">
        <is>
          <t>Received</t>
        </is>
      </c>
      <c r="L1553" s="17">
        <f>INDEX(Items!$C$2:$C$117,MATCH(B1553,Items!$A$2:$A$117,0))</f>
        <v/>
      </c>
      <c r="M1553" s="49">
        <f>INDEX(Items!$E$2:$E$117,MATCH(B1553,Items!$A$2:$A$117,0))</f>
        <v/>
      </c>
      <c r="N1553" s="17">
        <f>TEXT(D1553,"yyyy-mm")</f>
        <v/>
      </c>
      <c r="O1553" s="50">
        <f>G1553*J1553</f>
        <v/>
      </c>
      <c r="P1553" s="50">
        <f>(J1553-M1553)*G1553</f>
        <v/>
      </c>
      <c r="Q1553" s="51">
        <f>IF(K1553="Received",1,0)</f>
        <v/>
      </c>
      <c r="R1553" s="51">
        <f>IF(Q1553=1,F1553-D1553,0)</f>
        <v/>
      </c>
      <c r="S1553" s="51">
        <f>IF(Q1553=1,IF(F1553&lt;=E1553,1,0),0)</f>
        <v/>
      </c>
      <c r="T1553" s="51">
        <f>IF(Q1553=1,IF(H1553&gt;=G1553,1,0),0)</f>
        <v/>
      </c>
      <c r="U1553" s="51">
        <f>S1553*T1553</f>
        <v/>
      </c>
      <c r="V1553" s="51">
        <f>IF(Q1553=1,MAX(0,F1553-E1553),0)</f>
        <v/>
      </c>
    </row>
    <row r="1554">
      <c r="A1554" s="43" t="inlineStr">
        <is>
          <t>PO100286</t>
        </is>
      </c>
      <c r="B1554" s="43" t="inlineStr">
        <is>
          <t>CMD-0013</t>
        </is>
      </c>
      <c r="C1554" s="43" t="inlineStr">
        <is>
          <t>S11</t>
        </is>
      </c>
      <c r="D1554" s="47" t="n">
        <v>46128</v>
      </c>
      <c r="E1554" s="47" t="n">
        <v>46247</v>
      </c>
      <c r="F1554" s="47" t="n">
        <v>46245</v>
      </c>
      <c r="G1554" s="46" t="n">
        <v>871</v>
      </c>
      <c r="H1554" s="46" t="n">
        <v>871</v>
      </c>
      <c r="I1554" s="46" t="n">
        <v>0</v>
      </c>
      <c r="J1554" s="44" t="n">
        <v>7.965</v>
      </c>
      <c r="K1554" s="43" t="inlineStr">
        <is>
          <t>Received</t>
        </is>
      </c>
      <c r="L1554" s="17">
        <f>INDEX(Items!$C$2:$C$117,MATCH(B1554,Items!$A$2:$A$117,0))</f>
        <v/>
      </c>
      <c r="M1554" s="49">
        <f>INDEX(Items!$E$2:$E$117,MATCH(B1554,Items!$A$2:$A$117,0))</f>
        <v/>
      </c>
      <c r="N1554" s="17">
        <f>TEXT(D1554,"yyyy-mm")</f>
        <v/>
      </c>
      <c r="O1554" s="50">
        <f>G1554*J1554</f>
        <v/>
      </c>
      <c r="P1554" s="50">
        <f>(J1554-M1554)*G1554</f>
        <v/>
      </c>
      <c r="Q1554" s="51">
        <f>IF(K1554="Received",1,0)</f>
        <v/>
      </c>
      <c r="R1554" s="51">
        <f>IF(Q1554=1,F1554-D1554,0)</f>
        <v/>
      </c>
      <c r="S1554" s="51">
        <f>IF(Q1554=1,IF(F1554&lt;=E1554,1,0),0)</f>
        <v/>
      </c>
      <c r="T1554" s="51">
        <f>IF(Q1554=1,IF(H1554&gt;=G1554,1,0),0)</f>
        <v/>
      </c>
      <c r="U1554" s="51">
        <f>S1554*T1554</f>
        <v/>
      </c>
      <c r="V1554" s="51">
        <f>IF(Q1554=1,MAX(0,F1554-E1554),0)</f>
        <v/>
      </c>
    </row>
    <row r="1555">
      <c r="A1555" s="43" t="inlineStr">
        <is>
          <t>PO101732</t>
        </is>
      </c>
      <c r="B1555" s="43" t="inlineStr">
        <is>
          <t>CMD-0094</t>
        </is>
      </c>
      <c r="C1555" s="43" t="inlineStr">
        <is>
          <t>S08</t>
        </is>
      </c>
      <c r="D1555" s="47" t="n">
        <v>46129</v>
      </c>
      <c r="E1555" s="47" t="n">
        <v>46206</v>
      </c>
      <c r="F1555" s="47" t="n">
        <v>46204</v>
      </c>
      <c r="G1555" s="46" t="n">
        <v>402</v>
      </c>
      <c r="H1555" s="46" t="n">
        <v>402</v>
      </c>
      <c r="I1555" s="46" t="n">
        <v>6</v>
      </c>
      <c r="J1555" s="44" t="n">
        <v>76.31270000000001</v>
      </c>
      <c r="K1555" s="43" t="inlineStr">
        <is>
          <t>Received</t>
        </is>
      </c>
      <c r="L1555" s="17">
        <f>INDEX(Items!$C$2:$C$117,MATCH(B1555,Items!$A$2:$A$117,0))</f>
        <v/>
      </c>
      <c r="M1555" s="49">
        <f>INDEX(Items!$E$2:$E$117,MATCH(B1555,Items!$A$2:$A$117,0))</f>
        <v/>
      </c>
      <c r="N1555" s="17">
        <f>TEXT(D1555,"yyyy-mm")</f>
        <v/>
      </c>
      <c r="O1555" s="50">
        <f>G1555*J1555</f>
        <v/>
      </c>
      <c r="P1555" s="50">
        <f>(J1555-M1555)*G1555</f>
        <v/>
      </c>
      <c r="Q1555" s="51">
        <f>IF(K1555="Received",1,0)</f>
        <v/>
      </c>
      <c r="R1555" s="51">
        <f>IF(Q1555=1,F1555-D1555,0)</f>
        <v/>
      </c>
      <c r="S1555" s="51">
        <f>IF(Q1555=1,IF(F1555&lt;=E1555,1,0),0)</f>
        <v/>
      </c>
      <c r="T1555" s="51">
        <f>IF(Q1555=1,IF(H1555&gt;=G1555,1,0),0)</f>
        <v/>
      </c>
      <c r="U1555" s="51">
        <f>S1555*T1555</f>
        <v/>
      </c>
      <c r="V1555" s="51">
        <f>IF(Q1555=1,MAX(0,F1555-E1555),0)</f>
        <v/>
      </c>
    </row>
    <row r="1556">
      <c r="A1556" s="43" t="inlineStr">
        <is>
          <t>PO101024</t>
        </is>
      </c>
      <c r="B1556" s="43" t="inlineStr">
        <is>
          <t>CMD-0046</t>
        </is>
      </c>
      <c r="C1556" s="43" t="inlineStr">
        <is>
          <t>S05</t>
        </is>
      </c>
      <c r="D1556" s="47" t="n">
        <v>46129</v>
      </c>
      <c r="E1556" s="47" t="n">
        <v>46234</v>
      </c>
      <c r="F1556" s="47" t="n">
        <v>46233</v>
      </c>
      <c r="G1556" s="46" t="n">
        <v>9254</v>
      </c>
      <c r="H1556" s="46" t="n">
        <v>9254</v>
      </c>
      <c r="I1556" s="46" t="n">
        <v>167</v>
      </c>
      <c r="J1556" s="44" t="n">
        <v>10.8871</v>
      </c>
      <c r="K1556" s="43" t="inlineStr">
        <is>
          <t>Received</t>
        </is>
      </c>
      <c r="L1556" s="17">
        <f>INDEX(Items!$C$2:$C$117,MATCH(B1556,Items!$A$2:$A$117,0))</f>
        <v/>
      </c>
      <c r="M1556" s="49">
        <f>INDEX(Items!$E$2:$E$117,MATCH(B1556,Items!$A$2:$A$117,0))</f>
        <v/>
      </c>
      <c r="N1556" s="17">
        <f>TEXT(D1556,"yyyy-mm")</f>
        <v/>
      </c>
      <c r="O1556" s="50">
        <f>G1556*J1556</f>
        <v/>
      </c>
      <c r="P1556" s="50">
        <f>(J1556-M1556)*G1556</f>
        <v/>
      </c>
      <c r="Q1556" s="51">
        <f>IF(K1556="Received",1,0)</f>
        <v/>
      </c>
      <c r="R1556" s="51">
        <f>IF(Q1556=1,F1556-D1556,0)</f>
        <v/>
      </c>
      <c r="S1556" s="51">
        <f>IF(Q1556=1,IF(F1556&lt;=E1556,1,0),0)</f>
        <v/>
      </c>
      <c r="T1556" s="51">
        <f>IF(Q1556=1,IF(H1556&gt;=G1556,1,0),0)</f>
        <v/>
      </c>
      <c r="U1556" s="51">
        <f>S1556*T1556</f>
        <v/>
      </c>
      <c r="V1556" s="51">
        <f>IF(Q1556=1,MAX(0,F1556-E1556),0)</f>
        <v/>
      </c>
    </row>
    <row r="1557">
      <c r="A1557" s="43" t="inlineStr">
        <is>
          <t>PO101326</t>
        </is>
      </c>
      <c r="B1557" s="43" t="inlineStr">
        <is>
          <t>CMD-0065</t>
        </is>
      </c>
      <c r="C1557" s="43" t="inlineStr">
        <is>
          <t>S10</t>
        </is>
      </c>
      <c r="D1557" s="47" t="n">
        <v>46129</v>
      </c>
      <c r="E1557" s="47" t="n">
        <v>46157</v>
      </c>
      <c r="F1557" s="47" t="n">
        <v>46180</v>
      </c>
      <c r="G1557" s="46" t="n">
        <v>111607</v>
      </c>
      <c r="H1557" s="46" t="n">
        <v>111607</v>
      </c>
      <c r="I1557" s="46" t="n">
        <v>84</v>
      </c>
      <c r="J1557" s="44" t="n">
        <v>0.119</v>
      </c>
      <c r="K1557" s="43" t="inlineStr">
        <is>
          <t>Received</t>
        </is>
      </c>
      <c r="L1557" s="17">
        <f>INDEX(Items!$C$2:$C$117,MATCH(B1557,Items!$A$2:$A$117,0))</f>
        <v/>
      </c>
      <c r="M1557" s="49">
        <f>INDEX(Items!$E$2:$E$117,MATCH(B1557,Items!$A$2:$A$117,0))</f>
        <v/>
      </c>
      <c r="N1557" s="17">
        <f>TEXT(D1557,"yyyy-mm")</f>
        <v/>
      </c>
      <c r="O1557" s="50">
        <f>G1557*J1557</f>
        <v/>
      </c>
      <c r="P1557" s="50">
        <f>(J1557-M1557)*G1557</f>
        <v/>
      </c>
      <c r="Q1557" s="51">
        <f>IF(K1557="Received",1,0)</f>
        <v/>
      </c>
      <c r="R1557" s="51">
        <f>IF(Q1557=1,F1557-D1557,0)</f>
        <v/>
      </c>
      <c r="S1557" s="51">
        <f>IF(Q1557=1,IF(F1557&lt;=E1557,1,0),0)</f>
        <v/>
      </c>
      <c r="T1557" s="51">
        <f>IF(Q1557=1,IF(H1557&gt;=G1557,1,0),0)</f>
        <v/>
      </c>
      <c r="U1557" s="51">
        <f>S1557*T1557</f>
        <v/>
      </c>
      <c r="V1557" s="51">
        <f>IF(Q1557=1,MAX(0,F1557-E1557),0)</f>
        <v/>
      </c>
    </row>
    <row r="1558">
      <c r="A1558" s="43" t="inlineStr">
        <is>
          <t>PO100740</t>
        </is>
      </c>
      <c r="B1558" s="43" t="inlineStr">
        <is>
          <t>CMD-0033</t>
        </is>
      </c>
      <c r="C1558" s="43" t="inlineStr">
        <is>
          <t>S07</t>
        </is>
      </c>
      <c r="D1558" s="47" t="n">
        <v>46129</v>
      </c>
      <c r="E1558" s="47" t="n">
        <v>46171</v>
      </c>
      <c r="F1558" s="47" t="n">
        <v>46170</v>
      </c>
      <c r="G1558" s="46" t="n">
        <v>4171</v>
      </c>
      <c r="H1558" s="46" t="n">
        <v>4171</v>
      </c>
      <c r="I1558" s="46" t="n">
        <v>32</v>
      </c>
      <c r="J1558" s="44" t="n">
        <v>60.1108</v>
      </c>
      <c r="K1558" s="43" t="inlineStr">
        <is>
          <t>Received</t>
        </is>
      </c>
      <c r="L1558" s="17">
        <f>INDEX(Items!$C$2:$C$117,MATCH(B1558,Items!$A$2:$A$117,0))</f>
        <v/>
      </c>
      <c r="M1558" s="49">
        <f>INDEX(Items!$E$2:$E$117,MATCH(B1558,Items!$A$2:$A$117,0))</f>
        <v/>
      </c>
      <c r="N1558" s="17">
        <f>TEXT(D1558,"yyyy-mm")</f>
        <v/>
      </c>
      <c r="O1558" s="50">
        <f>G1558*J1558</f>
        <v/>
      </c>
      <c r="P1558" s="50">
        <f>(J1558-M1558)*G1558</f>
        <v/>
      </c>
      <c r="Q1558" s="51">
        <f>IF(K1558="Received",1,0)</f>
        <v/>
      </c>
      <c r="R1558" s="51">
        <f>IF(Q1558=1,F1558-D1558,0)</f>
        <v/>
      </c>
      <c r="S1558" s="51">
        <f>IF(Q1558=1,IF(F1558&lt;=E1558,1,0),0)</f>
        <v/>
      </c>
      <c r="T1558" s="51">
        <f>IF(Q1558=1,IF(H1558&gt;=G1558,1,0),0)</f>
        <v/>
      </c>
      <c r="U1558" s="51">
        <f>S1558*T1558</f>
        <v/>
      </c>
      <c r="V1558" s="51">
        <f>IF(Q1558=1,MAX(0,F1558-E1558),0)</f>
        <v/>
      </c>
    </row>
    <row r="1559">
      <c r="A1559" s="43" t="inlineStr">
        <is>
          <t>PO100186</t>
        </is>
      </c>
      <c r="B1559" s="43" t="inlineStr">
        <is>
          <t>CMD-0008</t>
        </is>
      </c>
      <c r="C1559" s="43" t="inlineStr">
        <is>
          <t>S03</t>
        </is>
      </c>
      <c r="D1559" s="47" t="n">
        <v>46129</v>
      </c>
      <c r="E1559" s="47" t="n">
        <v>46262</v>
      </c>
      <c r="F1559" s="47" t="n">
        <v>46262</v>
      </c>
      <c r="G1559" s="46" t="n">
        <v>1443</v>
      </c>
      <c r="H1559" s="46" t="n">
        <v>1443</v>
      </c>
      <c r="I1559" s="46" t="n">
        <v>5</v>
      </c>
      <c r="J1559" s="44" t="n">
        <v>27.9188</v>
      </c>
      <c r="K1559" s="43" t="inlineStr">
        <is>
          <t>Received</t>
        </is>
      </c>
      <c r="L1559" s="17">
        <f>INDEX(Items!$C$2:$C$117,MATCH(B1559,Items!$A$2:$A$117,0))</f>
        <v/>
      </c>
      <c r="M1559" s="49">
        <f>INDEX(Items!$E$2:$E$117,MATCH(B1559,Items!$A$2:$A$117,0))</f>
        <v/>
      </c>
      <c r="N1559" s="17">
        <f>TEXT(D1559,"yyyy-mm")</f>
        <v/>
      </c>
      <c r="O1559" s="50">
        <f>G1559*J1559</f>
        <v/>
      </c>
      <c r="P1559" s="50">
        <f>(J1559-M1559)*G1559</f>
        <v/>
      </c>
      <c r="Q1559" s="51">
        <f>IF(K1559="Received",1,0)</f>
        <v/>
      </c>
      <c r="R1559" s="51">
        <f>IF(Q1559=1,F1559-D1559,0)</f>
        <v/>
      </c>
      <c r="S1559" s="51">
        <f>IF(Q1559=1,IF(F1559&lt;=E1559,1,0),0)</f>
        <v/>
      </c>
      <c r="T1559" s="51">
        <f>IF(Q1559=1,IF(H1559&gt;=G1559,1,0),0)</f>
        <v/>
      </c>
      <c r="U1559" s="51">
        <f>S1559*T1559</f>
        <v/>
      </c>
      <c r="V1559" s="51">
        <f>IF(Q1559=1,MAX(0,F1559-E1559),0)</f>
        <v/>
      </c>
    </row>
    <row r="1560">
      <c r="A1560" s="43" t="inlineStr">
        <is>
          <t>PO100658</t>
        </is>
      </c>
      <c r="B1560" s="43" t="inlineStr">
        <is>
          <t>CMD-0029</t>
        </is>
      </c>
      <c r="C1560" s="43" t="inlineStr">
        <is>
          <t>S11</t>
        </is>
      </c>
      <c r="D1560" s="47" t="n">
        <v>46129</v>
      </c>
      <c r="E1560" s="47" t="n">
        <v>46206</v>
      </c>
      <c r="F1560" s="47" t="n">
        <v>46216</v>
      </c>
      <c r="G1560" s="46" t="n">
        <v>4610</v>
      </c>
      <c r="H1560" s="46" t="n">
        <v>4610</v>
      </c>
      <c r="I1560" s="46" t="n">
        <v>15</v>
      </c>
      <c r="J1560" s="44" t="n">
        <v>7.0761</v>
      </c>
      <c r="K1560" s="43" t="inlineStr">
        <is>
          <t>Received</t>
        </is>
      </c>
      <c r="L1560" s="17">
        <f>INDEX(Items!$C$2:$C$117,MATCH(B1560,Items!$A$2:$A$117,0))</f>
        <v/>
      </c>
      <c r="M1560" s="49">
        <f>INDEX(Items!$E$2:$E$117,MATCH(B1560,Items!$A$2:$A$117,0))</f>
        <v/>
      </c>
      <c r="N1560" s="17">
        <f>TEXT(D1560,"yyyy-mm")</f>
        <v/>
      </c>
      <c r="O1560" s="50">
        <f>G1560*J1560</f>
        <v/>
      </c>
      <c r="P1560" s="50">
        <f>(J1560-M1560)*G1560</f>
        <v/>
      </c>
      <c r="Q1560" s="51">
        <f>IF(K1560="Received",1,0)</f>
        <v/>
      </c>
      <c r="R1560" s="51">
        <f>IF(Q1560=1,F1560-D1560,0)</f>
        <v/>
      </c>
      <c r="S1560" s="51">
        <f>IF(Q1560=1,IF(F1560&lt;=E1560,1,0),0)</f>
        <v/>
      </c>
      <c r="T1560" s="51">
        <f>IF(Q1560=1,IF(H1560&gt;=G1560,1,0),0)</f>
        <v/>
      </c>
      <c r="U1560" s="51">
        <f>S1560*T1560</f>
        <v/>
      </c>
      <c r="V1560" s="51">
        <f>IF(Q1560=1,MAX(0,F1560-E1560),0)</f>
        <v/>
      </c>
    </row>
    <row r="1561">
      <c r="A1561" s="43" t="inlineStr">
        <is>
          <t>PO101070</t>
        </is>
      </c>
      <c r="B1561" s="43" t="inlineStr">
        <is>
          <t>CMD-0048</t>
        </is>
      </c>
      <c r="C1561" s="43" t="inlineStr">
        <is>
          <t>S10</t>
        </is>
      </c>
      <c r="D1561" s="47" t="n">
        <v>46130</v>
      </c>
      <c r="E1561" s="47" t="n">
        <v>46158</v>
      </c>
      <c r="F1561" s="47" t="n">
        <v>46158</v>
      </c>
      <c r="G1561" s="46" t="n">
        <v>16098</v>
      </c>
      <c r="H1561" s="46" t="n">
        <v>16098</v>
      </c>
      <c r="I1561" s="46" t="n">
        <v>17</v>
      </c>
      <c r="J1561" s="44" t="n">
        <v>0.3328</v>
      </c>
      <c r="K1561" s="43" t="inlineStr">
        <is>
          <t>Received</t>
        </is>
      </c>
      <c r="L1561" s="17">
        <f>INDEX(Items!$C$2:$C$117,MATCH(B1561,Items!$A$2:$A$117,0))</f>
        <v/>
      </c>
      <c r="M1561" s="49">
        <f>INDEX(Items!$E$2:$E$117,MATCH(B1561,Items!$A$2:$A$117,0))</f>
        <v/>
      </c>
      <c r="N1561" s="17">
        <f>TEXT(D1561,"yyyy-mm")</f>
        <v/>
      </c>
      <c r="O1561" s="50">
        <f>G1561*J1561</f>
        <v/>
      </c>
      <c r="P1561" s="50">
        <f>(J1561-M1561)*G1561</f>
        <v/>
      </c>
      <c r="Q1561" s="51">
        <f>IF(K1561="Received",1,0)</f>
        <v/>
      </c>
      <c r="R1561" s="51">
        <f>IF(Q1561=1,F1561-D1561,0)</f>
        <v/>
      </c>
      <c r="S1561" s="51">
        <f>IF(Q1561=1,IF(F1561&lt;=E1561,1,0),0)</f>
        <v/>
      </c>
      <c r="T1561" s="51">
        <f>IF(Q1561=1,IF(H1561&gt;=G1561,1,0),0)</f>
        <v/>
      </c>
      <c r="U1561" s="51">
        <f>S1561*T1561</f>
        <v/>
      </c>
      <c r="V1561" s="51">
        <f>IF(Q1561=1,MAX(0,F1561-E1561),0)</f>
        <v/>
      </c>
    </row>
    <row r="1562">
      <c r="A1562" s="43" t="inlineStr">
        <is>
          <t>PO101978</t>
        </is>
      </c>
      <c r="B1562" s="43" t="inlineStr">
        <is>
          <t>CMD-0109</t>
        </is>
      </c>
      <c r="C1562" s="43" t="inlineStr">
        <is>
          <t>S12</t>
        </is>
      </c>
      <c r="D1562" s="47" t="n">
        <v>46130</v>
      </c>
      <c r="E1562" s="47" t="n">
        <v>46137</v>
      </c>
      <c r="F1562" s="47" t="n">
        <v>46136</v>
      </c>
      <c r="G1562" s="46" t="n">
        <v>6490</v>
      </c>
      <c r="H1562" s="46" t="n">
        <v>6490</v>
      </c>
      <c r="I1562" s="46" t="n">
        <v>4</v>
      </c>
      <c r="J1562" s="44" t="n">
        <v>1.751</v>
      </c>
      <c r="K1562" s="43" t="inlineStr">
        <is>
          <t>Received</t>
        </is>
      </c>
      <c r="L1562" s="17">
        <f>INDEX(Items!$C$2:$C$117,MATCH(B1562,Items!$A$2:$A$117,0))</f>
        <v/>
      </c>
      <c r="M1562" s="49">
        <f>INDEX(Items!$E$2:$E$117,MATCH(B1562,Items!$A$2:$A$117,0))</f>
        <v/>
      </c>
      <c r="N1562" s="17">
        <f>TEXT(D1562,"yyyy-mm")</f>
        <v/>
      </c>
      <c r="O1562" s="50">
        <f>G1562*J1562</f>
        <v/>
      </c>
      <c r="P1562" s="50">
        <f>(J1562-M1562)*G1562</f>
        <v/>
      </c>
      <c r="Q1562" s="51">
        <f>IF(K1562="Received",1,0)</f>
        <v/>
      </c>
      <c r="R1562" s="51">
        <f>IF(Q1562=1,F1562-D1562,0)</f>
        <v/>
      </c>
      <c r="S1562" s="51">
        <f>IF(Q1562=1,IF(F1562&lt;=E1562,1,0),0)</f>
        <v/>
      </c>
      <c r="T1562" s="51">
        <f>IF(Q1562=1,IF(H1562&gt;=G1562,1,0),0)</f>
        <v/>
      </c>
      <c r="U1562" s="51">
        <f>S1562*T1562</f>
        <v/>
      </c>
      <c r="V1562" s="51">
        <f>IF(Q1562=1,MAX(0,F1562-E1562),0)</f>
        <v/>
      </c>
    </row>
    <row r="1563">
      <c r="A1563" s="43" t="inlineStr">
        <is>
          <t>PO100162</t>
        </is>
      </c>
      <c r="B1563" s="43" t="inlineStr">
        <is>
          <t>CMD-0007</t>
        </is>
      </c>
      <c r="C1563" s="43" t="inlineStr">
        <is>
          <t>S03</t>
        </is>
      </c>
      <c r="D1563" s="47" t="n">
        <v>46130</v>
      </c>
      <c r="E1563" s="47" t="n">
        <v>46263</v>
      </c>
      <c r="F1563" s="47" t="n">
        <v>46274</v>
      </c>
      <c r="G1563" s="46" t="n">
        <v>4269</v>
      </c>
      <c r="H1563" s="46" t="n">
        <v>4269</v>
      </c>
      <c r="I1563" s="46" t="n">
        <v>23</v>
      </c>
      <c r="J1563" s="44" t="n">
        <v>22.8802</v>
      </c>
      <c r="K1563" s="43" t="inlineStr">
        <is>
          <t>Received</t>
        </is>
      </c>
      <c r="L1563" s="17">
        <f>INDEX(Items!$C$2:$C$117,MATCH(B1563,Items!$A$2:$A$117,0))</f>
        <v/>
      </c>
      <c r="M1563" s="49">
        <f>INDEX(Items!$E$2:$E$117,MATCH(B1563,Items!$A$2:$A$117,0))</f>
        <v/>
      </c>
      <c r="N1563" s="17">
        <f>TEXT(D1563,"yyyy-mm")</f>
        <v/>
      </c>
      <c r="O1563" s="50">
        <f>G1563*J1563</f>
        <v/>
      </c>
      <c r="P1563" s="50">
        <f>(J1563-M1563)*G1563</f>
        <v/>
      </c>
      <c r="Q1563" s="51">
        <f>IF(K1563="Received",1,0)</f>
        <v/>
      </c>
      <c r="R1563" s="51">
        <f>IF(Q1563=1,F1563-D1563,0)</f>
        <v/>
      </c>
      <c r="S1563" s="51">
        <f>IF(Q1563=1,IF(F1563&lt;=E1563,1,0),0)</f>
        <v/>
      </c>
      <c r="T1563" s="51">
        <f>IF(Q1563=1,IF(H1563&gt;=G1563,1,0),0)</f>
        <v/>
      </c>
      <c r="U1563" s="51">
        <f>S1563*T1563</f>
        <v/>
      </c>
      <c r="V1563" s="51">
        <f>IF(Q1563=1,MAX(0,F1563-E1563),0)</f>
        <v/>
      </c>
    </row>
    <row r="1564">
      <c r="A1564" s="43" t="inlineStr">
        <is>
          <t>PO101550</t>
        </is>
      </c>
      <c r="B1564" s="43" t="inlineStr">
        <is>
          <t>CMD-0082</t>
        </is>
      </c>
      <c r="C1564" s="43" t="inlineStr">
        <is>
          <t>S01</t>
        </is>
      </c>
      <c r="D1564" s="47" t="n">
        <v>46130</v>
      </c>
      <c r="E1564" s="47" t="n">
        <v>46144</v>
      </c>
      <c r="F1564" s="47" t="n">
        <v>46142</v>
      </c>
      <c r="G1564" s="46" t="n">
        <v>6639</v>
      </c>
      <c r="H1564" s="46" t="n">
        <v>6639</v>
      </c>
      <c r="I1564" s="46" t="n">
        <v>14</v>
      </c>
      <c r="J1564" s="44" t="n">
        <v>2.3896</v>
      </c>
      <c r="K1564" s="43" t="inlineStr">
        <is>
          <t>Received</t>
        </is>
      </c>
      <c r="L1564" s="17">
        <f>INDEX(Items!$C$2:$C$117,MATCH(B1564,Items!$A$2:$A$117,0))</f>
        <v/>
      </c>
      <c r="M1564" s="49">
        <f>INDEX(Items!$E$2:$E$117,MATCH(B1564,Items!$A$2:$A$117,0))</f>
        <v/>
      </c>
      <c r="N1564" s="17">
        <f>TEXT(D1564,"yyyy-mm")</f>
        <v/>
      </c>
      <c r="O1564" s="50">
        <f>G1564*J1564</f>
        <v/>
      </c>
      <c r="P1564" s="50">
        <f>(J1564-M1564)*G1564</f>
        <v/>
      </c>
      <c r="Q1564" s="51">
        <f>IF(K1564="Received",1,0)</f>
        <v/>
      </c>
      <c r="R1564" s="51">
        <f>IF(Q1564=1,F1564-D1564,0)</f>
        <v/>
      </c>
      <c r="S1564" s="51">
        <f>IF(Q1564=1,IF(F1564&lt;=E1564,1,0),0)</f>
        <v/>
      </c>
      <c r="T1564" s="51">
        <f>IF(Q1564=1,IF(H1564&gt;=G1564,1,0),0)</f>
        <v/>
      </c>
      <c r="U1564" s="51">
        <f>S1564*T1564</f>
        <v/>
      </c>
      <c r="V1564" s="51">
        <f>IF(Q1564=1,MAX(0,F1564-E1564),0)</f>
        <v/>
      </c>
    </row>
    <row r="1565">
      <c r="A1565" s="43" t="inlineStr">
        <is>
          <t>PO101000</t>
        </is>
      </c>
      <c r="B1565" s="43" t="inlineStr">
        <is>
          <t>CMD-0045</t>
        </is>
      </c>
      <c r="C1565" s="43" t="inlineStr">
        <is>
          <t>S05</t>
        </is>
      </c>
      <c r="D1565" s="47" t="n">
        <v>46130</v>
      </c>
      <c r="E1565" s="47" t="n">
        <v>46235</v>
      </c>
      <c r="F1565" s="47" t="n">
        <v>46235</v>
      </c>
      <c r="G1565" s="46" t="n">
        <v>3929</v>
      </c>
      <c r="H1565" s="46" t="n">
        <v>3929</v>
      </c>
      <c r="I1565" s="46" t="n">
        <v>63</v>
      </c>
      <c r="J1565" s="44" t="n">
        <v>9.2597</v>
      </c>
      <c r="K1565" s="43" t="inlineStr">
        <is>
          <t>Received</t>
        </is>
      </c>
      <c r="L1565" s="17">
        <f>INDEX(Items!$C$2:$C$117,MATCH(B1565,Items!$A$2:$A$117,0))</f>
        <v/>
      </c>
      <c r="M1565" s="49">
        <f>INDEX(Items!$E$2:$E$117,MATCH(B1565,Items!$A$2:$A$117,0))</f>
        <v/>
      </c>
      <c r="N1565" s="17">
        <f>TEXT(D1565,"yyyy-mm")</f>
        <v/>
      </c>
      <c r="O1565" s="50">
        <f>G1565*J1565</f>
        <v/>
      </c>
      <c r="P1565" s="50">
        <f>(J1565-M1565)*G1565</f>
        <v/>
      </c>
      <c r="Q1565" s="51">
        <f>IF(K1565="Received",1,0)</f>
        <v/>
      </c>
      <c r="R1565" s="51">
        <f>IF(Q1565=1,F1565-D1565,0)</f>
        <v/>
      </c>
      <c r="S1565" s="51">
        <f>IF(Q1565=1,IF(F1565&lt;=E1565,1,0),0)</f>
        <v/>
      </c>
      <c r="T1565" s="51">
        <f>IF(Q1565=1,IF(H1565&gt;=G1565,1,0),0)</f>
        <v/>
      </c>
      <c r="U1565" s="51">
        <f>S1565*T1565</f>
        <v/>
      </c>
      <c r="V1565" s="51">
        <f>IF(Q1565=1,MAX(0,F1565-E1565),0)</f>
        <v/>
      </c>
    </row>
    <row r="1566">
      <c r="A1566" s="43" t="inlineStr">
        <is>
          <t>PO100562</t>
        </is>
      </c>
      <c r="B1566" s="43" t="inlineStr">
        <is>
          <t>CMD-0025</t>
        </is>
      </c>
      <c r="C1566" s="43" t="inlineStr">
        <is>
          <t>S02</t>
        </is>
      </c>
      <c r="D1566" s="47" t="n">
        <v>46131</v>
      </c>
      <c r="E1566" s="47" t="n">
        <v>46187</v>
      </c>
      <c r="F1566" s="47" t="n">
        <v>46185</v>
      </c>
      <c r="G1566" s="46" t="n">
        <v>1249</v>
      </c>
      <c r="H1566" s="46" t="n">
        <v>1249</v>
      </c>
      <c r="I1566" s="46" t="n">
        <v>4</v>
      </c>
      <c r="J1566" s="44" t="n">
        <v>10.8356</v>
      </c>
      <c r="K1566" s="43" t="inlineStr">
        <is>
          <t>Received</t>
        </is>
      </c>
      <c r="L1566" s="17">
        <f>INDEX(Items!$C$2:$C$117,MATCH(B1566,Items!$A$2:$A$117,0))</f>
        <v/>
      </c>
      <c r="M1566" s="49">
        <f>INDEX(Items!$E$2:$E$117,MATCH(B1566,Items!$A$2:$A$117,0))</f>
        <v/>
      </c>
      <c r="N1566" s="17">
        <f>TEXT(D1566,"yyyy-mm")</f>
        <v/>
      </c>
      <c r="O1566" s="50">
        <f>G1566*J1566</f>
        <v/>
      </c>
      <c r="P1566" s="50">
        <f>(J1566-M1566)*G1566</f>
        <v/>
      </c>
      <c r="Q1566" s="51">
        <f>IF(K1566="Received",1,0)</f>
        <v/>
      </c>
      <c r="R1566" s="51">
        <f>IF(Q1566=1,F1566-D1566,0)</f>
        <v/>
      </c>
      <c r="S1566" s="51">
        <f>IF(Q1566=1,IF(F1566&lt;=E1566,1,0),0)</f>
        <v/>
      </c>
      <c r="T1566" s="51">
        <f>IF(Q1566=1,IF(H1566&gt;=G1566,1,0),0)</f>
        <v/>
      </c>
      <c r="U1566" s="51">
        <f>S1566*T1566</f>
        <v/>
      </c>
      <c r="V1566" s="51">
        <f>IF(Q1566=1,MAX(0,F1566-E1566),0)</f>
        <v/>
      </c>
    </row>
    <row r="1567">
      <c r="A1567" s="43" t="inlineStr">
        <is>
          <t>PO101862</t>
        </is>
      </c>
      <c r="B1567" s="43" t="inlineStr">
        <is>
          <t>CMD-0101</t>
        </is>
      </c>
      <c r="C1567" s="43" t="inlineStr">
        <is>
          <t>S09</t>
        </is>
      </c>
      <c r="D1567" s="47" t="n">
        <v>46131</v>
      </c>
      <c r="E1567" s="47" t="n">
        <v>46152</v>
      </c>
      <c r="F1567" s="47" t="n">
        <v>46152</v>
      </c>
      <c r="G1567" s="46" t="n">
        <v>3138</v>
      </c>
      <c r="H1567" s="46" t="n">
        <v>3138</v>
      </c>
      <c r="I1567" s="46" t="n">
        <v>9</v>
      </c>
      <c r="J1567" s="44" t="n">
        <v>3.811</v>
      </c>
      <c r="K1567" s="43" t="inlineStr">
        <is>
          <t>Received</t>
        </is>
      </c>
      <c r="L1567" s="17">
        <f>INDEX(Items!$C$2:$C$117,MATCH(B1567,Items!$A$2:$A$117,0))</f>
        <v/>
      </c>
      <c r="M1567" s="49">
        <f>INDEX(Items!$E$2:$E$117,MATCH(B1567,Items!$A$2:$A$117,0))</f>
        <v/>
      </c>
      <c r="N1567" s="17">
        <f>TEXT(D1567,"yyyy-mm")</f>
        <v/>
      </c>
      <c r="O1567" s="50">
        <f>G1567*J1567</f>
        <v/>
      </c>
      <c r="P1567" s="50">
        <f>(J1567-M1567)*G1567</f>
        <v/>
      </c>
      <c r="Q1567" s="51">
        <f>IF(K1567="Received",1,0)</f>
        <v/>
      </c>
      <c r="R1567" s="51">
        <f>IF(Q1567=1,F1567-D1567,0)</f>
        <v/>
      </c>
      <c r="S1567" s="51">
        <f>IF(Q1567=1,IF(F1567&lt;=E1567,1,0),0)</f>
        <v/>
      </c>
      <c r="T1567" s="51">
        <f>IF(Q1567=1,IF(H1567&gt;=G1567,1,0),0)</f>
        <v/>
      </c>
      <c r="U1567" s="51">
        <f>S1567*T1567</f>
        <v/>
      </c>
      <c r="V1567" s="51">
        <f>IF(Q1567=1,MAX(0,F1567-E1567),0)</f>
        <v/>
      </c>
    </row>
    <row r="1568">
      <c r="A1568" s="43" t="inlineStr">
        <is>
          <t>PO100764</t>
        </is>
      </c>
      <c r="B1568" s="43" t="inlineStr">
        <is>
          <t>CMD-0034</t>
        </is>
      </c>
      <c r="C1568" s="43" t="inlineStr">
        <is>
          <t>S04</t>
        </is>
      </c>
      <c r="D1568" s="47" t="n">
        <v>46131</v>
      </c>
      <c r="E1568" s="47" t="n">
        <v>46173</v>
      </c>
      <c r="F1568" s="47" t="n">
        <v>46171</v>
      </c>
      <c r="G1568" s="46" t="n">
        <v>665</v>
      </c>
      <c r="H1568" s="46" t="n">
        <v>665</v>
      </c>
      <c r="I1568" s="46" t="n">
        <v>5</v>
      </c>
      <c r="J1568" s="44" t="n">
        <v>10.8665</v>
      </c>
      <c r="K1568" s="43" t="inlineStr">
        <is>
          <t>Received</t>
        </is>
      </c>
      <c r="L1568" s="17">
        <f>INDEX(Items!$C$2:$C$117,MATCH(B1568,Items!$A$2:$A$117,0))</f>
        <v/>
      </c>
      <c r="M1568" s="49">
        <f>INDEX(Items!$E$2:$E$117,MATCH(B1568,Items!$A$2:$A$117,0))</f>
        <v/>
      </c>
      <c r="N1568" s="17">
        <f>TEXT(D1568,"yyyy-mm")</f>
        <v/>
      </c>
      <c r="O1568" s="50">
        <f>G1568*J1568</f>
        <v/>
      </c>
      <c r="P1568" s="50">
        <f>(J1568-M1568)*G1568</f>
        <v/>
      </c>
      <c r="Q1568" s="51">
        <f>IF(K1568="Received",1,0)</f>
        <v/>
      </c>
      <c r="R1568" s="51">
        <f>IF(Q1568=1,F1568-D1568,0)</f>
        <v/>
      </c>
      <c r="S1568" s="51">
        <f>IF(Q1568=1,IF(F1568&lt;=E1568,1,0),0)</f>
        <v/>
      </c>
      <c r="T1568" s="51">
        <f>IF(Q1568=1,IF(H1568&gt;=G1568,1,0),0)</f>
        <v/>
      </c>
      <c r="U1568" s="51">
        <f>S1568*T1568</f>
        <v/>
      </c>
      <c r="V1568" s="51">
        <f>IF(Q1568=1,MAX(0,F1568-E1568),0)</f>
        <v/>
      </c>
    </row>
    <row r="1569">
      <c r="A1569" s="43" t="inlineStr">
        <is>
          <t>PO100586</t>
        </is>
      </c>
      <c r="B1569" s="43" t="inlineStr">
        <is>
          <t>CMD-0026</t>
        </is>
      </c>
      <c r="C1569" s="43" t="inlineStr">
        <is>
          <t>S04</t>
        </is>
      </c>
      <c r="D1569" s="47" t="n">
        <v>46131</v>
      </c>
      <c r="E1569" s="47" t="n">
        <v>46201</v>
      </c>
      <c r="F1569" s="47" t="n">
        <v>46199</v>
      </c>
      <c r="G1569" s="46" t="n">
        <v>7898</v>
      </c>
      <c r="H1569" s="46" t="n">
        <v>7898</v>
      </c>
      <c r="I1569" s="46" t="n">
        <v>76</v>
      </c>
      <c r="J1569" s="44" t="n">
        <v>6.1388</v>
      </c>
      <c r="K1569" s="43" t="inlineStr">
        <is>
          <t>Received</t>
        </is>
      </c>
      <c r="L1569" s="17">
        <f>INDEX(Items!$C$2:$C$117,MATCH(B1569,Items!$A$2:$A$117,0))</f>
        <v/>
      </c>
      <c r="M1569" s="49">
        <f>INDEX(Items!$E$2:$E$117,MATCH(B1569,Items!$A$2:$A$117,0))</f>
        <v/>
      </c>
      <c r="N1569" s="17">
        <f>TEXT(D1569,"yyyy-mm")</f>
        <v/>
      </c>
      <c r="O1569" s="50">
        <f>G1569*J1569</f>
        <v/>
      </c>
      <c r="P1569" s="50">
        <f>(J1569-M1569)*G1569</f>
        <v/>
      </c>
      <c r="Q1569" s="51">
        <f>IF(K1569="Received",1,0)</f>
        <v/>
      </c>
      <c r="R1569" s="51">
        <f>IF(Q1569=1,F1569-D1569,0)</f>
        <v/>
      </c>
      <c r="S1569" s="51">
        <f>IF(Q1569=1,IF(F1569&lt;=E1569,1,0),0)</f>
        <v/>
      </c>
      <c r="T1569" s="51">
        <f>IF(Q1569=1,IF(H1569&gt;=G1569,1,0),0)</f>
        <v/>
      </c>
      <c r="U1569" s="51">
        <f>S1569*T1569</f>
        <v/>
      </c>
      <c r="V1569" s="51">
        <f>IF(Q1569=1,MAX(0,F1569-E1569),0)</f>
        <v/>
      </c>
    </row>
    <row r="1570">
      <c r="A1570" s="43" t="inlineStr">
        <is>
          <t>PO100836</t>
        </is>
      </c>
      <c r="B1570" s="43" t="inlineStr">
        <is>
          <t>CMD-0037</t>
        </is>
      </c>
      <c r="C1570" s="43" t="inlineStr">
        <is>
          <t>S07</t>
        </is>
      </c>
      <c r="D1570" s="47" t="n">
        <v>46131</v>
      </c>
      <c r="E1570" s="47" t="n">
        <v>46173</v>
      </c>
      <c r="F1570" s="47" t="n">
        <v>46173</v>
      </c>
      <c r="G1570" s="46" t="n">
        <v>467</v>
      </c>
      <c r="H1570" s="46" t="n">
        <v>467</v>
      </c>
      <c r="I1570" s="46" t="n">
        <v>5</v>
      </c>
      <c r="J1570" s="44" t="n">
        <v>55.2286</v>
      </c>
      <c r="K1570" s="43" t="inlineStr">
        <is>
          <t>Received</t>
        </is>
      </c>
      <c r="L1570" s="17">
        <f>INDEX(Items!$C$2:$C$117,MATCH(B1570,Items!$A$2:$A$117,0))</f>
        <v/>
      </c>
      <c r="M1570" s="49">
        <f>INDEX(Items!$E$2:$E$117,MATCH(B1570,Items!$A$2:$A$117,0))</f>
        <v/>
      </c>
      <c r="N1570" s="17">
        <f>TEXT(D1570,"yyyy-mm")</f>
        <v/>
      </c>
      <c r="O1570" s="50">
        <f>G1570*J1570</f>
        <v/>
      </c>
      <c r="P1570" s="50">
        <f>(J1570-M1570)*G1570</f>
        <v/>
      </c>
      <c r="Q1570" s="51">
        <f>IF(K1570="Received",1,0)</f>
        <v/>
      </c>
      <c r="R1570" s="51">
        <f>IF(Q1570=1,F1570-D1570,0)</f>
        <v/>
      </c>
      <c r="S1570" s="51">
        <f>IF(Q1570=1,IF(F1570&lt;=E1570,1,0),0)</f>
        <v/>
      </c>
      <c r="T1570" s="51">
        <f>IF(Q1570=1,IF(H1570&gt;=G1570,1,0),0)</f>
        <v/>
      </c>
      <c r="U1570" s="51">
        <f>S1570*T1570</f>
        <v/>
      </c>
      <c r="V1570" s="51">
        <f>IF(Q1570=1,MAX(0,F1570-E1570),0)</f>
        <v/>
      </c>
    </row>
    <row r="1571">
      <c r="A1571" s="43" t="inlineStr">
        <is>
          <t>PO101582</t>
        </is>
      </c>
      <c r="B1571" s="43" t="inlineStr">
        <is>
          <t>CMD-0085</t>
        </is>
      </c>
      <c r="C1571" s="43" t="inlineStr">
        <is>
          <t>S06</t>
        </is>
      </c>
      <c r="D1571" s="47" t="n">
        <v>46131</v>
      </c>
      <c r="E1571" s="47" t="n">
        <v>46152</v>
      </c>
      <c r="F1571" s="47" t="n">
        <v>46149</v>
      </c>
      <c r="G1571" s="46" t="n">
        <v>1126</v>
      </c>
      <c r="H1571" s="46" t="n">
        <v>1126</v>
      </c>
      <c r="I1571" s="46" t="n">
        <v>6</v>
      </c>
      <c r="J1571" s="44" t="n">
        <v>10.8768</v>
      </c>
      <c r="K1571" s="43" t="inlineStr">
        <is>
          <t>Received</t>
        </is>
      </c>
      <c r="L1571" s="17">
        <f>INDEX(Items!$C$2:$C$117,MATCH(B1571,Items!$A$2:$A$117,0))</f>
        <v/>
      </c>
      <c r="M1571" s="49">
        <f>INDEX(Items!$E$2:$E$117,MATCH(B1571,Items!$A$2:$A$117,0))</f>
        <v/>
      </c>
      <c r="N1571" s="17">
        <f>TEXT(D1571,"yyyy-mm")</f>
        <v/>
      </c>
      <c r="O1571" s="50">
        <f>G1571*J1571</f>
        <v/>
      </c>
      <c r="P1571" s="50">
        <f>(J1571-M1571)*G1571</f>
        <v/>
      </c>
      <c r="Q1571" s="51">
        <f>IF(K1571="Received",1,0)</f>
        <v/>
      </c>
      <c r="R1571" s="51">
        <f>IF(Q1571=1,F1571-D1571,0)</f>
        <v/>
      </c>
      <c r="S1571" s="51">
        <f>IF(Q1571=1,IF(F1571&lt;=E1571,1,0),0)</f>
        <v/>
      </c>
      <c r="T1571" s="51">
        <f>IF(Q1571=1,IF(H1571&gt;=G1571,1,0),0)</f>
        <v/>
      </c>
      <c r="U1571" s="51">
        <f>S1571*T1571</f>
        <v/>
      </c>
      <c r="V1571" s="51">
        <f>IF(Q1571=1,MAX(0,F1571-E1571),0)</f>
        <v/>
      </c>
    </row>
    <row r="1572">
      <c r="A1572" s="43" t="inlineStr">
        <is>
          <t>PO101886</t>
        </is>
      </c>
      <c r="B1572" s="43" t="inlineStr">
        <is>
          <t>CMD-0102</t>
        </is>
      </c>
      <c r="C1572" s="43" t="inlineStr">
        <is>
          <t>S09</t>
        </is>
      </c>
      <c r="D1572" s="47" t="n">
        <v>46131</v>
      </c>
      <c r="E1572" s="47" t="n">
        <v>46152</v>
      </c>
      <c r="F1572" s="47" t="n">
        <v>46152</v>
      </c>
      <c r="G1572" s="46" t="n">
        <v>2520</v>
      </c>
      <c r="H1572" s="46" t="n">
        <v>2520</v>
      </c>
      <c r="I1572" s="46" t="n">
        <v>7</v>
      </c>
      <c r="J1572" s="44" t="n">
        <v>6.9113</v>
      </c>
      <c r="K1572" s="43" t="inlineStr">
        <is>
          <t>Received</t>
        </is>
      </c>
      <c r="L1572" s="17">
        <f>INDEX(Items!$C$2:$C$117,MATCH(B1572,Items!$A$2:$A$117,0))</f>
        <v/>
      </c>
      <c r="M1572" s="49">
        <f>INDEX(Items!$E$2:$E$117,MATCH(B1572,Items!$A$2:$A$117,0))</f>
        <v/>
      </c>
      <c r="N1572" s="17">
        <f>TEXT(D1572,"yyyy-mm")</f>
        <v/>
      </c>
      <c r="O1572" s="50">
        <f>G1572*J1572</f>
        <v/>
      </c>
      <c r="P1572" s="50">
        <f>(J1572-M1572)*G1572</f>
        <v/>
      </c>
      <c r="Q1572" s="51">
        <f>IF(K1572="Received",1,0)</f>
        <v/>
      </c>
      <c r="R1572" s="51">
        <f>IF(Q1572=1,F1572-D1572,0)</f>
        <v/>
      </c>
      <c r="S1572" s="51">
        <f>IF(Q1572=1,IF(F1572&lt;=E1572,1,0),0)</f>
        <v/>
      </c>
      <c r="T1572" s="51">
        <f>IF(Q1572=1,IF(H1572&gt;=G1572,1,0),0)</f>
        <v/>
      </c>
      <c r="U1572" s="51">
        <f>S1572*T1572</f>
        <v/>
      </c>
      <c r="V1572" s="51">
        <f>IF(Q1572=1,MAX(0,F1572-E1572),0)</f>
        <v/>
      </c>
    </row>
    <row r="1573">
      <c r="A1573" s="43" t="inlineStr">
        <is>
          <t>PO100952</t>
        </is>
      </c>
      <c r="B1573" s="43" t="inlineStr">
        <is>
          <t>CMD-0043</t>
        </is>
      </c>
      <c r="C1573" s="43" t="inlineStr">
        <is>
          <t>S05</t>
        </is>
      </c>
      <c r="D1573" s="47" t="n">
        <v>46131</v>
      </c>
      <c r="E1573" s="47" t="n">
        <v>46236</v>
      </c>
      <c r="F1573" s="47" t="n">
        <v>46240</v>
      </c>
      <c r="G1573" s="46" t="n">
        <v>5031</v>
      </c>
      <c r="H1573" s="46" t="n">
        <v>5031</v>
      </c>
      <c r="I1573" s="46" t="n">
        <v>76</v>
      </c>
      <c r="J1573" s="44" t="n">
        <v>3.8007</v>
      </c>
      <c r="K1573" s="43" t="inlineStr">
        <is>
          <t>Received</t>
        </is>
      </c>
      <c r="L1573" s="17">
        <f>INDEX(Items!$C$2:$C$117,MATCH(B1573,Items!$A$2:$A$117,0))</f>
        <v/>
      </c>
      <c r="M1573" s="49">
        <f>INDEX(Items!$E$2:$E$117,MATCH(B1573,Items!$A$2:$A$117,0))</f>
        <v/>
      </c>
      <c r="N1573" s="17">
        <f>TEXT(D1573,"yyyy-mm")</f>
        <v/>
      </c>
      <c r="O1573" s="50">
        <f>G1573*J1573</f>
        <v/>
      </c>
      <c r="P1573" s="50">
        <f>(J1573-M1573)*G1573</f>
        <v/>
      </c>
      <c r="Q1573" s="51">
        <f>IF(K1573="Received",1,0)</f>
        <v/>
      </c>
      <c r="R1573" s="51">
        <f>IF(Q1573=1,F1573-D1573,0)</f>
        <v/>
      </c>
      <c r="S1573" s="51">
        <f>IF(Q1573=1,IF(F1573&lt;=E1573,1,0),0)</f>
        <v/>
      </c>
      <c r="T1573" s="51">
        <f>IF(Q1573=1,IF(H1573&gt;=G1573,1,0),0)</f>
        <v/>
      </c>
      <c r="U1573" s="51">
        <f>S1573*T1573</f>
        <v/>
      </c>
      <c r="V1573" s="51">
        <f>IF(Q1573=1,MAX(0,F1573-E1573),0)</f>
        <v/>
      </c>
    </row>
    <row r="1574">
      <c r="A1574" s="43" t="inlineStr">
        <is>
          <t>PO101176</t>
        </is>
      </c>
      <c r="B1574" s="43" t="inlineStr">
        <is>
          <t>CMD-0054</t>
        </is>
      </c>
      <c r="C1574" s="43" t="inlineStr">
        <is>
          <t>S10</t>
        </is>
      </c>
      <c r="D1574" s="47" t="n">
        <v>46131</v>
      </c>
      <c r="E1574" s="47" t="n">
        <v>46159</v>
      </c>
      <c r="F1574" s="47" t="n">
        <v>46159</v>
      </c>
      <c r="G1574" s="46" t="n">
        <v>50581</v>
      </c>
      <c r="H1574" s="46" t="n">
        <v>50581</v>
      </c>
      <c r="I1574" s="46" t="n">
        <v>49</v>
      </c>
      <c r="J1574" s="44" t="n">
        <v>0.1738</v>
      </c>
      <c r="K1574" s="43" t="inlineStr">
        <is>
          <t>Received</t>
        </is>
      </c>
      <c r="L1574" s="17">
        <f>INDEX(Items!$C$2:$C$117,MATCH(B1574,Items!$A$2:$A$117,0))</f>
        <v/>
      </c>
      <c r="M1574" s="49">
        <f>INDEX(Items!$E$2:$E$117,MATCH(B1574,Items!$A$2:$A$117,0))</f>
        <v/>
      </c>
      <c r="N1574" s="17">
        <f>TEXT(D1574,"yyyy-mm")</f>
        <v/>
      </c>
      <c r="O1574" s="50">
        <f>G1574*J1574</f>
        <v/>
      </c>
      <c r="P1574" s="50">
        <f>(J1574-M1574)*G1574</f>
        <v/>
      </c>
      <c r="Q1574" s="51">
        <f>IF(K1574="Received",1,0)</f>
        <v/>
      </c>
      <c r="R1574" s="51">
        <f>IF(Q1574=1,F1574-D1574,0)</f>
        <v/>
      </c>
      <c r="S1574" s="51">
        <f>IF(Q1574=1,IF(F1574&lt;=E1574,1,0),0)</f>
        <v/>
      </c>
      <c r="T1574" s="51">
        <f>IF(Q1574=1,IF(H1574&gt;=G1574,1,0),0)</f>
        <v/>
      </c>
      <c r="U1574" s="51">
        <f>S1574*T1574</f>
        <v/>
      </c>
      <c r="V1574" s="51">
        <f>IF(Q1574=1,MAX(0,F1574-E1574),0)</f>
        <v/>
      </c>
    </row>
    <row r="1575">
      <c r="A1575" s="43" t="inlineStr">
        <is>
          <t>PO100860</t>
        </is>
      </c>
      <c r="B1575" s="43" t="inlineStr">
        <is>
          <t>CMD-0038</t>
        </is>
      </c>
      <c r="C1575" s="43" t="inlineStr">
        <is>
          <t>S01</t>
        </is>
      </c>
      <c r="D1575" s="47" t="n">
        <v>46131</v>
      </c>
      <c r="E1575" s="47" t="n">
        <v>46159</v>
      </c>
      <c r="F1575" s="47" t="n">
        <v>46158</v>
      </c>
      <c r="G1575" s="46" t="n">
        <v>994</v>
      </c>
      <c r="H1575" s="46" t="n">
        <v>994</v>
      </c>
      <c r="I1575" s="46" t="n">
        <v>2</v>
      </c>
      <c r="J1575" s="44" t="n">
        <v>22.1347</v>
      </c>
      <c r="K1575" s="43" t="inlineStr">
        <is>
          <t>Received</t>
        </is>
      </c>
      <c r="L1575" s="17">
        <f>INDEX(Items!$C$2:$C$117,MATCH(B1575,Items!$A$2:$A$117,0))</f>
        <v/>
      </c>
      <c r="M1575" s="49">
        <f>INDEX(Items!$E$2:$E$117,MATCH(B1575,Items!$A$2:$A$117,0))</f>
        <v/>
      </c>
      <c r="N1575" s="17">
        <f>TEXT(D1575,"yyyy-mm")</f>
        <v/>
      </c>
      <c r="O1575" s="50">
        <f>G1575*J1575</f>
        <v/>
      </c>
      <c r="P1575" s="50">
        <f>(J1575-M1575)*G1575</f>
        <v/>
      </c>
      <c r="Q1575" s="51">
        <f>IF(K1575="Received",1,0)</f>
        <v/>
      </c>
      <c r="R1575" s="51">
        <f>IF(Q1575=1,F1575-D1575,0)</f>
        <v/>
      </c>
      <c r="S1575" s="51">
        <f>IF(Q1575=1,IF(F1575&lt;=E1575,1,0),0)</f>
        <v/>
      </c>
      <c r="T1575" s="51">
        <f>IF(Q1575=1,IF(H1575&gt;=G1575,1,0),0)</f>
        <v/>
      </c>
      <c r="U1575" s="51">
        <f>S1575*T1575</f>
        <v/>
      </c>
      <c r="V1575" s="51">
        <f>IF(Q1575=1,MAX(0,F1575-E1575),0)</f>
        <v/>
      </c>
    </row>
    <row r="1576">
      <c r="A1576" s="43" t="inlineStr">
        <is>
          <t>PO101838</t>
        </is>
      </c>
      <c r="B1576" s="43" t="inlineStr">
        <is>
          <t>CMD-0100</t>
        </is>
      </c>
      <c r="C1576" s="43" t="inlineStr">
        <is>
          <t>S09</t>
        </is>
      </c>
      <c r="D1576" s="47" t="n">
        <v>46131</v>
      </c>
      <c r="E1576" s="47" t="n">
        <v>46152</v>
      </c>
      <c r="F1576" s="47" t="n">
        <v>46151</v>
      </c>
      <c r="G1576" s="46" t="n">
        <v>7159</v>
      </c>
      <c r="H1576" s="46" t="n">
        <v>7159</v>
      </c>
      <c r="I1576" s="46" t="n">
        <v>18</v>
      </c>
      <c r="J1576" s="44" t="n">
        <v>5.0882</v>
      </c>
      <c r="K1576" s="43" t="inlineStr">
        <is>
          <t>Received</t>
        </is>
      </c>
      <c r="L1576" s="17">
        <f>INDEX(Items!$C$2:$C$117,MATCH(B1576,Items!$A$2:$A$117,0))</f>
        <v/>
      </c>
      <c r="M1576" s="49">
        <f>INDEX(Items!$E$2:$E$117,MATCH(B1576,Items!$A$2:$A$117,0))</f>
        <v/>
      </c>
      <c r="N1576" s="17">
        <f>TEXT(D1576,"yyyy-mm")</f>
        <v/>
      </c>
      <c r="O1576" s="50">
        <f>G1576*J1576</f>
        <v/>
      </c>
      <c r="P1576" s="50">
        <f>(J1576-M1576)*G1576</f>
        <v/>
      </c>
      <c r="Q1576" s="51">
        <f>IF(K1576="Received",1,0)</f>
        <v/>
      </c>
      <c r="R1576" s="51">
        <f>IF(Q1576=1,F1576-D1576,0)</f>
        <v/>
      </c>
      <c r="S1576" s="51">
        <f>IF(Q1576=1,IF(F1576&lt;=E1576,1,0),0)</f>
        <v/>
      </c>
      <c r="T1576" s="51">
        <f>IF(Q1576=1,IF(H1576&gt;=G1576,1,0),0)</f>
        <v/>
      </c>
      <c r="U1576" s="51">
        <f>S1576*T1576</f>
        <v/>
      </c>
      <c r="V1576" s="51">
        <f>IF(Q1576=1,MAX(0,F1576-E1576),0)</f>
        <v/>
      </c>
    </row>
    <row r="1577">
      <c r="A1577" s="43" t="inlineStr">
        <is>
          <t>PO100090</t>
        </is>
      </c>
      <c r="B1577" s="43" t="inlineStr">
        <is>
          <t>CMD-0004</t>
        </is>
      </c>
      <c r="C1577" s="43" t="inlineStr">
        <is>
          <t>S07</t>
        </is>
      </c>
      <c r="D1577" s="47" t="n">
        <v>46131</v>
      </c>
      <c r="E1577" s="47" t="n">
        <v>46222</v>
      </c>
      <c r="F1577" s="47" t="n">
        <v>46222</v>
      </c>
      <c r="G1577" s="46" t="n">
        <v>2588</v>
      </c>
      <c r="H1577" s="46" t="n">
        <v>2588</v>
      </c>
      <c r="I1577" s="46" t="n">
        <v>20</v>
      </c>
      <c r="J1577" s="44" t="n">
        <v>4.779</v>
      </c>
      <c r="K1577" s="43" t="inlineStr">
        <is>
          <t>Received</t>
        </is>
      </c>
      <c r="L1577" s="17">
        <f>INDEX(Items!$C$2:$C$117,MATCH(B1577,Items!$A$2:$A$117,0))</f>
        <v/>
      </c>
      <c r="M1577" s="49">
        <f>INDEX(Items!$E$2:$E$117,MATCH(B1577,Items!$A$2:$A$117,0))</f>
        <v/>
      </c>
      <c r="N1577" s="17">
        <f>TEXT(D1577,"yyyy-mm")</f>
        <v/>
      </c>
      <c r="O1577" s="50">
        <f>G1577*J1577</f>
        <v/>
      </c>
      <c r="P1577" s="50">
        <f>(J1577-M1577)*G1577</f>
        <v/>
      </c>
      <c r="Q1577" s="51">
        <f>IF(K1577="Received",1,0)</f>
        <v/>
      </c>
      <c r="R1577" s="51">
        <f>IF(Q1577=1,F1577-D1577,0)</f>
        <v/>
      </c>
      <c r="S1577" s="51">
        <f>IF(Q1577=1,IF(F1577&lt;=E1577,1,0),0)</f>
        <v/>
      </c>
      <c r="T1577" s="51">
        <f>IF(Q1577=1,IF(H1577&gt;=G1577,1,0),0)</f>
        <v/>
      </c>
      <c r="U1577" s="51">
        <f>S1577*T1577</f>
        <v/>
      </c>
      <c r="V1577" s="51">
        <f>IF(Q1577=1,MAX(0,F1577-E1577),0)</f>
        <v/>
      </c>
    </row>
    <row r="1578">
      <c r="A1578" s="43" t="inlineStr">
        <is>
          <t>PO100634</t>
        </is>
      </c>
      <c r="B1578" s="43" t="inlineStr">
        <is>
          <t>CMD-0028</t>
        </is>
      </c>
      <c r="C1578" s="43" t="inlineStr">
        <is>
          <t>S11</t>
        </is>
      </c>
      <c r="D1578" s="47" t="n">
        <v>46132</v>
      </c>
      <c r="E1578" s="47" t="n">
        <v>46209</v>
      </c>
      <c r="F1578" s="47" t="n">
        <v>46207</v>
      </c>
      <c r="G1578" s="46" t="n">
        <v>3533</v>
      </c>
      <c r="H1578" s="46" t="n">
        <v>3533</v>
      </c>
      <c r="I1578" s="46" t="n">
        <v>11</v>
      </c>
      <c r="J1578" s="44" t="n">
        <v>16.3152</v>
      </c>
      <c r="K1578" s="43" t="inlineStr">
        <is>
          <t>Received</t>
        </is>
      </c>
      <c r="L1578" s="17">
        <f>INDEX(Items!$C$2:$C$117,MATCH(B1578,Items!$A$2:$A$117,0))</f>
        <v/>
      </c>
      <c r="M1578" s="49">
        <f>INDEX(Items!$E$2:$E$117,MATCH(B1578,Items!$A$2:$A$117,0))</f>
        <v/>
      </c>
      <c r="N1578" s="17">
        <f>TEXT(D1578,"yyyy-mm")</f>
        <v/>
      </c>
      <c r="O1578" s="50">
        <f>G1578*J1578</f>
        <v/>
      </c>
      <c r="P1578" s="50">
        <f>(J1578-M1578)*G1578</f>
        <v/>
      </c>
      <c r="Q1578" s="51">
        <f>IF(K1578="Received",1,0)</f>
        <v/>
      </c>
      <c r="R1578" s="51">
        <f>IF(Q1578=1,F1578-D1578,0)</f>
        <v/>
      </c>
      <c r="S1578" s="51">
        <f>IF(Q1578=1,IF(F1578&lt;=E1578,1,0),0)</f>
        <v/>
      </c>
      <c r="T1578" s="51">
        <f>IF(Q1578=1,IF(H1578&gt;=G1578,1,0),0)</f>
        <v/>
      </c>
      <c r="U1578" s="51">
        <f>S1578*T1578</f>
        <v/>
      </c>
      <c r="V1578" s="51">
        <f>IF(Q1578=1,MAX(0,F1578-E1578),0)</f>
        <v/>
      </c>
    </row>
    <row r="1579">
      <c r="A1579" s="43" t="inlineStr">
        <is>
          <t>PO100448</t>
        </is>
      </c>
      <c r="B1579" s="43" t="inlineStr">
        <is>
          <t>CMD-0020</t>
        </is>
      </c>
      <c r="C1579" s="43" t="inlineStr">
        <is>
          <t>S04</t>
        </is>
      </c>
      <c r="D1579" s="47" t="n">
        <v>46132</v>
      </c>
      <c r="E1579" s="47" t="n">
        <v>46202</v>
      </c>
      <c r="F1579" s="47" t="n">
        <v>46214</v>
      </c>
      <c r="G1579" s="46" t="n">
        <v>3727</v>
      </c>
      <c r="H1579" s="46" t="n">
        <v>3727</v>
      </c>
      <c r="I1579" s="46" t="n">
        <v>37</v>
      </c>
      <c r="J1579" s="44" t="n">
        <v>5.1809</v>
      </c>
      <c r="K1579" s="43" t="inlineStr">
        <is>
          <t>Received</t>
        </is>
      </c>
      <c r="L1579" s="17">
        <f>INDEX(Items!$C$2:$C$117,MATCH(B1579,Items!$A$2:$A$117,0))</f>
        <v/>
      </c>
      <c r="M1579" s="49">
        <f>INDEX(Items!$E$2:$E$117,MATCH(B1579,Items!$A$2:$A$117,0))</f>
        <v/>
      </c>
      <c r="N1579" s="17">
        <f>TEXT(D1579,"yyyy-mm")</f>
        <v/>
      </c>
      <c r="O1579" s="50">
        <f>G1579*J1579</f>
        <v/>
      </c>
      <c r="P1579" s="50">
        <f>(J1579-M1579)*G1579</f>
        <v/>
      </c>
      <c r="Q1579" s="51">
        <f>IF(K1579="Received",1,0)</f>
        <v/>
      </c>
      <c r="R1579" s="51">
        <f>IF(Q1579=1,F1579-D1579,0)</f>
        <v/>
      </c>
      <c r="S1579" s="51">
        <f>IF(Q1579=1,IF(F1579&lt;=E1579,1,0),0)</f>
        <v/>
      </c>
      <c r="T1579" s="51">
        <f>IF(Q1579=1,IF(H1579&gt;=G1579,1,0),0)</f>
        <v/>
      </c>
      <c r="U1579" s="51">
        <f>S1579*T1579</f>
        <v/>
      </c>
      <c r="V1579" s="51">
        <f>IF(Q1579=1,MAX(0,F1579-E1579),0)</f>
        <v/>
      </c>
    </row>
    <row r="1580">
      <c r="A1580" s="43" t="inlineStr">
        <is>
          <t>PO100358</t>
        </is>
      </c>
      <c r="B1580" s="43" t="inlineStr">
        <is>
          <t>CMD-0016</t>
        </is>
      </c>
      <c r="C1580" s="43" t="inlineStr">
        <is>
          <t>S07</t>
        </is>
      </c>
      <c r="D1580" s="47" t="n">
        <v>46132</v>
      </c>
      <c r="E1580" s="47" t="n">
        <v>46223</v>
      </c>
      <c r="F1580" s="47" t="n">
        <v>46223</v>
      </c>
      <c r="G1580" s="46" t="n">
        <v>8125</v>
      </c>
      <c r="H1580" s="46" t="n">
        <v>8125</v>
      </c>
      <c r="I1580" s="46" t="n">
        <v>76</v>
      </c>
      <c r="J1580" s="44" t="n">
        <v>31.8836</v>
      </c>
      <c r="K1580" s="43" t="inlineStr">
        <is>
          <t>Received</t>
        </is>
      </c>
      <c r="L1580" s="17">
        <f>INDEX(Items!$C$2:$C$117,MATCH(B1580,Items!$A$2:$A$117,0))</f>
        <v/>
      </c>
      <c r="M1580" s="49">
        <f>INDEX(Items!$E$2:$E$117,MATCH(B1580,Items!$A$2:$A$117,0))</f>
        <v/>
      </c>
      <c r="N1580" s="17">
        <f>TEXT(D1580,"yyyy-mm")</f>
        <v/>
      </c>
      <c r="O1580" s="50">
        <f>G1580*J1580</f>
        <v/>
      </c>
      <c r="P1580" s="50">
        <f>(J1580-M1580)*G1580</f>
        <v/>
      </c>
      <c r="Q1580" s="51">
        <f>IF(K1580="Received",1,0)</f>
        <v/>
      </c>
      <c r="R1580" s="51">
        <f>IF(Q1580=1,F1580-D1580,0)</f>
        <v/>
      </c>
      <c r="S1580" s="51">
        <f>IF(Q1580=1,IF(F1580&lt;=E1580,1,0),0)</f>
        <v/>
      </c>
      <c r="T1580" s="51">
        <f>IF(Q1580=1,IF(H1580&gt;=G1580,1,0),0)</f>
        <v/>
      </c>
      <c r="U1580" s="51">
        <f>S1580*T1580</f>
        <v/>
      </c>
      <c r="V1580" s="51">
        <f>IF(Q1580=1,MAX(0,F1580-E1580),0)</f>
        <v/>
      </c>
    </row>
    <row r="1581">
      <c r="A1581" s="43" t="inlineStr">
        <is>
          <t>PO101246</t>
        </is>
      </c>
      <c r="B1581" s="43" t="inlineStr">
        <is>
          <t>CMD-0058</t>
        </is>
      </c>
      <c r="C1581" s="43" t="inlineStr">
        <is>
          <t>S04</t>
        </is>
      </c>
      <c r="D1581" s="47" t="n">
        <v>46133</v>
      </c>
      <c r="E1581" s="47" t="n">
        <v>46168</v>
      </c>
      <c r="F1581" s="47" t="n">
        <v>46166</v>
      </c>
      <c r="G1581" s="46" t="n">
        <v>59383</v>
      </c>
      <c r="H1581" s="46" t="n">
        <v>59383</v>
      </c>
      <c r="I1581" s="46" t="n">
        <v>592</v>
      </c>
      <c r="J1581" s="44" t="n">
        <v>0.1213</v>
      </c>
      <c r="K1581" s="43" t="inlineStr">
        <is>
          <t>Received</t>
        </is>
      </c>
      <c r="L1581" s="17">
        <f>INDEX(Items!$C$2:$C$117,MATCH(B1581,Items!$A$2:$A$117,0))</f>
        <v/>
      </c>
      <c r="M1581" s="49">
        <f>INDEX(Items!$E$2:$E$117,MATCH(B1581,Items!$A$2:$A$117,0))</f>
        <v/>
      </c>
      <c r="N1581" s="17">
        <f>TEXT(D1581,"yyyy-mm")</f>
        <v/>
      </c>
      <c r="O1581" s="50">
        <f>G1581*J1581</f>
        <v/>
      </c>
      <c r="P1581" s="50">
        <f>(J1581-M1581)*G1581</f>
        <v/>
      </c>
      <c r="Q1581" s="51">
        <f>IF(K1581="Received",1,0)</f>
        <v/>
      </c>
      <c r="R1581" s="51">
        <f>IF(Q1581=1,F1581-D1581,0)</f>
        <v/>
      </c>
      <c r="S1581" s="51">
        <f>IF(Q1581=1,IF(F1581&lt;=E1581,1,0),0)</f>
        <v/>
      </c>
      <c r="T1581" s="51">
        <f>IF(Q1581=1,IF(H1581&gt;=G1581,1,0),0)</f>
        <v/>
      </c>
      <c r="U1581" s="51">
        <f>S1581*T1581</f>
        <v/>
      </c>
      <c r="V1581" s="51">
        <f>IF(Q1581=1,MAX(0,F1581-E1581),0)</f>
        <v/>
      </c>
    </row>
    <row r="1582">
      <c r="A1582" s="43" t="inlineStr">
        <is>
          <t>PO100258</t>
        </is>
      </c>
      <c r="B1582" s="43" t="inlineStr">
        <is>
          <t>CMD-0011</t>
        </is>
      </c>
      <c r="C1582" s="43" t="inlineStr">
        <is>
          <t>S07</t>
        </is>
      </c>
      <c r="D1582" s="47" t="n">
        <v>46133</v>
      </c>
      <c r="E1582" s="47" t="n">
        <v>46224</v>
      </c>
      <c r="F1582" s="47" t="n">
        <v>46242</v>
      </c>
      <c r="G1582" s="46" t="n">
        <v>3377</v>
      </c>
      <c r="H1582" s="46" t="n">
        <v>3377</v>
      </c>
      <c r="I1582" s="46" t="n">
        <v>29</v>
      </c>
      <c r="J1582" s="44" t="n">
        <v>9.5344</v>
      </c>
      <c r="K1582" s="43" t="inlineStr">
        <is>
          <t>Received</t>
        </is>
      </c>
      <c r="L1582" s="17">
        <f>INDEX(Items!$C$2:$C$117,MATCH(B1582,Items!$A$2:$A$117,0))</f>
        <v/>
      </c>
      <c r="M1582" s="49">
        <f>INDEX(Items!$E$2:$E$117,MATCH(B1582,Items!$A$2:$A$117,0))</f>
        <v/>
      </c>
      <c r="N1582" s="17">
        <f>TEXT(D1582,"yyyy-mm")</f>
        <v/>
      </c>
      <c r="O1582" s="50">
        <f>G1582*J1582</f>
        <v/>
      </c>
      <c r="P1582" s="50">
        <f>(J1582-M1582)*G1582</f>
        <v/>
      </c>
      <c r="Q1582" s="51">
        <f>IF(K1582="Received",1,0)</f>
        <v/>
      </c>
      <c r="R1582" s="51">
        <f>IF(Q1582=1,F1582-D1582,0)</f>
        <v/>
      </c>
      <c r="S1582" s="51">
        <f>IF(Q1582=1,IF(F1582&lt;=E1582,1,0),0)</f>
        <v/>
      </c>
      <c r="T1582" s="51">
        <f>IF(Q1582=1,IF(H1582&gt;=G1582,1,0),0)</f>
        <v/>
      </c>
      <c r="U1582" s="51">
        <f>S1582*T1582</f>
        <v/>
      </c>
      <c r="V1582" s="51">
        <f>IF(Q1582=1,MAX(0,F1582-E1582),0)</f>
        <v/>
      </c>
    </row>
    <row r="1583">
      <c r="A1583" s="43" t="inlineStr">
        <is>
          <t>PO100310</t>
        </is>
      </c>
      <c r="B1583" s="43" t="inlineStr">
        <is>
          <t>CMD-0014</t>
        </is>
      </c>
      <c r="C1583" s="43" t="inlineStr">
        <is>
          <t>S03</t>
        </is>
      </c>
      <c r="D1583" s="47" t="n">
        <v>46133</v>
      </c>
      <c r="E1583" s="47" t="n">
        <v>46266</v>
      </c>
      <c r="F1583" s="47" t="n">
        <v>46286</v>
      </c>
      <c r="G1583" s="46" t="n">
        <v>4747</v>
      </c>
      <c r="H1583" s="46" t="n">
        <v>4747</v>
      </c>
      <c r="I1583" s="46" t="n">
        <v>31</v>
      </c>
      <c r="J1583" s="44" t="n">
        <v>14.8916</v>
      </c>
      <c r="K1583" s="43" t="inlineStr">
        <is>
          <t>Received</t>
        </is>
      </c>
      <c r="L1583" s="17">
        <f>INDEX(Items!$C$2:$C$117,MATCH(B1583,Items!$A$2:$A$117,0))</f>
        <v/>
      </c>
      <c r="M1583" s="49">
        <f>INDEX(Items!$E$2:$E$117,MATCH(B1583,Items!$A$2:$A$117,0))</f>
        <v/>
      </c>
      <c r="N1583" s="17">
        <f>TEXT(D1583,"yyyy-mm")</f>
        <v/>
      </c>
      <c r="O1583" s="50">
        <f>G1583*J1583</f>
        <v/>
      </c>
      <c r="P1583" s="50">
        <f>(J1583-M1583)*G1583</f>
        <v/>
      </c>
      <c r="Q1583" s="51">
        <f>IF(K1583="Received",1,0)</f>
        <v/>
      </c>
      <c r="R1583" s="51">
        <f>IF(Q1583=1,F1583-D1583,0)</f>
        <v/>
      </c>
      <c r="S1583" s="51">
        <f>IF(Q1583=1,IF(F1583&lt;=E1583,1,0),0)</f>
        <v/>
      </c>
      <c r="T1583" s="51">
        <f>IF(Q1583=1,IF(H1583&gt;=G1583,1,0),0)</f>
        <v/>
      </c>
      <c r="U1583" s="51">
        <f>S1583*T1583</f>
        <v/>
      </c>
      <c r="V1583" s="51">
        <f>IF(Q1583=1,MAX(0,F1583-E1583),0)</f>
        <v/>
      </c>
    </row>
    <row r="1584">
      <c r="A1584" s="43" t="inlineStr">
        <is>
          <t>PO100138</t>
        </is>
      </c>
      <c r="B1584" s="43" t="inlineStr">
        <is>
          <t>CMD-0006</t>
        </is>
      </c>
      <c r="C1584" s="43" t="inlineStr">
        <is>
          <t>S03</t>
        </is>
      </c>
      <c r="D1584" s="47" t="n">
        <v>46133</v>
      </c>
      <c r="E1584" s="47" t="n">
        <v>46266</v>
      </c>
      <c r="F1584" s="47" t="n">
        <v>46284</v>
      </c>
      <c r="G1584" s="46" t="n">
        <v>714</v>
      </c>
      <c r="H1584" s="46" t="n">
        <v>714</v>
      </c>
      <c r="I1584" s="46" t="n">
        <v>5</v>
      </c>
      <c r="J1584" s="44" t="n">
        <v>36.049</v>
      </c>
      <c r="K1584" s="43" t="inlineStr">
        <is>
          <t>Received</t>
        </is>
      </c>
      <c r="L1584" s="17">
        <f>INDEX(Items!$C$2:$C$117,MATCH(B1584,Items!$A$2:$A$117,0))</f>
        <v/>
      </c>
      <c r="M1584" s="49">
        <f>INDEX(Items!$E$2:$E$117,MATCH(B1584,Items!$A$2:$A$117,0))</f>
        <v/>
      </c>
      <c r="N1584" s="17">
        <f>TEXT(D1584,"yyyy-mm")</f>
        <v/>
      </c>
      <c r="O1584" s="50">
        <f>G1584*J1584</f>
        <v/>
      </c>
      <c r="P1584" s="50">
        <f>(J1584-M1584)*G1584</f>
        <v/>
      </c>
      <c r="Q1584" s="51">
        <f>IF(K1584="Received",1,0)</f>
        <v/>
      </c>
      <c r="R1584" s="51">
        <f>IF(Q1584=1,F1584-D1584,0)</f>
        <v/>
      </c>
      <c r="S1584" s="51">
        <f>IF(Q1584=1,IF(F1584&lt;=E1584,1,0),0)</f>
        <v/>
      </c>
      <c r="T1584" s="51">
        <f>IF(Q1584=1,IF(H1584&gt;=G1584,1,0),0)</f>
        <v/>
      </c>
      <c r="U1584" s="51">
        <f>S1584*T1584</f>
        <v/>
      </c>
      <c r="V1584" s="51">
        <f>IF(Q1584=1,MAX(0,F1584-E1584),0)</f>
        <v/>
      </c>
    </row>
    <row r="1585">
      <c r="A1585" s="43" t="inlineStr">
        <is>
          <t>PO101100</t>
        </is>
      </c>
      <c r="B1585" s="43" t="inlineStr">
        <is>
          <t>CMD-0050</t>
        </is>
      </c>
      <c r="C1585" s="43" t="inlineStr">
        <is>
          <t>S10</t>
        </is>
      </c>
      <c r="D1585" s="47" t="n">
        <v>46133</v>
      </c>
      <c r="E1585" s="47" t="n">
        <v>46161</v>
      </c>
      <c r="F1585" s="47" t="n">
        <v>46159</v>
      </c>
      <c r="G1585" s="46" t="n">
        <v>83609</v>
      </c>
      <c r="H1585" s="46" t="n">
        <v>83609</v>
      </c>
      <c r="I1585" s="46" t="n">
        <v>98</v>
      </c>
      <c r="J1585" s="44" t="n">
        <v>0.0772</v>
      </c>
      <c r="K1585" s="43" t="inlineStr">
        <is>
          <t>Received</t>
        </is>
      </c>
      <c r="L1585" s="17">
        <f>INDEX(Items!$C$2:$C$117,MATCH(B1585,Items!$A$2:$A$117,0))</f>
        <v/>
      </c>
      <c r="M1585" s="49">
        <f>INDEX(Items!$E$2:$E$117,MATCH(B1585,Items!$A$2:$A$117,0))</f>
        <v/>
      </c>
      <c r="N1585" s="17">
        <f>TEXT(D1585,"yyyy-mm")</f>
        <v/>
      </c>
      <c r="O1585" s="50">
        <f>G1585*J1585</f>
        <v/>
      </c>
      <c r="P1585" s="50">
        <f>(J1585-M1585)*G1585</f>
        <v/>
      </c>
      <c r="Q1585" s="51">
        <f>IF(K1585="Received",1,0)</f>
        <v/>
      </c>
      <c r="R1585" s="51">
        <f>IF(Q1585=1,F1585-D1585,0)</f>
        <v/>
      </c>
      <c r="S1585" s="51">
        <f>IF(Q1585=1,IF(F1585&lt;=E1585,1,0),0)</f>
        <v/>
      </c>
      <c r="T1585" s="51">
        <f>IF(Q1585=1,IF(H1585&gt;=G1585,1,0),0)</f>
        <v/>
      </c>
      <c r="U1585" s="51">
        <f>S1585*T1585</f>
        <v/>
      </c>
      <c r="V1585" s="51">
        <f>IF(Q1585=1,MAX(0,F1585-E1585),0)</f>
        <v/>
      </c>
    </row>
    <row r="1586">
      <c r="A1586" s="43" t="inlineStr">
        <is>
          <t>PO100406</t>
        </is>
      </c>
      <c r="B1586" s="43" t="inlineStr">
        <is>
          <t>CMD-0018</t>
        </is>
      </c>
      <c r="C1586" s="43" t="inlineStr">
        <is>
          <t>S02</t>
        </is>
      </c>
      <c r="D1586" s="47" t="n">
        <v>46133</v>
      </c>
      <c r="E1586" s="47" t="n">
        <v>46189</v>
      </c>
      <c r="F1586" s="47" t="n">
        <v>46199</v>
      </c>
      <c r="G1586" s="46" t="n">
        <v>6623</v>
      </c>
      <c r="H1586" s="46" t="n">
        <v>6623</v>
      </c>
      <c r="I1586" s="46" t="n">
        <v>25</v>
      </c>
      <c r="J1586" s="44" t="n">
        <v>39.0576</v>
      </c>
      <c r="K1586" s="43" t="inlineStr">
        <is>
          <t>Received</t>
        </is>
      </c>
      <c r="L1586" s="17">
        <f>INDEX(Items!$C$2:$C$117,MATCH(B1586,Items!$A$2:$A$117,0))</f>
        <v/>
      </c>
      <c r="M1586" s="49">
        <f>INDEX(Items!$E$2:$E$117,MATCH(B1586,Items!$A$2:$A$117,0))</f>
        <v/>
      </c>
      <c r="N1586" s="17">
        <f>TEXT(D1586,"yyyy-mm")</f>
        <v/>
      </c>
      <c r="O1586" s="50">
        <f>G1586*J1586</f>
        <v/>
      </c>
      <c r="P1586" s="50">
        <f>(J1586-M1586)*G1586</f>
        <v/>
      </c>
      <c r="Q1586" s="51">
        <f>IF(K1586="Received",1,0)</f>
        <v/>
      </c>
      <c r="R1586" s="51">
        <f>IF(Q1586=1,F1586-D1586,0)</f>
        <v/>
      </c>
      <c r="S1586" s="51">
        <f>IF(Q1586=1,IF(F1586&lt;=E1586,1,0),0)</f>
        <v/>
      </c>
      <c r="T1586" s="51">
        <f>IF(Q1586=1,IF(H1586&gt;=G1586,1,0),0)</f>
        <v/>
      </c>
      <c r="U1586" s="51">
        <f>S1586*T1586</f>
        <v/>
      </c>
      <c r="V1586" s="51">
        <f>IF(Q1586=1,MAX(0,F1586-E1586),0)</f>
        <v/>
      </c>
    </row>
    <row r="1587">
      <c r="A1587" s="43" t="inlineStr">
        <is>
          <t>PO101522</t>
        </is>
      </c>
      <c r="B1587" s="43" t="inlineStr">
        <is>
          <t>CMD-0080</t>
        </is>
      </c>
      <c r="C1587" s="43" t="inlineStr">
        <is>
          <t>S06</t>
        </is>
      </c>
      <c r="D1587" s="47" t="n">
        <v>46133</v>
      </c>
      <c r="E1587" s="47" t="n">
        <v>46154</v>
      </c>
      <c r="F1587" s="47" t="n">
        <v>46153</v>
      </c>
      <c r="G1587" s="46" t="n">
        <v>4061</v>
      </c>
      <c r="H1587" s="46" t="n">
        <v>4061</v>
      </c>
      <c r="I1587" s="46" t="n">
        <v>15</v>
      </c>
      <c r="J1587" s="44" t="n">
        <v>5.6959</v>
      </c>
      <c r="K1587" s="43" t="inlineStr">
        <is>
          <t>Received</t>
        </is>
      </c>
      <c r="L1587" s="17">
        <f>INDEX(Items!$C$2:$C$117,MATCH(B1587,Items!$A$2:$A$117,0))</f>
        <v/>
      </c>
      <c r="M1587" s="49">
        <f>INDEX(Items!$E$2:$E$117,MATCH(B1587,Items!$A$2:$A$117,0))</f>
        <v/>
      </c>
      <c r="N1587" s="17">
        <f>TEXT(D1587,"yyyy-mm")</f>
        <v/>
      </c>
      <c r="O1587" s="50">
        <f>G1587*J1587</f>
        <v/>
      </c>
      <c r="P1587" s="50">
        <f>(J1587-M1587)*G1587</f>
        <v/>
      </c>
      <c r="Q1587" s="51">
        <f>IF(K1587="Received",1,0)</f>
        <v/>
      </c>
      <c r="R1587" s="51">
        <f>IF(Q1587=1,F1587-D1587,0)</f>
        <v/>
      </c>
      <c r="S1587" s="51">
        <f>IF(Q1587=1,IF(F1587&lt;=E1587,1,0),0)</f>
        <v/>
      </c>
      <c r="T1587" s="51">
        <f>IF(Q1587=1,IF(H1587&gt;=G1587,1,0),0)</f>
        <v/>
      </c>
      <c r="U1587" s="51">
        <f>S1587*T1587</f>
        <v/>
      </c>
      <c r="V1587" s="51">
        <f>IF(Q1587=1,MAX(0,F1587-E1587),0)</f>
        <v/>
      </c>
    </row>
    <row r="1588">
      <c r="A1588" s="43" t="inlineStr">
        <is>
          <t>PO100018</t>
        </is>
      </c>
      <c r="B1588" s="43" t="inlineStr">
        <is>
          <t>CMD-0001</t>
        </is>
      </c>
      <c r="C1588" s="43" t="inlineStr">
        <is>
          <t>S07</t>
        </is>
      </c>
      <c r="D1588" s="47" t="n">
        <v>46133</v>
      </c>
      <c r="E1588" s="47" t="n">
        <v>46224</v>
      </c>
      <c r="F1588" s="47" t="n">
        <v>46224</v>
      </c>
      <c r="G1588" s="46" t="n">
        <v>8277</v>
      </c>
      <c r="H1588" s="46" t="n">
        <v>8277</v>
      </c>
      <c r="I1588" s="46" t="n">
        <v>55</v>
      </c>
      <c r="J1588" s="44" t="n">
        <v>16.8268</v>
      </c>
      <c r="K1588" s="43" t="inlineStr">
        <is>
          <t>Received</t>
        </is>
      </c>
      <c r="L1588" s="17">
        <f>INDEX(Items!$C$2:$C$117,MATCH(B1588,Items!$A$2:$A$117,0))</f>
        <v/>
      </c>
      <c r="M1588" s="49">
        <f>INDEX(Items!$E$2:$E$117,MATCH(B1588,Items!$A$2:$A$117,0))</f>
        <v/>
      </c>
      <c r="N1588" s="17">
        <f>TEXT(D1588,"yyyy-mm")</f>
        <v/>
      </c>
      <c r="O1588" s="50">
        <f>G1588*J1588</f>
        <v/>
      </c>
      <c r="P1588" s="50">
        <f>(J1588-M1588)*G1588</f>
        <v/>
      </c>
      <c r="Q1588" s="51">
        <f>IF(K1588="Received",1,0)</f>
        <v/>
      </c>
      <c r="R1588" s="51">
        <f>IF(Q1588=1,F1588-D1588,0)</f>
        <v/>
      </c>
      <c r="S1588" s="51">
        <f>IF(Q1588=1,IF(F1588&lt;=E1588,1,0),0)</f>
        <v/>
      </c>
      <c r="T1588" s="51">
        <f>IF(Q1588=1,IF(H1588&gt;=G1588,1,0),0)</f>
        <v/>
      </c>
      <c r="U1588" s="51">
        <f>S1588*T1588</f>
        <v/>
      </c>
      <c r="V1588" s="51">
        <f>IF(Q1588=1,MAX(0,F1588-E1588),0)</f>
        <v/>
      </c>
    </row>
    <row r="1589">
      <c r="A1589" s="43" t="inlineStr">
        <is>
          <t>PO101357</t>
        </is>
      </c>
      <c r="B1589" s="43" t="inlineStr">
        <is>
          <t>CMD-0068</t>
        </is>
      </c>
      <c r="C1589" s="43" t="inlineStr">
        <is>
          <t>S01</t>
        </is>
      </c>
      <c r="D1589" s="47" t="n">
        <v>46136</v>
      </c>
      <c r="E1589" s="47" t="n">
        <v>46157</v>
      </c>
      <c r="F1589" s="47" t="n">
        <v>46156</v>
      </c>
      <c r="G1589" s="46" t="n">
        <v>36495</v>
      </c>
      <c r="H1589" s="46" t="n">
        <v>36495</v>
      </c>
      <c r="I1589" s="46" t="n">
        <v>67</v>
      </c>
      <c r="J1589" s="44" t="n">
        <v>0.1609</v>
      </c>
      <c r="K1589" s="43" t="inlineStr">
        <is>
          <t>Received</t>
        </is>
      </c>
      <c r="L1589" s="17">
        <f>INDEX(Items!$C$2:$C$117,MATCH(B1589,Items!$A$2:$A$117,0))</f>
        <v/>
      </c>
      <c r="M1589" s="49">
        <f>INDEX(Items!$E$2:$E$117,MATCH(B1589,Items!$A$2:$A$117,0))</f>
        <v/>
      </c>
      <c r="N1589" s="17">
        <f>TEXT(D1589,"yyyy-mm")</f>
        <v/>
      </c>
      <c r="O1589" s="50">
        <f>G1589*J1589</f>
        <v/>
      </c>
      <c r="P1589" s="50">
        <f>(J1589-M1589)*G1589</f>
        <v/>
      </c>
      <c r="Q1589" s="51">
        <f>IF(K1589="Received",1,0)</f>
        <v/>
      </c>
      <c r="R1589" s="51">
        <f>IF(Q1589=1,F1589-D1589,0)</f>
        <v/>
      </c>
      <c r="S1589" s="51">
        <f>IF(Q1589=1,IF(F1589&lt;=E1589,1,0),0)</f>
        <v/>
      </c>
      <c r="T1589" s="51">
        <f>IF(Q1589=1,IF(H1589&gt;=G1589,1,0),0)</f>
        <v/>
      </c>
      <c r="U1589" s="51">
        <f>S1589*T1589</f>
        <v/>
      </c>
      <c r="V1589" s="51">
        <f>IF(Q1589=1,MAX(0,F1589-E1589),0)</f>
        <v/>
      </c>
    </row>
    <row r="1590">
      <c r="A1590" s="43" t="inlineStr">
        <is>
          <t>PO101270</t>
        </is>
      </c>
      <c r="B1590" s="43" t="inlineStr">
        <is>
          <t>CMD-0060</t>
        </is>
      </c>
      <c r="C1590" s="43" t="inlineStr">
        <is>
          <t>S04</t>
        </is>
      </c>
      <c r="D1590" s="47" t="n">
        <v>46138</v>
      </c>
      <c r="E1590" s="47" t="n">
        <v>46173</v>
      </c>
      <c r="F1590" s="47" t="n">
        <v>46170</v>
      </c>
      <c r="G1590" s="46" t="n">
        <v>406432</v>
      </c>
      <c r="H1590" s="46" t="n">
        <v>406432</v>
      </c>
      <c r="I1590" s="46" t="n">
        <v>4010</v>
      </c>
      <c r="J1590" s="44" t="n">
        <v>0.014</v>
      </c>
      <c r="K1590" s="43" t="inlineStr">
        <is>
          <t>Received</t>
        </is>
      </c>
      <c r="L1590" s="17">
        <f>INDEX(Items!$C$2:$C$117,MATCH(B1590,Items!$A$2:$A$117,0))</f>
        <v/>
      </c>
      <c r="M1590" s="49">
        <f>INDEX(Items!$E$2:$E$117,MATCH(B1590,Items!$A$2:$A$117,0))</f>
        <v/>
      </c>
      <c r="N1590" s="17">
        <f>TEXT(D1590,"yyyy-mm")</f>
        <v/>
      </c>
      <c r="O1590" s="50">
        <f>G1590*J1590</f>
        <v/>
      </c>
      <c r="P1590" s="50">
        <f>(J1590-M1590)*G1590</f>
        <v/>
      </c>
      <c r="Q1590" s="51">
        <f>IF(K1590="Received",1,0)</f>
        <v/>
      </c>
      <c r="R1590" s="51">
        <f>IF(Q1590=1,F1590-D1590,0)</f>
        <v/>
      </c>
      <c r="S1590" s="51">
        <f>IF(Q1590=1,IF(F1590&lt;=E1590,1,0),0)</f>
        <v/>
      </c>
      <c r="T1590" s="51">
        <f>IF(Q1590=1,IF(H1590&gt;=G1590,1,0),0)</f>
        <v/>
      </c>
      <c r="U1590" s="51">
        <f>S1590*T1590</f>
        <v/>
      </c>
      <c r="V1590" s="51">
        <f>IF(Q1590=1,MAX(0,F1590-E1590),0)</f>
        <v/>
      </c>
    </row>
    <row r="1591">
      <c r="A1591" s="43" t="inlineStr">
        <is>
          <t>PO101430</t>
        </is>
      </c>
      <c r="B1591" s="43" t="inlineStr">
        <is>
          <t>CMD-0076</t>
        </is>
      </c>
      <c r="C1591" s="43" t="inlineStr">
        <is>
          <t>S04</t>
        </is>
      </c>
      <c r="D1591" s="47" t="n">
        <v>46139</v>
      </c>
      <c r="E1591" s="47" t="n">
        <v>46174</v>
      </c>
      <c r="F1591" s="47" t="n">
        <v>46173</v>
      </c>
      <c r="G1591" s="46" t="n">
        <v>372723</v>
      </c>
      <c r="H1591" s="46" t="n">
        <v>372723</v>
      </c>
      <c r="I1591" s="46" t="n">
        <v>3872</v>
      </c>
      <c r="J1591" s="44" t="n">
        <v>0.0149</v>
      </c>
      <c r="K1591" s="43" t="inlineStr">
        <is>
          <t>Received</t>
        </is>
      </c>
      <c r="L1591" s="17">
        <f>INDEX(Items!$C$2:$C$117,MATCH(B1591,Items!$A$2:$A$117,0))</f>
        <v/>
      </c>
      <c r="M1591" s="49">
        <f>INDEX(Items!$E$2:$E$117,MATCH(B1591,Items!$A$2:$A$117,0))</f>
        <v/>
      </c>
      <c r="N1591" s="17">
        <f>TEXT(D1591,"yyyy-mm")</f>
        <v/>
      </c>
      <c r="O1591" s="50">
        <f>G1591*J1591</f>
        <v/>
      </c>
      <c r="P1591" s="50">
        <f>(J1591-M1591)*G1591</f>
        <v/>
      </c>
      <c r="Q1591" s="51">
        <f>IF(K1591="Received",1,0)</f>
        <v/>
      </c>
      <c r="R1591" s="51">
        <f>IF(Q1591=1,F1591-D1591,0)</f>
        <v/>
      </c>
      <c r="S1591" s="51">
        <f>IF(Q1591=1,IF(F1591&lt;=E1591,1,0),0)</f>
        <v/>
      </c>
      <c r="T1591" s="51">
        <f>IF(Q1591=1,IF(H1591&gt;=G1591,1,0),0)</f>
        <v/>
      </c>
      <c r="U1591" s="51">
        <f>S1591*T1591</f>
        <v/>
      </c>
      <c r="V1591" s="51">
        <f>IF(Q1591=1,MAX(0,F1591-E1591),0)</f>
        <v/>
      </c>
    </row>
    <row r="1592">
      <c r="A1592" s="43" t="inlineStr">
        <is>
          <t>PO101988</t>
        </is>
      </c>
      <c r="B1592" s="43" t="inlineStr">
        <is>
          <t>CMD-0110</t>
        </is>
      </c>
      <c r="C1592" s="43" t="inlineStr">
        <is>
          <t>S12</t>
        </is>
      </c>
      <c r="D1592" s="47" t="n">
        <v>46139</v>
      </c>
      <c r="E1592" s="47" t="n">
        <v>46146</v>
      </c>
      <c r="F1592" s="47" t="n">
        <v>46144</v>
      </c>
      <c r="G1592" s="46" t="n">
        <v>21519</v>
      </c>
      <c r="H1592" s="46" t="n">
        <v>21519</v>
      </c>
      <c r="I1592" s="46" t="n">
        <v>23</v>
      </c>
      <c r="J1592" s="44" t="n">
        <v>0.1978</v>
      </c>
      <c r="K1592" s="43" t="inlineStr">
        <is>
          <t>Received</t>
        </is>
      </c>
      <c r="L1592" s="17">
        <f>INDEX(Items!$C$2:$C$117,MATCH(B1592,Items!$A$2:$A$117,0))</f>
        <v/>
      </c>
      <c r="M1592" s="49">
        <f>INDEX(Items!$E$2:$E$117,MATCH(B1592,Items!$A$2:$A$117,0))</f>
        <v/>
      </c>
      <c r="N1592" s="17">
        <f>TEXT(D1592,"yyyy-mm")</f>
        <v/>
      </c>
      <c r="O1592" s="50">
        <f>G1592*J1592</f>
        <v/>
      </c>
      <c r="P1592" s="50">
        <f>(J1592-M1592)*G1592</f>
        <v/>
      </c>
      <c r="Q1592" s="51">
        <f>IF(K1592="Received",1,0)</f>
        <v/>
      </c>
      <c r="R1592" s="51">
        <f>IF(Q1592=1,F1592-D1592,0)</f>
        <v/>
      </c>
      <c r="S1592" s="51">
        <f>IF(Q1592=1,IF(F1592&lt;=E1592,1,0),0)</f>
        <v/>
      </c>
      <c r="T1592" s="51">
        <f>IF(Q1592=1,IF(H1592&gt;=G1592,1,0),0)</f>
        <v/>
      </c>
      <c r="U1592" s="51">
        <f>S1592*T1592</f>
        <v/>
      </c>
      <c r="V1592" s="51">
        <f>IF(Q1592=1,MAX(0,F1592-E1592),0)</f>
        <v/>
      </c>
    </row>
    <row r="1593">
      <c r="A1593" s="43" t="inlineStr">
        <is>
          <t>PO101818</t>
        </is>
      </c>
      <c r="B1593" s="43" t="inlineStr">
        <is>
          <t>CMD-0099</t>
        </is>
      </c>
      <c r="C1593" s="43" t="inlineStr">
        <is>
          <t>S09</t>
        </is>
      </c>
      <c r="D1593" s="47" t="n">
        <v>46140</v>
      </c>
      <c r="E1593" s="47" t="n">
        <v>46161</v>
      </c>
      <c r="F1593" s="47" t="n">
        <v>46160</v>
      </c>
      <c r="G1593" s="46" t="n">
        <v>2358</v>
      </c>
      <c r="H1593" s="46" t="n">
        <v>2358</v>
      </c>
      <c r="I1593" s="46" t="n">
        <v>12</v>
      </c>
      <c r="J1593" s="44" t="n">
        <v>2.3896</v>
      </c>
      <c r="K1593" s="43" t="inlineStr">
        <is>
          <t>Received</t>
        </is>
      </c>
      <c r="L1593" s="17">
        <f>INDEX(Items!$C$2:$C$117,MATCH(B1593,Items!$A$2:$A$117,0))</f>
        <v/>
      </c>
      <c r="M1593" s="49">
        <f>INDEX(Items!$E$2:$E$117,MATCH(B1593,Items!$A$2:$A$117,0))</f>
        <v/>
      </c>
      <c r="N1593" s="17">
        <f>TEXT(D1593,"yyyy-mm")</f>
        <v/>
      </c>
      <c r="O1593" s="50">
        <f>G1593*J1593</f>
        <v/>
      </c>
      <c r="P1593" s="50">
        <f>(J1593-M1593)*G1593</f>
        <v/>
      </c>
      <c r="Q1593" s="51">
        <f>IF(K1593="Received",1,0)</f>
        <v/>
      </c>
      <c r="R1593" s="51">
        <f>IF(Q1593=1,F1593-D1593,0)</f>
        <v/>
      </c>
      <c r="S1593" s="51">
        <f>IF(Q1593=1,IF(F1593&lt;=E1593,1,0),0)</f>
        <v/>
      </c>
      <c r="T1593" s="51">
        <f>IF(Q1593=1,IF(H1593&gt;=G1593,1,0),0)</f>
        <v/>
      </c>
      <c r="U1593" s="51">
        <f>S1593*T1593</f>
        <v/>
      </c>
      <c r="V1593" s="51">
        <f>IF(Q1593=1,MAX(0,F1593-E1593),0)</f>
        <v/>
      </c>
    </row>
    <row r="1594">
      <c r="A1594" s="43" t="inlineStr">
        <is>
          <t>PO101904</t>
        </is>
      </c>
      <c r="B1594" s="43" t="inlineStr">
        <is>
          <t>CMD-0103</t>
        </is>
      </c>
      <c r="C1594" s="43" t="inlineStr">
        <is>
          <t>S09</t>
        </is>
      </c>
      <c r="D1594" s="47" t="n">
        <v>46141</v>
      </c>
      <c r="E1594" s="47" t="n">
        <v>46162</v>
      </c>
      <c r="F1594" s="47" t="n">
        <v>46162</v>
      </c>
      <c r="G1594" s="46" t="n">
        <v>1366</v>
      </c>
      <c r="H1594" s="46" t="n">
        <v>1366</v>
      </c>
      <c r="I1594" s="46" t="n">
        <v>4</v>
      </c>
      <c r="J1594" s="44" t="n">
        <v>4.3054</v>
      </c>
      <c r="K1594" s="43" t="inlineStr">
        <is>
          <t>Received</t>
        </is>
      </c>
      <c r="L1594" s="17">
        <f>INDEX(Items!$C$2:$C$117,MATCH(B1594,Items!$A$2:$A$117,0))</f>
        <v/>
      </c>
      <c r="M1594" s="49">
        <f>INDEX(Items!$E$2:$E$117,MATCH(B1594,Items!$A$2:$A$117,0))</f>
        <v/>
      </c>
      <c r="N1594" s="17">
        <f>TEXT(D1594,"yyyy-mm")</f>
        <v/>
      </c>
      <c r="O1594" s="50">
        <f>G1594*J1594</f>
        <v/>
      </c>
      <c r="P1594" s="50">
        <f>(J1594-M1594)*G1594</f>
        <v/>
      </c>
      <c r="Q1594" s="51">
        <f>IF(K1594="Received",1,0)</f>
        <v/>
      </c>
      <c r="R1594" s="51">
        <f>IF(Q1594=1,F1594-D1594,0)</f>
        <v/>
      </c>
      <c r="S1594" s="51">
        <f>IF(Q1594=1,IF(F1594&lt;=E1594,1,0),0)</f>
        <v/>
      </c>
      <c r="T1594" s="51">
        <f>IF(Q1594=1,IF(H1594&gt;=G1594,1,0),0)</f>
        <v/>
      </c>
      <c r="U1594" s="51">
        <f>S1594*T1594</f>
        <v/>
      </c>
      <c r="V1594" s="51">
        <f>IF(Q1594=1,MAX(0,F1594-E1594),0)</f>
        <v/>
      </c>
    </row>
    <row r="1595">
      <c r="A1595" s="43" t="inlineStr">
        <is>
          <t>PO101998</t>
        </is>
      </c>
      <c r="B1595" s="43" t="inlineStr">
        <is>
          <t>CMD-0112</t>
        </is>
      </c>
      <c r="C1595" s="43" t="inlineStr">
        <is>
          <t>S12</t>
        </is>
      </c>
      <c r="D1595" s="47" t="n">
        <v>46141</v>
      </c>
      <c r="E1595" s="47" t="n">
        <v>46148</v>
      </c>
      <c r="F1595" s="47" t="n">
        <v>46146</v>
      </c>
      <c r="G1595" s="46" t="n">
        <v>3325</v>
      </c>
      <c r="H1595" s="46" t="n">
        <v>3325</v>
      </c>
      <c r="I1595" s="46" t="n">
        <v>4</v>
      </c>
      <c r="J1595" s="44" t="n">
        <v>2.4617</v>
      </c>
      <c r="K1595" s="43" t="inlineStr">
        <is>
          <t>Received</t>
        </is>
      </c>
      <c r="L1595" s="17">
        <f>INDEX(Items!$C$2:$C$117,MATCH(B1595,Items!$A$2:$A$117,0))</f>
        <v/>
      </c>
      <c r="M1595" s="49">
        <f>INDEX(Items!$E$2:$E$117,MATCH(B1595,Items!$A$2:$A$117,0))</f>
        <v/>
      </c>
      <c r="N1595" s="17">
        <f>TEXT(D1595,"yyyy-mm")</f>
        <v/>
      </c>
      <c r="O1595" s="50">
        <f>G1595*J1595</f>
        <v/>
      </c>
      <c r="P1595" s="50">
        <f>(J1595-M1595)*G1595</f>
        <v/>
      </c>
      <c r="Q1595" s="51">
        <f>IF(K1595="Received",1,0)</f>
        <v/>
      </c>
      <c r="R1595" s="51">
        <f>IF(Q1595=1,F1595-D1595,0)</f>
        <v/>
      </c>
      <c r="S1595" s="51">
        <f>IF(Q1595=1,IF(F1595&lt;=E1595,1,0),0)</f>
        <v/>
      </c>
      <c r="T1595" s="51">
        <f>IF(Q1595=1,IF(H1595&gt;=G1595,1,0),0)</f>
        <v/>
      </c>
      <c r="U1595" s="51">
        <f>S1595*T1595</f>
        <v/>
      </c>
      <c r="V1595" s="51">
        <f>IF(Q1595=1,MAX(0,F1595-E1595),0)</f>
        <v/>
      </c>
    </row>
    <row r="1596">
      <c r="A1596" s="43" t="inlineStr">
        <is>
          <t>PO101340</t>
        </is>
      </c>
      <c r="B1596" s="43" t="inlineStr">
        <is>
          <t>CMD-0067</t>
        </is>
      </c>
      <c r="C1596" s="43" t="inlineStr">
        <is>
          <t>S04</t>
        </is>
      </c>
      <c r="D1596" s="47" t="n">
        <v>46141</v>
      </c>
      <c r="E1596" s="47" t="n">
        <v>46176</v>
      </c>
      <c r="F1596" s="47" t="n">
        <v>46175</v>
      </c>
      <c r="G1596" s="46" t="n">
        <v>14748</v>
      </c>
      <c r="H1596" s="46" t="n">
        <v>14748</v>
      </c>
      <c r="I1596" s="46" t="n">
        <v>134</v>
      </c>
      <c r="J1596" s="44" t="n">
        <v>0.3535</v>
      </c>
      <c r="K1596" s="43" t="inlineStr">
        <is>
          <t>Received</t>
        </is>
      </c>
      <c r="L1596" s="17">
        <f>INDEX(Items!$C$2:$C$117,MATCH(B1596,Items!$A$2:$A$117,0))</f>
        <v/>
      </c>
      <c r="M1596" s="49">
        <f>INDEX(Items!$E$2:$E$117,MATCH(B1596,Items!$A$2:$A$117,0))</f>
        <v/>
      </c>
      <c r="N1596" s="17">
        <f>TEXT(D1596,"yyyy-mm")</f>
        <v/>
      </c>
      <c r="O1596" s="50">
        <f>G1596*J1596</f>
        <v/>
      </c>
      <c r="P1596" s="50">
        <f>(J1596-M1596)*G1596</f>
        <v/>
      </c>
      <c r="Q1596" s="51">
        <f>IF(K1596="Received",1,0)</f>
        <v/>
      </c>
      <c r="R1596" s="51">
        <f>IF(Q1596=1,F1596-D1596,0)</f>
        <v/>
      </c>
      <c r="S1596" s="51">
        <f>IF(Q1596=1,IF(F1596&lt;=E1596,1,0),0)</f>
        <v/>
      </c>
      <c r="T1596" s="51">
        <f>IF(Q1596=1,IF(H1596&gt;=G1596,1,0),0)</f>
        <v/>
      </c>
      <c r="U1596" s="51">
        <f>S1596*T1596</f>
        <v/>
      </c>
      <c r="V1596" s="51">
        <f>IF(Q1596=1,MAX(0,F1596-E1596),0)</f>
        <v/>
      </c>
    </row>
    <row r="1597">
      <c r="A1597" s="43" t="inlineStr">
        <is>
          <t>PO101080</t>
        </is>
      </c>
      <c r="B1597" s="43" t="inlineStr">
        <is>
          <t>CMD-0049</t>
        </is>
      </c>
      <c r="C1597" s="43" t="inlineStr">
        <is>
          <t>S10</t>
        </is>
      </c>
      <c r="D1597" s="47" t="n">
        <v>46141</v>
      </c>
      <c r="E1597" s="47" t="n">
        <v>46169</v>
      </c>
      <c r="F1597" s="47" t="n">
        <v>46169</v>
      </c>
      <c r="G1597" s="46" t="n">
        <v>45291</v>
      </c>
      <c r="H1597" s="46" t="n">
        <v>45291</v>
      </c>
      <c r="I1597" s="46" t="n">
        <v>49</v>
      </c>
      <c r="J1597" s="44" t="n">
        <v>0.1088</v>
      </c>
      <c r="K1597" s="43" t="inlineStr">
        <is>
          <t>Received</t>
        </is>
      </c>
      <c r="L1597" s="17">
        <f>INDEX(Items!$C$2:$C$117,MATCH(B1597,Items!$A$2:$A$117,0))</f>
        <v/>
      </c>
      <c r="M1597" s="49">
        <f>INDEX(Items!$E$2:$E$117,MATCH(B1597,Items!$A$2:$A$117,0))</f>
        <v/>
      </c>
      <c r="N1597" s="17">
        <f>TEXT(D1597,"yyyy-mm")</f>
        <v/>
      </c>
      <c r="O1597" s="50">
        <f>G1597*J1597</f>
        <v/>
      </c>
      <c r="P1597" s="50">
        <f>(J1597-M1597)*G1597</f>
        <v/>
      </c>
      <c r="Q1597" s="51">
        <f>IF(K1597="Received",1,0)</f>
        <v/>
      </c>
      <c r="R1597" s="51">
        <f>IF(Q1597=1,F1597-D1597,0)</f>
        <v/>
      </c>
      <c r="S1597" s="51">
        <f>IF(Q1597=1,IF(F1597&lt;=E1597,1,0),0)</f>
        <v/>
      </c>
      <c r="T1597" s="51">
        <f>IF(Q1597=1,IF(H1597&gt;=G1597,1,0),0)</f>
        <v/>
      </c>
      <c r="U1597" s="51">
        <f>S1597*T1597</f>
        <v/>
      </c>
      <c r="V1597" s="51">
        <f>IF(Q1597=1,MAX(0,F1597-E1597),0)</f>
        <v/>
      </c>
    </row>
    <row r="1598">
      <c r="A1598" s="43" t="inlineStr">
        <is>
          <t>PO101912</t>
        </is>
      </c>
      <c r="B1598" s="43" t="inlineStr">
        <is>
          <t>CMD-0104</t>
        </is>
      </c>
      <c r="C1598" s="43" t="inlineStr">
        <is>
          <t>S09</t>
        </is>
      </c>
      <c r="D1598" s="47" t="n">
        <v>46143</v>
      </c>
      <c r="E1598" s="47" t="n">
        <v>46164</v>
      </c>
      <c r="F1598" s="47" t="n">
        <v>46161</v>
      </c>
      <c r="G1598" s="46" t="n">
        <v>3894</v>
      </c>
      <c r="H1598" s="46" t="n">
        <v>3894</v>
      </c>
      <c r="I1598" s="46" t="n">
        <v>12</v>
      </c>
      <c r="J1598" s="44" t="n">
        <v>1.4832</v>
      </c>
      <c r="K1598" s="43" t="inlineStr">
        <is>
          <t>Received</t>
        </is>
      </c>
      <c r="L1598" s="17">
        <f>INDEX(Items!$C$2:$C$117,MATCH(B1598,Items!$A$2:$A$117,0))</f>
        <v/>
      </c>
      <c r="M1598" s="49">
        <f>INDEX(Items!$E$2:$E$117,MATCH(B1598,Items!$A$2:$A$117,0))</f>
        <v/>
      </c>
      <c r="N1598" s="17">
        <f>TEXT(D1598,"yyyy-mm")</f>
        <v/>
      </c>
      <c r="O1598" s="50">
        <f>G1598*J1598</f>
        <v/>
      </c>
      <c r="P1598" s="50">
        <f>(J1598-M1598)*G1598</f>
        <v/>
      </c>
      <c r="Q1598" s="51">
        <f>IF(K1598="Received",1,0)</f>
        <v/>
      </c>
      <c r="R1598" s="51">
        <f>IF(Q1598=1,F1598-D1598,0)</f>
        <v/>
      </c>
      <c r="S1598" s="51">
        <f>IF(Q1598=1,IF(F1598&lt;=E1598,1,0),0)</f>
        <v/>
      </c>
      <c r="T1598" s="51">
        <f>IF(Q1598=1,IF(H1598&gt;=G1598,1,0),0)</f>
        <v/>
      </c>
      <c r="U1598" s="51">
        <f>S1598*T1598</f>
        <v/>
      </c>
      <c r="V1598" s="51">
        <f>IF(Q1598=1,MAX(0,F1598-E1598),0)</f>
        <v/>
      </c>
    </row>
    <row r="1599">
      <c r="A1599" s="43" t="inlineStr">
        <is>
          <t>PO101424</t>
        </is>
      </c>
      <c r="B1599" s="43" t="inlineStr">
        <is>
          <t>CMD-0075</t>
        </is>
      </c>
      <c r="C1599" s="43" t="inlineStr">
        <is>
          <t>S10</t>
        </is>
      </c>
      <c r="D1599" s="47" t="n">
        <v>46144</v>
      </c>
      <c r="E1599" s="47" t="n">
        <v>46172</v>
      </c>
      <c r="F1599" s="47" t="n">
        <v>46172</v>
      </c>
      <c r="G1599" s="46" t="n">
        <v>410017</v>
      </c>
      <c r="H1599" s="46" t="n">
        <v>410017</v>
      </c>
      <c r="I1599" s="46" t="n">
        <v>401</v>
      </c>
      <c r="J1599" s="44" t="n">
        <v>0.0157</v>
      </c>
      <c r="K1599" s="43" t="inlineStr">
        <is>
          <t>Received</t>
        </is>
      </c>
      <c r="L1599" s="17">
        <f>INDEX(Items!$C$2:$C$117,MATCH(B1599,Items!$A$2:$A$117,0))</f>
        <v/>
      </c>
      <c r="M1599" s="49">
        <f>INDEX(Items!$E$2:$E$117,MATCH(B1599,Items!$A$2:$A$117,0))</f>
        <v/>
      </c>
      <c r="N1599" s="17">
        <f>TEXT(D1599,"yyyy-mm")</f>
        <v/>
      </c>
      <c r="O1599" s="50">
        <f>G1599*J1599</f>
        <v/>
      </c>
      <c r="P1599" s="50">
        <f>(J1599-M1599)*G1599</f>
        <v/>
      </c>
      <c r="Q1599" s="51">
        <f>IF(K1599="Received",1,0)</f>
        <v/>
      </c>
      <c r="R1599" s="51">
        <f>IF(Q1599=1,F1599-D1599,0)</f>
        <v/>
      </c>
      <c r="S1599" s="51">
        <f>IF(Q1599=1,IF(F1599&lt;=E1599,1,0),0)</f>
        <v/>
      </c>
      <c r="T1599" s="51">
        <f>IF(Q1599=1,IF(H1599&gt;=G1599,1,0),0)</f>
        <v/>
      </c>
      <c r="U1599" s="51">
        <f>S1599*T1599</f>
        <v/>
      </c>
      <c r="V1599" s="51">
        <f>IF(Q1599=1,MAX(0,F1599-E1599),0)</f>
        <v/>
      </c>
    </row>
    <row r="1600">
      <c r="A1600" s="43" t="inlineStr">
        <is>
          <t>PO101047</t>
        </is>
      </c>
      <c r="B1600" s="43" t="inlineStr">
        <is>
          <t>CMD-0047</t>
        </is>
      </c>
      <c r="C1600" s="43" t="inlineStr">
        <is>
          <t>S04</t>
        </is>
      </c>
      <c r="D1600" s="47" t="n">
        <v>46145</v>
      </c>
      <c r="E1600" s="47" t="n">
        <v>46180</v>
      </c>
      <c r="F1600" s="47" t="n">
        <v>46178</v>
      </c>
      <c r="G1600" s="46" t="n">
        <v>18086</v>
      </c>
      <c r="H1600" s="46" t="n">
        <v>18086</v>
      </c>
      <c r="I1600" s="46" t="n">
        <v>158</v>
      </c>
      <c r="J1600" s="44" t="n">
        <v>0.3049</v>
      </c>
      <c r="K1600" s="43" t="inlineStr">
        <is>
          <t>Received</t>
        </is>
      </c>
      <c r="L1600" s="17">
        <f>INDEX(Items!$C$2:$C$117,MATCH(B1600,Items!$A$2:$A$117,0))</f>
        <v/>
      </c>
      <c r="M1600" s="49">
        <f>INDEX(Items!$E$2:$E$117,MATCH(B1600,Items!$A$2:$A$117,0))</f>
        <v/>
      </c>
      <c r="N1600" s="17">
        <f>TEXT(D1600,"yyyy-mm")</f>
        <v/>
      </c>
      <c r="O1600" s="50">
        <f>G1600*J1600</f>
        <v/>
      </c>
      <c r="P1600" s="50">
        <f>(J1600-M1600)*G1600</f>
        <v/>
      </c>
      <c r="Q1600" s="51">
        <f>IF(K1600="Received",1,0)</f>
        <v/>
      </c>
      <c r="R1600" s="51">
        <f>IF(Q1600=1,F1600-D1600,0)</f>
        <v/>
      </c>
      <c r="S1600" s="51">
        <f>IF(Q1600=1,IF(F1600&lt;=E1600,1,0),0)</f>
        <v/>
      </c>
      <c r="T1600" s="51">
        <f>IF(Q1600=1,IF(H1600&gt;=G1600,1,0),0)</f>
        <v/>
      </c>
      <c r="U1600" s="51">
        <f>S1600*T1600</f>
        <v/>
      </c>
      <c r="V1600" s="51">
        <f>IF(Q1600=1,MAX(0,F1600-E1600),0)</f>
        <v/>
      </c>
    </row>
    <row r="1601">
      <c r="A1601" s="43" t="inlineStr">
        <is>
          <t>PO100718</t>
        </is>
      </c>
      <c r="B1601" s="43" t="inlineStr">
        <is>
          <t>CMD-0032</t>
        </is>
      </c>
      <c r="C1601" s="43" t="inlineStr">
        <is>
          <t>S01</t>
        </is>
      </c>
      <c r="D1601" s="47" t="n">
        <v>46145</v>
      </c>
      <c r="E1601" s="47" t="n">
        <v>46173</v>
      </c>
      <c r="F1601" s="47" t="n">
        <v>46170</v>
      </c>
      <c r="G1601" s="46" t="n">
        <v>1160</v>
      </c>
      <c r="H1601" s="46" t="n">
        <v>1160</v>
      </c>
      <c r="I1601" s="46" t="n">
        <v>1</v>
      </c>
      <c r="J1601" s="44" t="n">
        <v>5.3045</v>
      </c>
      <c r="K1601" s="43" t="inlineStr">
        <is>
          <t>Received</t>
        </is>
      </c>
      <c r="L1601" s="17">
        <f>INDEX(Items!$C$2:$C$117,MATCH(B1601,Items!$A$2:$A$117,0))</f>
        <v/>
      </c>
      <c r="M1601" s="49">
        <f>INDEX(Items!$E$2:$E$117,MATCH(B1601,Items!$A$2:$A$117,0))</f>
        <v/>
      </c>
      <c r="N1601" s="17">
        <f>TEXT(D1601,"yyyy-mm")</f>
        <v/>
      </c>
      <c r="O1601" s="50">
        <f>G1601*J1601</f>
        <v/>
      </c>
      <c r="P1601" s="50">
        <f>(J1601-M1601)*G1601</f>
        <v/>
      </c>
      <c r="Q1601" s="51">
        <f>IF(K1601="Received",1,0)</f>
        <v/>
      </c>
      <c r="R1601" s="51">
        <f>IF(Q1601=1,F1601-D1601,0)</f>
        <v/>
      </c>
      <c r="S1601" s="51">
        <f>IF(Q1601=1,IF(F1601&lt;=E1601,1,0),0)</f>
        <v/>
      </c>
      <c r="T1601" s="51">
        <f>IF(Q1601=1,IF(H1601&gt;=G1601,1,0),0)</f>
        <v/>
      </c>
      <c r="U1601" s="51">
        <f>S1601*T1601</f>
        <v/>
      </c>
      <c r="V1601" s="51">
        <f>IF(Q1601=1,MAX(0,F1601-E1601),0)</f>
        <v/>
      </c>
    </row>
    <row r="1602">
      <c r="A1602" s="43" t="inlineStr">
        <is>
          <t>PO101800</t>
        </is>
      </c>
      <c r="B1602" s="43" t="inlineStr">
        <is>
          <t>CMD-0097</t>
        </is>
      </c>
      <c r="C1602" s="43" t="inlineStr">
        <is>
          <t>S09</t>
        </is>
      </c>
      <c r="D1602" s="47" t="n">
        <v>46154</v>
      </c>
      <c r="E1602" s="47" t="n">
        <v>46175</v>
      </c>
      <c r="F1602" s="47" t="n">
        <v>46172</v>
      </c>
      <c r="G1602" s="46" t="n">
        <v>629</v>
      </c>
      <c r="H1602" s="46" t="n">
        <v>629</v>
      </c>
      <c r="I1602" s="46" t="n">
        <v>2</v>
      </c>
      <c r="J1602" s="44" t="n">
        <v>9.5481</v>
      </c>
      <c r="K1602" s="43" t="inlineStr">
        <is>
          <t>Received</t>
        </is>
      </c>
      <c r="L1602" s="17">
        <f>INDEX(Items!$C$2:$C$117,MATCH(B1602,Items!$A$2:$A$117,0))</f>
        <v/>
      </c>
      <c r="M1602" s="49">
        <f>INDEX(Items!$E$2:$E$117,MATCH(B1602,Items!$A$2:$A$117,0))</f>
        <v/>
      </c>
      <c r="N1602" s="17">
        <f>TEXT(D1602,"yyyy-mm")</f>
        <v/>
      </c>
      <c r="O1602" s="50">
        <f>G1602*J1602</f>
        <v/>
      </c>
      <c r="P1602" s="50">
        <f>(J1602-M1602)*G1602</f>
        <v/>
      </c>
      <c r="Q1602" s="51">
        <f>IF(K1602="Received",1,0)</f>
        <v/>
      </c>
      <c r="R1602" s="51">
        <f>IF(Q1602=1,F1602-D1602,0)</f>
        <v/>
      </c>
      <c r="S1602" s="51">
        <f>IF(Q1602=1,IF(F1602&lt;=E1602,1,0),0)</f>
        <v/>
      </c>
      <c r="T1602" s="51">
        <f>IF(Q1602=1,IF(H1602&gt;=G1602,1,0),0)</f>
        <v/>
      </c>
      <c r="U1602" s="51">
        <f>S1602*T1602</f>
        <v/>
      </c>
      <c r="V1602" s="51">
        <f>IF(Q1602=1,MAX(0,F1602-E1602),0)</f>
        <v/>
      </c>
    </row>
    <row r="1603">
      <c r="A1603" s="43" t="inlineStr">
        <is>
          <t>PO100702</t>
        </is>
      </c>
      <c r="B1603" s="43" t="inlineStr">
        <is>
          <t>CMD-0031</t>
        </is>
      </c>
      <c r="C1603" s="43" t="inlineStr">
        <is>
          <t>S01</t>
        </is>
      </c>
      <c r="D1603" s="47" t="n">
        <v>46154</v>
      </c>
      <c r="E1603" s="47" t="n">
        <v>46182</v>
      </c>
      <c r="F1603" s="47" t="n">
        <v>46180</v>
      </c>
      <c r="G1603" s="46" t="n">
        <v>616</v>
      </c>
      <c r="H1603" s="46" t="n">
        <v>616</v>
      </c>
      <c r="I1603" s="46" t="n">
        <v>1</v>
      </c>
      <c r="J1603" s="44" t="n">
        <v>9.980700000000001</v>
      </c>
      <c r="K1603" s="43" t="inlineStr">
        <is>
          <t>Received</t>
        </is>
      </c>
      <c r="L1603" s="17">
        <f>INDEX(Items!$C$2:$C$117,MATCH(B1603,Items!$A$2:$A$117,0))</f>
        <v/>
      </c>
      <c r="M1603" s="49">
        <f>INDEX(Items!$E$2:$E$117,MATCH(B1603,Items!$A$2:$A$117,0))</f>
        <v/>
      </c>
      <c r="N1603" s="17">
        <f>TEXT(D1603,"yyyy-mm")</f>
        <v/>
      </c>
      <c r="O1603" s="50">
        <f>G1603*J1603</f>
        <v/>
      </c>
      <c r="P1603" s="50">
        <f>(J1603-M1603)*G1603</f>
        <v/>
      </c>
      <c r="Q1603" s="51">
        <f>IF(K1603="Received",1,0)</f>
        <v/>
      </c>
      <c r="R1603" s="51">
        <f>IF(Q1603=1,F1603-D1603,0)</f>
        <v/>
      </c>
      <c r="S1603" s="51">
        <f>IF(Q1603=1,IF(F1603&lt;=E1603,1,0),0)</f>
        <v/>
      </c>
      <c r="T1603" s="51">
        <f>IF(Q1603=1,IF(H1603&gt;=G1603,1,0),0)</f>
        <v/>
      </c>
      <c r="U1603" s="51">
        <f>S1603*T1603</f>
        <v/>
      </c>
      <c r="V1603" s="51">
        <f>IF(Q1603=1,MAX(0,F1603-E1603),0)</f>
        <v/>
      </c>
    </row>
    <row r="1604">
      <c r="A1604" s="43" t="inlineStr">
        <is>
          <t>PO102013</t>
        </is>
      </c>
      <c r="B1604" s="43" t="inlineStr">
        <is>
          <t>CMD-0114</t>
        </is>
      </c>
      <c r="C1604" s="43" t="inlineStr">
        <is>
          <t>S12</t>
        </is>
      </c>
      <c r="D1604" s="47" t="n">
        <v>46155</v>
      </c>
      <c r="E1604" s="47" t="n">
        <v>46162</v>
      </c>
      <c r="F1604" s="47" t="n">
        <v>46159</v>
      </c>
      <c r="G1604" s="46" t="n">
        <v>16413</v>
      </c>
      <c r="H1604" s="46" t="n">
        <v>16413</v>
      </c>
      <c r="I1604" s="46" t="n">
        <v>18</v>
      </c>
      <c r="J1604" s="44" t="n">
        <v>0.3534</v>
      </c>
      <c r="K1604" s="43" t="inlineStr">
        <is>
          <t>Received</t>
        </is>
      </c>
      <c r="L1604" s="17">
        <f>INDEX(Items!$C$2:$C$117,MATCH(B1604,Items!$A$2:$A$117,0))</f>
        <v/>
      </c>
      <c r="M1604" s="49">
        <f>INDEX(Items!$E$2:$E$117,MATCH(B1604,Items!$A$2:$A$117,0))</f>
        <v/>
      </c>
      <c r="N1604" s="17">
        <f>TEXT(D1604,"yyyy-mm")</f>
        <v/>
      </c>
      <c r="O1604" s="50">
        <f>G1604*J1604</f>
        <v/>
      </c>
      <c r="P1604" s="50">
        <f>(J1604-M1604)*G1604</f>
        <v/>
      </c>
      <c r="Q1604" s="51">
        <f>IF(K1604="Received",1,0)</f>
        <v/>
      </c>
      <c r="R1604" s="51">
        <f>IF(Q1604=1,F1604-D1604,0)</f>
        <v/>
      </c>
      <c r="S1604" s="51">
        <f>IF(Q1604=1,IF(F1604&lt;=E1604,1,0),0)</f>
        <v/>
      </c>
      <c r="T1604" s="51">
        <f>IF(Q1604=1,IF(H1604&gt;=G1604,1,0),0)</f>
        <v/>
      </c>
      <c r="U1604" s="51">
        <f>S1604*T1604</f>
        <v/>
      </c>
      <c r="V1604" s="51">
        <f>IF(Q1604=1,MAX(0,F1604-E1604),0)</f>
        <v/>
      </c>
    </row>
    <row r="1605">
      <c r="A1605" s="43" t="inlineStr">
        <is>
          <t>PO100468</t>
        </is>
      </c>
      <c r="B1605" s="43" t="inlineStr">
        <is>
          <t>CMD-0021</t>
        </is>
      </c>
      <c r="C1605" s="43" t="inlineStr">
        <is>
          <t>S04</t>
        </is>
      </c>
      <c r="D1605" s="47" t="n">
        <v>46155</v>
      </c>
      <c r="E1605" s="47" t="n">
        <v>46225</v>
      </c>
      <c r="F1605" s="47" t="n">
        <v>46223</v>
      </c>
      <c r="G1605" s="46" t="n">
        <v>1250</v>
      </c>
      <c r="H1605" s="46" t="n">
        <v>1250</v>
      </c>
      <c r="I1605" s="46" t="n">
        <v>11</v>
      </c>
      <c r="J1605" s="44" t="n">
        <v>5.0882</v>
      </c>
      <c r="K1605" s="43" t="inlineStr">
        <is>
          <t>Received</t>
        </is>
      </c>
      <c r="L1605" s="17">
        <f>INDEX(Items!$C$2:$C$117,MATCH(B1605,Items!$A$2:$A$117,0))</f>
        <v/>
      </c>
      <c r="M1605" s="49">
        <f>INDEX(Items!$E$2:$E$117,MATCH(B1605,Items!$A$2:$A$117,0))</f>
        <v/>
      </c>
      <c r="N1605" s="17">
        <f>TEXT(D1605,"yyyy-mm")</f>
        <v/>
      </c>
      <c r="O1605" s="50">
        <f>G1605*J1605</f>
        <v/>
      </c>
      <c r="P1605" s="50">
        <f>(J1605-M1605)*G1605</f>
        <v/>
      </c>
      <c r="Q1605" s="51">
        <f>IF(K1605="Received",1,0)</f>
        <v/>
      </c>
      <c r="R1605" s="51">
        <f>IF(Q1605=1,F1605-D1605,0)</f>
        <v/>
      </c>
      <c r="S1605" s="51">
        <f>IF(Q1605=1,IF(F1605&lt;=E1605,1,0),0)</f>
        <v/>
      </c>
      <c r="T1605" s="51">
        <f>IF(Q1605=1,IF(H1605&gt;=G1605,1,0),0)</f>
        <v/>
      </c>
      <c r="U1605" s="51">
        <f>S1605*T1605</f>
        <v/>
      </c>
      <c r="V1605" s="51">
        <f>IF(Q1605=1,MAX(0,F1605-E1605),0)</f>
        <v/>
      </c>
    </row>
    <row r="1606">
      <c r="A1606" s="43" t="inlineStr">
        <is>
          <t>PO100426</t>
        </is>
      </c>
      <c r="B1606" s="43" t="inlineStr">
        <is>
          <t>CMD-0019</t>
        </is>
      </c>
      <c r="C1606" s="43" t="inlineStr">
        <is>
          <t>S11</t>
        </is>
      </c>
      <c r="D1606" s="47" t="n">
        <v>46156</v>
      </c>
      <c r="E1606" s="47" t="n">
        <v>46233</v>
      </c>
      <c r="F1606" s="47" t="n">
        <v>46232</v>
      </c>
      <c r="G1606" s="46" t="n">
        <v>958</v>
      </c>
      <c r="H1606" s="46" t="n">
        <v>958</v>
      </c>
      <c r="I1606" s="46" t="n">
        <v>1</v>
      </c>
      <c r="J1606" s="44" t="n">
        <v>7.4675</v>
      </c>
      <c r="K1606" s="43" t="inlineStr">
        <is>
          <t>Received</t>
        </is>
      </c>
      <c r="L1606" s="17">
        <f>INDEX(Items!$C$2:$C$117,MATCH(B1606,Items!$A$2:$A$117,0))</f>
        <v/>
      </c>
      <c r="M1606" s="49">
        <f>INDEX(Items!$E$2:$E$117,MATCH(B1606,Items!$A$2:$A$117,0))</f>
        <v/>
      </c>
      <c r="N1606" s="17">
        <f>TEXT(D1606,"yyyy-mm")</f>
        <v/>
      </c>
      <c r="O1606" s="50">
        <f>G1606*J1606</f>
        <v/>
      </c>
      <c r="P1606" s="50">
        <f>(J1606-M1606)*G1606</f>
        <v/>
      </c>
      <c r="Q1606" s="51">
        <f>IF(K1606="Received",1,0)</f>
        <v/>
      </c>
      <c r="R1606" s="51">
        <f>IF(Q1606=1,F1606-D1606,0)</f>
        <v/>
      </c>
      <c r="S1606" s="51">
        <f>IF(Q1606=1,IF(F1606&lt;=E1606,1,0),0)</f>
        <v/>
      </c>
      <c r="T1606" s="51">
        <f>IF(Q1606=1,IF(H1606&gt;=G1606,1,0),0)</f>
        <v/>
      </c>
      <c r="U1606" s="51">
        <f>S1606*T1606</f>
        <v/>
      </c>
      <c r="V1606" s="51">
        <f>IF(Q1606=1,MAX(0,F1606-E1606),0)</f>
        <v/>
      </c>
    </row>
    <row r="1607">
      <c r="A1607" s="43" t="inlineStr">
        <is>
          <t>PO101475</t>
        </is>
      </c>
      <c r="B1607" s="43" t="inlineStr">
        <is>
          <t>CMD-0078</t>
        </is>
      </c>
      <c r="C1607" s="43" t="inlineStr">
        <is>
          <t>S06</t>
        </is>
      </c>
      <c r="D1607" s="47" t="n">
        <v>46156</v>
      </c>
      <c r="E1607" s="47" t="n">
        <v>46177</v>
      </c>
      <c r="F1607" s="47" t="n">
        <v>46176</v>
      </c>
      <c r="G1607" s="46" t="n">
        <v>4105</v>
      </c>
      <c r="H1607" s="46" t="n">
        <v>4105</v>
      </c>
      <c r="I1607" s="46" t="n">
        <v>18</v>
      </c>
      <c r="J1607" s="44" t="n">
        <v>2.678</v>
      </c>
      <c r="K1607" s="43" t="inlineStr">
        <is>
          <t>Received</t>
        </is>
      </c>
      <c r="L1607" s="17">
        <f>INDEX(Items!$C$2:$C$117,MATCH(B1607,Items!$A$2:$A$117,0))</f>
        <v/>
      </c>
      <c r="M1607" s="49">
        <f>INDEX(Items!$E$2:$E$117,MATCH(B1607,Items!$A$2:$A$117,0))</f>
        <v/>
      </c>
      <c r="N1607" s="17">
        <f>TEXT(D1607,"yyyy-mm")</f>
        <v/>
      </c>
      <c r="O1607" s="50">
        <f>G1607*J1607</f>
        <v/>
      </c>
      <c r="P1607" s="50">
        <f>(J1607-M1607)*G1607</f>
        <v/>
      </c>
      <c r="Q1607" s="51">
        <f>IF(K1607="Received",1,0)</f>
        <v/>
      </c>
      <c r="R1607" s="51">
        <f>IF(Q1607=1,F1607-D1607,0)</f>
        <v/>
      </c>
      <c r="S1607" s="51">
        <f>IF(Q1607=1,IF(F1607&lt;=E1607,1,0),0)</f>
        <v/>
      </c>
      <c r="T1607" s="51">
        <f>IF(Q1607=1,IF(H1607&gt;=G1607,1,0),0)</f>
        <v/>
      </c>
      <c r="U1607" s="51">
        <f>S1607*T1607</f>
        <v/>
      </c>
      <c r="V1607" s="51">
        <f>IF(Q1607=1,MAX(0,F1607-E1607),0)</f>
        <v/>
      </c>
    </row>
    <row r="1608">
      <c r="A1608" s="43" t="inlineStr">
        <is>
          <t>PO101451</t>
        </is>
      </c>
      <c r="B1608" s="43" t="inlineStr">
        <is>
          <t>CMD-0077</t>
        </is>
      </c>
      <c r="C1608" s="43" t="inlineStr">
        <is>
          <t>S01</t>
        </is>
      </c>
      <c r="D1608" s="47" t="n">
        <v>46156</v>
      </c>
      <c r="E1608" s="47" t="n">
        <v>46170</v>
      </c>
      <c r="F1608" s="47" t="n">
        <v>46169</v>
      </c>
      <c r="G1608" s="46" t="n">
        <v>4191</v>
      </c>
      <c r="H1608" s="46" t="n">
        <v>4191</v>
      </c>
      <c r="I1608" s="46" t="n">
        <v>6</v>
      </c>
      <c r="J1608" s="44" t="n">
        <v>9.012499999999999</v>
      </c>
      <c r="K1608" s="43" t="inlineStr">
        <is>
          <t>Received</t>
        </is>
      </c>
      <c r="L1608" s="17">
        <f>INDEX(Items!$C$2:$C$117,MATCH(B1608,Items!$A$2:$A$117,0))</f>
        <v/>
      </c>
      <c r="M1608" s="49">
        <f>INDEX(Items!$E$2:$E$117,MATCH(B1608,Items!$A$2:$A$117,0))</f>
        <v/>
      </c>
      <c r="N1608" s="17">
        <f>TEXT(D1608,"yyyy-mm")</f>
        <v/>
      </c>
      <c r="O1608" s="50">
        <f>G1608*J1608</f>
        <v/>
      </c>
      <c r="P1608" s="50">
        <f>(J1608-M1608)*G1608</f>
        <v/>
      </c>
      <c r="Q1608" s="51">
        <f>IF(K1608="Received",1,0)</f>
        <v/>
      </c>
      <c r="R1608" s="51">
        <f>IF(Q1608=1,F1608-D1608,0)</f>
        <v/>
      </c>
      <c r="S1608" s="51">
        <f>IF(Q1608=1,IF(F1608&lt;=E1608,1,0),0)</f>
        <v/>
      </c>
      <c r="T1608" s="51">
        <f>IF(Q1608=1,IF(H1608&gt;=G1608,1,0),0)</f>
        <v/>
      </c>
      <c r="U1608" s="51">
        <f>S1608*T1608</f>
        <v/>
      </c>
      <c r="V1608" s="51">
        <f>IF(Q1608=1,MAX(0,F1608-E1608),0)</f>
        <v/>
      </c>
    </row>
    <row r="1609">
      <c r="A1609" s="43" t="inlineStr">
        <is>
          <t>PO100091</t>
        </is>
      </c>
      <c r="B1609" s="43" t="inlineStr">
        <is>
          <t>CMD-0004</t>
        </is>
      </c>
      <c r="C1609" s="43" t="inlineStr">
        <is>
          <t>S07</t>
        </is>
      </c>
      <c r="D1609" s="47" t="n">
        <v>46156</v>
      </c>
      <c r="E1609" s="47" t="n">
        <v>46247</v>
      </c>
      <c r="F1609" s="47" t="n">
        <v>46245</v>
      </c>
      <c r="G1609" s="46" t="n">
        <v>4066</v>
      </c>
      <c r="H1609" s="46" t="n">
        <v>4066</v>
      </c>
      <c r="I1609" s="46" t="n">
        <v>31</v>
      </c>
      <c r="J1609" s="44" t="n">
        <v>4.779</v>
      </c>
      <c r="K1609" s="43" t="inlineStr">
        <is>
          <t>Received</t>
        </is>
      </c>
      <c r="L1609" s="17">
        <f>INDEX(Items!$C$2:$C$117,MATCH(B1609,Items!$A$2:$A$117,0))</f>
        <v/>
      </c>
      <c r="M1609" s="49">
        <f>INDEX(Items!$E$2:$E$117,MATCH(B1609,Items!$A$2:$A$117,0))</f>
        <v/>
      </c>
      <c r="N1609" s="17">
        <f>TEXT(D1609,"yyyy-mm")</f>
        <v/>
      </c>
      <c r="O1609" s="50">
        <f>G1609*J1609</f>
        <v/>
      </c>
      <c r="P1609" s="50">
        <f>(J1609-M1609)*G1609</f>
        <v/>
      </c>
      <c r="Q1609" s="51">
        <f>IF(K1609="Received",1,0)</f>
        <v/>
      </c>
      <c r="R1609" s="51">
        <f>IF(Q1609=1,F1609-D1609,0)</f>
        <v/>
      </c>
      <c r="S1609" s="51">
        <f>IF(Q1609=1,IF(F1609&lt;=E1609,1,0),0)</f>
        <v/>
      </c>
      <c r="T1609" s="51">
        <f>IF(Q1609=1,IF(H1609&gt;=G1609,1,0),0)</f>
        <v/>
      </c>
      <c r="U1609" s="51">
        <f>S1609*T1609</f>
        <v/>
      </c>
      <c r="V1609" s="51">
        <f>IF(Q1609=1,MAX(0,F1609-E1609),0)</f>
        <v/>
      </c>
    </row>
    <row r="1610">
      <c r="A1610" s="43" t="inlineStr">
        <is>
          <t>PO100311</t>
        </is>
      </c>
      <c r="B1610" s="43" t="inlineStr">
        <is>
          <t>CMD-0014</t>
        </is>
      </c>
      <c r="C1610" s="43" t="inlineStr">
        <is>
          <t>S03</t>
        </is>
      </c>
      <c r="D1610" s="47" t="n">
        <v>46156</v>
      </c>
      <c r="E1610" s="47" t="n">
        <v>46289</v>
      </c>
      <c r="F1610" s="47" t="n">
        <v>46289</v>
      </c>
      <c r="G1610" s="46" t="n">
        <v>4300</v>
      </c>
      <c r="H1610" s="46" t="n">
        <v>4300</v>
      </c>
      <c r="I1610" s="46" t="n">
        <v>19</v>
      </c>
      <c r="J1610" s="44" t="n">
        <v>14.8916</v>
      </c>
      <c r="K1610" s="43" t="inlineStr">
        <is>
          <t>Received</t>
        </is>
      </c>
      <c r="L1610" s="17">
        <f>INDEX(Items!$C$2:$C$117,MATCH(B1610,Items!$A$2:$A$117,0))</f>
        <v/>
      </c>
      <c r="M1610" s="49">
        <f>INDEX(Items!$E$2:$E$117,MATCH(B1610,Items!$A$2:$A$117,0))</f>
        <v/>
      </c>
      <c r="N1610" s="17">
        <f>TEXT(D1610,"yyyy-mm")</f>
        <v/>
      </c>
      <c r="O1610" s="50">
        <f>G1610*J1610</f>
        <v/>
      </c>
      <c r="P1610" s="50">
        <f>(J1610-M1610)*G1610</f>
        <v/>
      </c>
      <c r="Q1610" s="51">
        <f>IF(K1610="Received",1,0)</f>
        <v/>
      </c>
      <c r="R1610" s="51">
        <f>IF(Q1610=1,F1610-D1610,0)</f>
        <v/>
      </c>
      <c r="S1610" s="51">
        <f>IF(Q1610=1,IF(F1610&lt;=E1610,1,0),0)</f>
        <v/>
      </c>
      <c r="T1610" s="51">
        <f>IF(Q1610=1,IF(H1610&gt;=G1610,1,0),0)</f>
        <v/>
      </c>
      <c r="U1610" s="51">
        <f>S1610*T1610</f>
        <v/>
      </c>
      <c r="V1610" s="51">
        <f>IF(Q1610=1,MAX(0,F1610-E1610),0)</f>
        <v/>
      </c>
    </row>
    <row r="1611">
      <c r="A1611" s="43" t="inlineStr">
        <is>
          <t>PO100741</t>
        </is>
      </c>
      <c r="B1611" s="43" t="inlineStr">
        <is>
          <t>CMD-0033</t>
        </is>
      </c>
      <c r="C1611" s="43" t="inlineStr">
        <is>
          <t>S07</t>
        </is>
      </c>
      <c r="D1611" s="47" t="n">
        <v>46156</v>
      </c>
      <c r="E1611" s="47" t="n">
        <v>46198</v>
      </c>
      <c r="F1611" s="47" t="n">
        <v>46198</v>
      </c>
      <c r="G1611" s="46" t="n">
        <v>3554</v>
      </c>
      <c r="H1611" s="46" t="n">
        <v>3554</v>
      </c>
      <c r="I1611" s="46" t="n">
        <v>36</v>
      </c>
      <c r="J1611" s="44" t="n">
        <v>60.1108</v>
      </c>
      <c r="K1611" s="43" t="inlineStr">
        <is>
          <t>Received</t>
        </is>
      </c>
      <c r="L1611" s="17">
        <f>INDEX(Items!$C$2:$C$117,MATCH(B1611,Items!$A$2:$A$117,0))</f>
        <v/>
      </c>
      <c r="M1611" s="49">
        <f>INDEX(Items!$E$2:$E$117,MATCH(B1611,Items!$A$2:$A$117,0))</f>
        <v/>
      </c>
      <c r="N1611" s="17">
        <f>TEXT(D1611,"yyyy-mm")</f>
        <v/>
      </c>
      <c r="O1611" s="50">
        <f>G1611*J1611</f>
        <v/>
      </c>
      <c r="P1611" s="50">
        <f>(J1611-M1611)*G1611</f>
        <v/>
      </c>
      <c r="Q1611" s="51">
        <f>IF(K1611="Received",1,0)</f>
        <v/>
      </c>
      <c r="R1611" s="51">
        <f>IF(Q1611=1,F1611-D1611,0)</f>
        <v/>
      </c>
      <c r="S1611" s="51">
        <f>IF(Q1611=1,IF(F1611&lt;=E1611,1,0),0)</f>
        <v/>
      </c>
      <c r="T1611" s="51">
        <f>IF(Q1611=1,IF(H1611&gt;=G1611,1,0),0)</f>
        <v/>
      </c>
      <c r="U1611" s="51">
        <f>S1611*T1611</f>
        <v/>
      </c>
      <c r="V1611" s="51">
        <f>IF(Q1611=1,MAX(0,F1611-E1611),0)</f>
        <v/>
      </c>
    </row>
    <row r="1612">
      <c r="A1612" s="43" t="inlineStr">
        <is>
          <t>PO101380</t>
        </is>
      </c>
      <c r="B1612" s="43" t="inlineStr">
        <is>
          <t>CMD-0070</t>
        </is>
      </c>
      <c r="C1612" s="43" t="inlineStr">
        <is>
          <t>S04</t>
        </is>
      </c>
      <c r="D1612" s="47" t="n">
        <v>46156</v>
      </c>
      <c r="E1612" s="47" t="n">
        <v>46191</v>
      </c>
      <c r="F1612" s="47" t="n">
        <v>46191</v>
      </c>
      <c r="G1612" s="46" t="n">
        <v>46593</v>
      </c>
      <c r="H1612" s="46" t="n">
        <v>46593</v>
      </c>
      <c r="I1612" s="46" t="n">
        <v>472</v>
      </c>
      <c r="J1612" s="44" t="n">
        <v>0.1452</v>
      </c>
      <c r="K1612" s="43" t="inlineStr">
        <is>
          <t>Received</t>
        </is>
      </c>
      <c r="L1612" s="17">
        <f>INDEX(Items!$C$2:$C$117,MATCH(B1612,Items!$A$2:$A$117,0))</f>
        <v/>
      </c>
      <c r="M1612" s="49">
        <f>INDEX(Items!$E$2:$E$117,MATCH(B1612,Items!$A$2:$A$117,0))</f>
        <v/>
      </c>
      <c r="N1612" s="17">
        <f>TEXT(D1612,"yyyy-mm")</f>
        <v/>
      </c>
      <c r="O1612" s="50">
        <f>G1612*J1612</f>
        <v/>
      </c>
      <c r="P1612" s="50">
        <f>(J1612-M1612)*G1612</f>
        <v/>
      </c>
      <c r="Q1612" s="51">
        <f>IF(K1612="Received",1,0)</f>
        <v/>
      </c>
      <c r="R1612" s="51">
        <f>IF(Q1612=1,F1612-D1612,0)</f>
        <v/>
      </c>
      <c r="S1612" s="51">
        <f>IF(Q1612=1,IF(F1612&lt;=E1612,1,0),0)</f>
        <v/>
      </c>
      <c r="T1612" s="51">
        <f>IF(Q1612=1,IF(H1612&gt;=G1612,1,0),0)</f>
        <v/>
      </c>
      <c r="U1612" s="51">
        <f>S1612*T1612</f>
        <v/>
      </c>
      <c r="V1612" s="51">
        <f>IF(Q1612=1,MAX(0,F1612-E1612),0)</f>
        <v/>
      </c>
    </row>
    <row r="1613">
      <c r="A1613" s="43" t="inlineStr">
        <is>
          <t>PO100587</t>
        </is>
      </c>
      <c r="B1613" s="43" t="inlineStr">
        <is>
          <t>CMD-0026</t>
        </is>
      </c>
      <c r="C1613" s="43" t="inlineStr">
        <is>
          <t>S04</t>
        </is>
      </c>
      <c r="D1613" s="47" t="n">
        <v>46157</v>
      </c>
      <c r="E1613" s="47" t="n">
        <v>46227</v>
      </c>
      <c r="F1613" s="47" t="n">
        <v>46227</v>
      </c>
      <c r="G1613" s="46" t="n">
        <v>6322</v>
      </c>
      <c r="H1613" s="46" t="n">
        <v>6322</v>
      </c>
      <c r="I1613" s="46" t="n">
        <v>58</v>
      </c>
      <c r="J1613" s="44" t="n">
        <v>6.1388</v>
      </c>
      <c r="K1613" s="43" t="inlineStr">
        <is>
          <t>Received</t>
        </is>
      </c>
      <c r="L1613" s="17">
        <f>INDEX(Items!$C$2:$C$117,MATCH(B1613,Items!$A$2:$A$117,0))</f>
        <v/>
      </c>
      <c r="M1613" s="49">
        <f>INDEX(Items!$E$2:$E$117,MATCH(B1613,Items!$A$2:$A$117,0))</f>
        <v/>
      </c>
      <c r="N1613" s="17">
        <f>TEXT(D1613,"yyyy-mm")</f>
        <v/>
      </c>
      <c r="O1613" s="50">
        <f>G1613*J1613</f>
        <v/>
      </c>
      <c r="P1613" s="50">
        <f>(J1613-M1613)*G1613</f>
        <v/>
      </c>
      <c r="Q1613" s="51">
        <f>IF(K1613="Received",1,0)</f>
        <v/>
      </c>
      <c r="R1613" s="51">
        <f>IF(Q1613=1,F1613-D1613,0)</f>
        <v/>
      </c>
      <c r="S1613" s="51">
        <f>IF(Q1613=1,IF(F1613&lt;=E1613,1,0),0)</f>
        <v/>
      </c>
      <c r="T1613" s="51">
        <f>IF(Q1613=1,IF(H1613&gt;=G1613,1,0),0)</f>
        <v/>
      </c>
      <c r="U1613" s="51">
        <f>S1613*T1613</f>
        <v/>
      </c>
      <c r="V1613" s="51">
        <f>IF(Q1613=1,MAX(0,F1613-E1613),0)</f>
        <v/>
      </c>
    </row>
    <row r="1614">
      <c r="A1614" s="43" t="inlineStr">
        <is>
          <t>PO100359</t>
        </is>
      </c>
      <c r="B1614" s="43" t="inlineStr">
        <is>
          <t>CMD-0016</t>
        </is>
      </c>
      <c r="C1614" s="43" t="inlineStr">
        <is>
          <t>S07</t>
        </is>
      </c>
      <c r="D1614" s="47" t="n">
        <v>46157</v>
      </c>
      <c r="E1614" s="47" t="n">
        <v>46248</v>
      </c>
      <c r="F1614" s="47" t="n">
        <v>46247</v>
      </c>
      <c r="G1614" s="46" t="n">
        <v>7528</v>
      </c>
      <c r="H1614" s="46" t="n">
        <v>7528</v>
      </c>
      <c r="I1614" s="46" t="n">
        <v>63</v>
      </c>
      <c r="J1614" s="44" t="n">
        <v>31.8836</v>
      </c>
      <c r="K1614" s="43" t="inlineStr">
        <is>
          <t>Received</t>
        </is>
      </c>
      <c r="L1614" s="17">
        <f>INDEX(Items!$C$2:$C$117,MATCH(B1614,Items!$A$2:$A$117,0))</f>
        <v/>
      </c>
      <c r="M1614" s="49">
        <f>INDEX(Items!$E$2:$E$117,MATCH(B1614,Items!$A$2:$A$117,0))</f>
        <v/>
      </c>
      <c r="N1614" s="17">
        <f>TEXT(D1614,"yyyy-mm")</f>
        <v/>
      </c>
      <c r="O1614" s="50">
        <f>G1614*J1614</f>
        <v/>
      </c>
      <c r="P1614" s="50">
        <f>(J1614-M1614)*G1614</f>
        <v/>
      </c>
      <c r="Q1614" s="51">
        <f>IF(K1614="Received",1,0)</f>
        <v/>
      </c>
      <c r="R1614" s="51">
        <f>IF(Q1614=1,F1614-D1614,0)</f>
        <v/>
      </c>
      <c r="S1614" s="51">
        <f>IF(Q1614=1,IF(F1614&lt;=E1614,1,0),0)</f>
        <v/>
      </c>
      <c r="T1614" s="51">
        <f>IF(Q1614=1,IF(H1614&gt;=G1614,1,0),0)</f>
        <v/>
      </c>
      <c r="U1614" s="51">
        <f>S1614*T1614</f>
        <v/>
      </c>
      <c r="V1614" s="51">
        <f>IF(Q1614=1,MAX(0,F1614-E1614),0)</f>
        <v/>
      </c>
    </row>
    <row r="1615">
      <c r="A1615" s="43" t="inlineStr">
        <is>
          <t>PO100211</t>
        </is>
      </c>
      <c r="B1615" s="43" t="inlineStr">
        <is>
          <t>CMD-0009</t>
        </is>
      </c>
      <c r="C1615" s="43" t="inlineStr">
        <is>
          <t>S11</t>
        </is>
      </c>
      <c r="D1615" s="47" t="n">
        <v>46157</v>
      </c>
      <c r="E1615" s="47" t="n">
        <v>46276</v>
      </c>
      <c r="F1615" s="47" t="n">
        <v>46273</v>
      </c>
      <c r="G1615" s="46" t="n">
        <v>6999</v>
      </c>
      <c r="H1615" s="46" t="n">
        <v>6999</v>
      </c>
      <c r="I1615" s="46" t="n">
        <v>12</v>
      </c>
      <c r="J1615" s="44" t="n">
        <v>7.4222</v>
      </c>
      <c r="K1615" s="43" t="inlineStr">
        <is>
          <t>Received</t>
        </is>
      </c>
      <c r="L1615" s="17">
        <f>INDEX(Items!$C$2:$C$117,MATCH(B1615,Items!$A$2:$A$117,0))</f>
        <v/>
      </c>
      <c r="M1615" s="49">
        <f>INDEX(Items!$E$2:$E$117,MATCH(B1615,Items!$A$2:$A$117,0))</f>
        <v/>
      </c>
      <c r="N1615" s="17">
        <f>TEXT(D1615,"yyyy-mm")</f>
        <v/>
      </c>
      <c r="O1615" s="50">
        <f>G1615*J1615</f>
        <v/>
      </c>
      <c r="P1615" s="50">
        <f>(J1615-M1615)*G1615</f>
        <v/>
      </c>
      <c r="Q1615" s="51">
        <f>IF(K1615="Received",1,0)</f>
        <v/>
      </c>
      <c r="R1615" s="51">
        <f>IF(Q1615=1,F1615-D1615,0)</f>
        <v/>
      </c>
      <c r="S1615" s="51">
        <f>IF(Q1615=1,IF(F1615&lt;=E1615,1,0),0)</f>
        <v/>
      </c>
      <c r="T1615" s="51">
        <f>IF(Q1615=1,IF(H1615&gt;=G1615,1,0),0)</f>
        <v/>
      </c>
      <c r="U1615" s="51">
        <f>S1615*T1615</f>
        <v/>
      </c>
      <c r="V1615" s="51">
        <f>IF(Q1615=1,MAX(0,F1615-E1615),0)</f>
        <v/>
      </c>
    </row>
    <row r="1616">
      <c r="A1616" s="43" t="inlineStr">
        <is>
          <t>PO100287</t>
        </is>
      </c>
      <c r="B1616" s="43" t="inlineStr">
        <is>
          <t>CMD-0013</t>
        </is>
      </c>
      <c r="C1616" s="43" t="inlineStr">
        <is>
          <t>S11</t>
        </is>
      </c>
      <c r="D1616" s="47" t="n">
        <v>46157</v>
      </c>
      <c r="E1616" s="47" t="n">
        <v>46276</v>
      </c>
      <c r="F1616" s="47" t="n">
        <v>46274</v>
      </c>
      <c r="G1616" s="46" t="n">
        <v>972</v>
      </c>
      <c r="H1616" s="46" t="n">
        <v>972</v>
      </c>
      <c r="I1616" s="46" t="n">
        <v>0</v>
      </c>
      <c r="J1616" s="44" t="n">
        <v>7.965</v>
      </c>
      <c r="K1616" s="43" t="inlineStr">
        <is>
          <t>Received</t>
        </is>
      </c>
      <c r="L1616" s="17">
        <f>INDEX(Items!$C$2:$C$117,MATCH(B1616,Items!$A$2:$A$117,0))</f>
        <v/>
      </c>
      <c r="M1616" s="49">
        <f>INDEX(Items!$E$2:$E$117,MATCH(B1616,Items!$A$2:$A$117,0))</f>
        <v/>
      </c>
      <c r="N1616" s="17">
        <f>TEXT(D1616,"yyyy-mm")</f>
        <v/>
      </c>
      <c r="O1616" s="50">
        <f>G1616*J1616</f>
        <v/>
      </c>
      <c r="P1616" s="50">
        <f>(J1616-M1616)*G1616</f>
        <v/>
      </c>
      <c r="Q1616" s="51">
        <f>IF(K1616="Received",1,0)</f>
        <v/>
      </c>
      <c r="R1616" s="51">
        <f>IF(Q1616=1,F1616-D1616,0)</f>
        <v/>
      </c>
      <c r="S1616" s="51">
        <f>IF(Q1616=1,IF(F1616&lt;=E1616,1,0),0)</f>
        <v/>
      </c>
      <c r="T1616" s="51">
        <f>IF(Q1616=1,IF(H1616&gt;=G1616,1,0),0)</f>
        <v/>
      </c>
      <c r="U1616" s="51">
        <f>S1616*T1616</f>
        <v/>
      </c>
      <c r="V1616" s="51">
        <f>IF(Q1616=1,MAX(0,F1616-E1616),0)</f>
        <v/>
      </c>
    </row>
    <row r="1617">
      <c r="A1617" s="43" t="inlineStr">
        <is>
          <t>PO100383</t>
        </is>
      </c>
      <c r="B1617" s="43" t="inlineStr">
        <is>
          <t>CMD-0017</t>
        </is>
      </c>
      <c r="C1617" s="43" t="inlineStr">
        <is>
          <t>S11</t>
        </is>
      </c>
      <c r="D1617" s="47" t="n">
        <v>46157</v>
      </c>
      <c r="E1617" s="47" t="n">
        <v>46234</v>
      </c>
      <c r="F1617" s="47" t="n">
        <v>46231</v>
      </c>
      <c r="G1617" s="46" t="n">
        <v>7942</v>
      </c>
      <c r="H1617" s="46" t="n">
        <v>7942</v>
      </c>
      <c r="I1617" s="46" t="n">
        <v>15</v>
      </c>
      <c r="J1617" s="44" t="n">
        <v>13.0707</v>
      </c>
      <c r="K1617" s="43" t="inlineStr">
        <is>
          <t>Received</t>
        </is>
      </c>
      <c r="L1617" s="17">
        <f>INDEX(Items!$C$2:$C$117,MATCH(B1617,Items!$A$2:$A$117,0))</f>
        <v/>
      </c>
      <c r="M1617" s="49">
        <f>INDEX(Items!$E$2:$E$117,MATCH(B1617,Items!$A$2:$A$117,0))</f>
        <v/>
      </c>
      <c r="N1617" s="17">
        <f>TEXT(D1617,"yyyy-mm")</f>
        <v/>
      </c>
      <c r="O1617" s="50">
        <f>G1617*J1617</f>
        <v/>
      </c>
      <c r="P1617" s="50">
        <f>(J1617-M1617)*G1617</f>
        <v/>
      </c>
      <c r="Q1617" s="51">
        <f>IF(K1617="Received",1,0)</f>
        <v/>
      </c>
      <c r="R1617" s="51">
        <f>IF(Q1617=1,F1617-D1617,0)</f>
        <v/>
      </c>
      <c r="S1617" s="51">
        <f>IF(Q1617=1,IF(F1617&lt;=E1617,1,0),0)</f>
        <v/>
      </c>
      <c r="T1617" s="51">
        <f>IF(Q1617=1,IF(H1617&gt;=G1617,1,0),0)</f>
        <v/>
      </c>
      <c r="U1617" s="51">
        <f>S1617*T1617</f>
        <v/>
      </c>
      <c r="V1617" s="51">
        <f>IF(Q1617=1,MAX(0,F1617-E1617),0)</f>
        <v/>
      </c>
    </row>
    <row r="1618">
      <c r="A1618" s="43" t="inlineStr">
        <is>
          <t>PO101139</t>
        </is>
      </c>
      <c r="B1618" s="43" t="inlineStr">
        <is>
          <t>CMD-0052</t>
        </is>
      </c>
      <c r="C1618" s="43" t="inlineStr">
        <is>
          <t>S01</t>
        </is>
      </c>
      <c r="D1618" s="47" t="n">
        <v>46157</v>
      </c>
      <c r="E1618" s="47" t="n">
        <v>46178</v>
      </c>
      <c r="F1618" s="47" t="n">
        <v>46178</v>
      </c>
      <c r="G1618" s="46" t="n">
        <v>127093</v>
      </c>
      <c r="H1618" s="46" t="n">
        <v>127093</v>
      </c>
      <c r="I1618" s="46" t="n">
        <v>233</v>
      </c>
      <c r="J1618" s="44" t="n">
        <v>0.2076</v>
      </c>
      <c r="K1618" s="43" t="inlineStr">
        <is>
          <t>Received</t>
        </is>
      </c>
      <c r="L1618" s="17">
        <f>INDEX(Items!$C$2:$C$117,MATCH(B1618,Items!$A$2:$A$117,0))</f>
        <v/>
      </c>
      <c r="M1618" s="49">
        <f>INDEX(Items!$E$2:$E$117,MATCH(B1618,Items!$A$2:$A$117,0))</f>
        <v/>
      </c>
      <c r="N1618" s="17">
        <f>TEXT(D1618,"yyyy-mm")</f>
        <v/>
      </c>
      <c r="O1618" s="50">
        <f>G1618*J1618</f>
        <v/>
      </c>
      <c r="P1618" s="50">
        <f>(J1618-M1618)*G1618</f>
        <v/>
      </c>
      <c r="Q1618" s="51">
        <f>IF(K1618="Received",1,0)</f>
        <v/>
      </c>
      <c r="R1618" s="51">
        <f>IF(Q1618=1,F1618-D1618,0)</f>
        <v/>
      </c>
      <c r="S1618" s="51">
        <f>IF(Q1618=1,IF(F1618&lt;=E1618,1,0),0)</f>
        <v/>
      </c>
      <c r="T1618" s="51">
        <f>IF(Q1618=1,IF(H1618&gt;=G1618,1,0),0)</f>
        <v/>
      </c>
      <c r="U1618" s="51">
        <f>S1618*T1618</f>
        <v/>
      </c>
      <c r="V1618" s="51">
        <f>IF(Q1618=1,MAX(0,F1618-E1618),0)</f>
        <v/>
      </c>
    </row>
    <row r="1619">
      <c r="A1619" s="43" t="inlineStr">
        <is>
          <t>PO100019</t>
        </is>
      </c>
      <c r="B1619" s="43" t="inlineStr">
        <is>
          <t>CMD-0001</t>
        </is>
      </c>
      <c r="C1619" s="43" t="inlineStr">
        <is>
          <t>S07</t>
        </is>
      </c>
      <c r="D1619" s="47" t="n">
        <v>46157</v>
      </c>
      <c r="E1619" s="47" t="n">
        <v>46248</v>
      </c>
      <c r="F1619" s="47" t="n">
        <v>46246</v>
      </c>
      <c r="G1619" s="46" t="n">
        <v>7875</v>
      </c>
      <c r="H1619" s="46" t="n">
        <v>7875</v>
      </c>
      <c r="I1619" s="46" t="n">
        <v>69</v>
      </c>
      <c r="J1619" s="44" t="n">
        <v>16.8268</v>
      </c>
      <c r="K1619" s="43" t="inlineStr">
        <is>
          <t>Received</t>
        </is>
      </c>
      <c r="L1619" s="17">
        <f>INDEX(Items!$C$2:$C$117,MATCH(B1619,Items!$A$2:$A$117,0))</f>
        <v/>
      </c>
      <c r="M1619" s="49">
        <f>INDEX(Items!$E$2:$E$117,MATCH(B1619,Items!$A$2:$A$117,0))</f>
        <v/>
      </c>
      <c r="N1619" s="17">
        <f>TEXT(D1619,"yyyy-mm")</f>
        <v/>
      </c>
      <c r="O1619" s="50">
        <f>G1619*J1619</f>
        <v/>
      </c>
      <c r="P1619" s="50">
        <f>(J1619-M1619)*G1619</f>
        <v/>
      </c>
      <c r="Q1619" s="51">
        <f>IF(K1619="Received",1,0)</f>
        <v/>
      </c>
      <c r="R1619" s="51">
        <f>IF(Q1619=1,F1619-D1619,0)</f>
        <v/>
      </c>
      <c r="S1619" s="51">
        <f>IF(Q1619=1,IF(F1619&lt;=E1619,1,0),0)</f>
        <v/>
      </c>
      <c r="T1619" s="51">
        <f>IF(Q1619=1,IF(H1619&gt;=G1619,1,0),0)</f>
        <v/>
      </c>
      <c r="U1619" s="51">
        <f>S1619*T1619</f>
        <v/>
      </c>
      <c r="V1619" s="51">
        <f>IF(Q1619=1,MAX(0,F1619-E1619),0)</f>
        <v/>
      </c>
    </row>
    <row r="1620">
      <c r="A1620" s="43" t="inlineStr">
        <is>
          <t>PO101583</t>
        </is>
      </c>
      <c r="B1620" s="43" t="inlineStr">
        <is>
          <t>CMD-0085</t>
        </is>
      </c>
      <c r="C1620" s="43" t="inlineStr">
        <is>
          <t>S06</t>
        </is>
      </c>
      <c r="D1620" s="47" t="n">
        <v>46157</v>
      </c>
      <c r="E1620" s="47" t="n">
        <v>46178</v>
      </c>
      <c r="F1620" s="47" t="n">
        <v>46175</v>
      </c>
      <c r="G1620" s="46" t="n">
        <v>1103</v>
      </c>
      <c r="H1620" s="46" t="n">
        <v>1103</v>
      </c>
      <c r="I1620" s="46" t="n">
        <v>9</v>
      </c>
      <c r="J1620" s="44" t="n">
        <v>10.8768</v>
      </c>
      <c r="K1620" s="43" t="inlineStr">
        <is>
          <t>Received</t>
        </is>
      </c>
      <c r="L1620" s="17">
        <f>INDEX(Items!$C$2:$C$117,MATCH(B1620,Items!$A$2:$A$117,0))</f>
        <v/>
      </c>
      <c r="M1620" s="49">
        <f>INDEX(Items!$E$2:$E$117,MATCH(B1620,Items!$A$2:$A$117,0))</f>
        <v/>
      </c>
      <c r="N1620" s="17">
        <f>TEXT(D1620,"yyyy-mm")</f>
        <v/>
      </c>
      <c r="O1620" s="50">
        <f>G1620*J1620</f>
        <v/>
      </c>
      <c r="P1620" s="50">
        <f>(J1620-M1620)*G1620</f>
        <v/>
      </c>
      <c r="Q1620" s="51">
        <f>IF(K1620="Received",1,0)</f>
        <v/>
      </c>
      <c r="R1620" s="51">
        <f>IF(Q1620=1,F1620-D1620,0)</f>
        <v/>
      </c>
      <c r="S1620" s="51">
        <f>IF(Q1620=1,IF(F1620&lt;=E1620,1,0),0)</f>
        <v/>
      </c>
      <c r="T1620" s="51">
        <f>IF(Q1620=1,IF(H1620&gt;=G1620,1,0),0)</f>
        <v/>
      </c>
      <c r="U1620" s="51">
        <f>S1620*T1620</f>
        <v/>
      </c>
      <c r="V1620" s="51">
        <f>IF(Q1620=1,MAX(0,F1620-E1620),0)</f>
        <v/>
      </c>
    </row>
    <row r="1621">
      <c r="A1621" s="43" t="inlineStr">
        <is>
          <t>PO100953</t>
        </is>
      </c>
      <c r="B1621" s="43" t="inlineStr">
        <is>
          <t>CMD-0043</t>
        </is>
      </c>
      <c r="C1621" s="43" t="inlineStr">
        <is>
          <t>S05</t>
        </is>
      </c>
      <c r="D1621" s="47" t="n">
        <v>46157</v>
      </c>
      <c r="E1621" s="47" t="n">
        <v>46262</v>
      </c>
      <c r="F1621" s="47" t="n">
        <v>46259</v>
      </c>
      <c r="G1621" s="46" t="n">
        <v>6426</v>
      </c>
      <c r="H1621" s="46" t="n">
        <v>6426</v>
      </c>
      <c r="I1621" s="46" t="n">
        <v>102</v>
      </c>
      <c r="J1621" s="44" t="n">
        <v>3.8007</v>
      </c>
      <c r="K1621" s="43" t="inlineStr">
        <is>
          <t>Received</t>
        </is>
      </c>
      <c r="L1621" s="17">
        <f>INDEX(Items!$C$2:$C$117,MATCH(B1621,Items!$A$2:$A$117,0))</f>
        <v/>
      </c>
      <c r="M1621" s="49">
        <f>INDEX(Items!$E$2:$E$117,MATCH(B1621,Items!$A$2:$A$117,0))</f>
        <v/>
      </c>
      <c r="N1621" s="17">
        <f>TEXT(D1621,"yyyy-mm")</f>
        <v/>
      </c>
      <c r="O1621" s="50">
        <f>G1621*J1621</f>
        <v/>
      </c>
      <c r="P1621" s="50">
        <f>(J1621-M1621)*G1621</f>
        <v/>
      </c>
      <c r="Q1621" s="51">
        <f>IF(K1621="Received",1,0)</f>
        <v/>
      </c>
      <c r="R1621" s="51">
        <f>IF(Q1621=1,F1621-D1621,0)</f>
        <v/>
      </c>
      <c r="S1621" s="51">
        <f>IF(Q1621=1,IF(F1621&lt;=E1621,1,0),0)</f>
        <v/>
      </c>
      <c r="T1621" s="51">
        <f>IF(Q1621=1,IF(H1621&gt;=G1621,1,0),0)</f>
        <v/>
      </c>
      <c r="U1621" s="51">
        <f>S1621*T1621</f>
        <v/>
      </c>
      <c r="V1621" s="51">
        <f>IF(Q1621=1,MAX(0,F1621-E1621),0)</f>
        <v/>
      </c>
    </row>
    <row r="1622">
      <c r="A1622" s="43" t="inlineStr">
        <is>
          <t>PO100837</t>
        </is>
      </c>
      <c r="B1622" s="43" t="inlineStr">
        <is>
          <t>CMD-0037</t>
        </is>
      </c>
      <c r="C1622" s="43" t="inlineStr">
        <is>
          <t>S07</t>
        </is>
      </c>
      <c r="D1622" s="47" t="n">
        <v>46157</v>
      </c>
      <c r="E1622" s="47" t="n">
        <v>46199</v>
      </c>
      <c r="F1622" s="47" t="n">
        <v>46197</v>
      </c>
      <c r="G1622" s="46" t="n">
        <v>411</v>
      </c>
      <c r="H1622" s="46" t="n">
        <v>411</v>
      </c>
      <c r="I1622" s="46" t="n">
        <v>5</v>
      </c>
      <c r="J1622" s="44" t="n">
        <v>55.2286</v>
      </c>
      <c r="K1622" s="43" t="inlineStr">
        <is>
          <t>Received</t>
        </is>
      </c>
      <c r="L1622" s="17">
        <f>INDEX(Items!$C$2:$C$117,MATCH(B1622,Items!$A$2:$A$117,0))</f>
        <v/>
      </c>
      <c r="M1622" s="49">
        <f>INDEX(Items!$E$2:$E$117,MATCH(B1622,Items!$A$2:$A$117,0))</f>
        <v/>
      </c>
      <c r="N1622" s="17">
        <f>TEXT(D1622,"yyyy-mm")</f>
        <v/>
      </c>
      <c r="O1622" s="50">
        <f>G1622*J1622</f>
        <v/>
      </c>
      <c r="P1622" s="50">
        <f>(J1622-M1622)*G1622</f>
        <v/>
      </c>
      <c r="Q1622" s="51">
        <f>IF(K1622="Received",1,0)</f>
        <v/>
      </c>
      <c r="R1622" s="51">
        <f>IF(Q1622=1,F1622-D1622,0)</f>
        <v/>
      </c>
      <c r="S1622" s="51">
        <f>IF(Q1622=1,IF(F1622&lt;=E1622,1,0),0)</f>
        <v/>
      </c>
      <c r="T1622" s="51">
        <f>IF(Q1622=1,IF(H1622&gt;=G1622,1,0),0)</f>
        <v/>
      </c>
      <c r="U1622" s="51">
        <f>S1622*T1622</f>
        <v/>
      </c>
      <c r="V1622" s="51">
        <f>IF(Q1622=1,MAX(0,F1622-E1622),0)</f>
        <v/>
      </c>
    </row>
    <row r="1623">
      <c r="A1623" s="43" t="inlineStr">
        <is>
          <t>PO101685</t>
        </is>
      </c>
      <c r="B1623" s="43" t="inlineStr">
        <is>
          <t>CMD-0092</t>
        </is>
      </c>
      <c r="C1623" s="43" t="inlineStr">
        <is>
          <t>S08</t>
        </is>
      </c>
      <c r="D1623" s="47" t="n">
        <v>46157</v>
      </c>
      <c r="E1623" s="47" t="n">
        <v>46234</v>
      </c>
      <c r="F1623" s="47" t="n">
        <v>46232</v>
      </c>
      <c r="G1623" s="46" t="n">
        <v>313</v>
      </c>
      <c r="H1623" s="46" t="n">
        <v>313</v>
      </c>
      <c r="I1623" s="46" t="n">
        <v>2</v>
      </c>
      <c r="J1623" s="44" t="n">
        <v>30.3541</v>
      </c>
      <c r="K1623" s="43" t="inlineStr">
        <is>
          <t>Received</t>
        </is>
      </c>
      <c r="L1623" s="17">
        <f>INDEX(Items!$C$2:$C$117,MATCH(B1623,Items!$A$2:$A$117,0))</f>
        <v/>
      </c>
      <c r="M1623" s="49">
        <f>INDEX(Items!$E$2:$E$117,MATCH(B1623,Items!$A$2:$A$117,0))</f>
        <v/>
      </c>
      <c r="N1623" s="17">
        <f>TEXT(D1623,"yyyy-mm")</f>
        <v/>
      </c>
      <c r="O1623" s="50">
        <f>G1623*J1623</f>
        <v/>
      </c>
      <c r="P1623" s="50">
        <f>(J1623-M1623)*G1623</f>
        <v/>
      </c>
      <c r="Q1623" s="51">
        <f>IF(K1623="Received",1,0)</f>
        <v/>
      </c>
      <c r="R1623" s="51">
        <f>IF(Q1623=1,F1623-D1623,0)</f>
        <v/>
      </c>
      <c r="S1623" s="51">
        <f>IF(Q1623=1,IF(F1623&lt;=E1623,1,0),0)</f>
        <v/>
      </c>
      <c r="T1623" s="51">
        <f>IF(Q1623=1,IF(H1623&gt;=G1623,1,0),0)</f>
        <v/>
      </c>
      <c r="U1623" s="51">
        <f>S1623*T1623</f>
        <v/>
      </c>
      <c r="V1623" s="51">
        <f>IF(Q1623=1,MAX(0,F1623-E1623),0)</f>
        <v/>
      </c>
    </row>
    <row r="1624">
      <c r="A1624" s="43" t="inlineStr">
        <is>
          <t>PO101863</t>
        </is>
      </c>
      <c r="B1624" s="43" t="inlineStr">
        <is>
          <t>CMD-0101</t>
        </is>
      </c>
      <c r="C1624" s="43" t="inlineStr">
        <is>
          <t>S09</t>
        </is>
      </c>
      <c r="D1624" s="47" t="n">
        <v>46158</v>
      </c>
      <c r="E1624" s="47" t="n">
        <v>46179</v>
      </c>
      <c r="F1624" s="47" t="n">
        <v>46176</v>
      </c>
      <c r="G1624" s="46" t="n">
        <v>3280</v>
      </c>
      <c r="H1624" s="46" t="n">
        <v>3280</v>
      </c>
      <c r="I1624" s="46" t="n">
        <v>10</v>
      </c>
      <c r="J1624" s="44" t="n">
        <v>3.811</v>
      </c>
      <c r="K1624" s="43" t="inlineStr">
        <is>
          <t>Received</t>
        </is>
      </c>
      <c r="L1624" s="17">
        <f>INDEX(Items!$C$2:$C$117,MATCH(B1624,Items!$A$2:$A$117,0))</f>
        <v/>
      </c>
      <c r="M1624" s="49">
        <f>INDEX(Items!$E$2:$E$117,MATCH(B1624,Items!$A$2:$A$117,0))</f>
        <v/>
      </c>
      <c r="N1624" s="17">
        <f>TEXT(D1624,"yyyy-mm")</f>
        <v/>
      </c>
      <c r="O1624" s="50">
        <f>G1624*J1624</f>
        <v/>
      </c>
      <c r="P1624" s="50">
        <f>(J1624-M1624)*G1624</f>
        <v/>
      </c>
      <c r="Q1624" s="51">
        <f>IF(K1624="Received",1,0)</f>
        <v/>
      </c>
      <c r="R1624" s="51">
        <f>IF(Q1624=1,F1624-D1624,0)</f>
        <v/>
      </c>
      <c r="S1624" s="51">
        <f>IF(Q1624=1,IF(F1624&lt;=E1624,1,0),0)</f>
        <v/>
      </c>
      <c r="T1624" s="51">
        <f>IF(Q1624=1,IF(H1624&gt;=G1624,1,0),0)</f>
        <v/>
      </c>
      <c r="U1624" s="51">
        <f>S1624*T1624</f>
        <v/>
      </c>
      <c r="V1624" s="51">
        <f>IF(Q1624=1,MAX(0,F1624-E1624),0)</f>
        <v/>
      </c>
    </row>
    <row r="1625">
      <c r="A1625" s="43" t="inlineStr">
        <is>
          <t>PO101614</t>
        </is>
      </c>
      <c r="B1625" s="43" t="inlineStr">
        <is>
          <t>CMD-0089</t>
        </is>
      </c>
      <c r="C1625" s="43" t="inlineStr">
        <is>
          <t>S01</t>
        </is>
      </c>
      <c r="D1625" s="47" t="n">
        <v>46158</v>
      </c>
      <c r="E1625" s="47" t="n">
        <v>46172</v>
      </c>
      <c r="F1625" s="47" t="n">
        <v>46171</v>
      </c>
      <c r="G1625" s="46" t="n">
        <v>580</v>
      </c>
      <c r="H1625" s="46" t="n">
        <v>580</v>
      </c>
      <c r="I1625" s="46" t="n">
        <v>1</v>
      </c>
      <c r="J1625" s="44" t="n">
        <v>9.774699999999999</v>
      </c>
      <c r="K1625" s="43" t="inlineStr">
        <is>
          <t>Received</t>
        </is>
      </c>
      <c r="L1625" s="17">
        <f>INDEX(Items!$C$2:$C$117,MATCH(B1625,Items!$A$2:$A$117,0))</f>
        <v/>
      </c>
      <c r="M1625" s="49">
        <f>INDEX(Items!$E$2:$E$117,MATCH(B1625,Items!$A$2:$A$117,0))</f>
        <v/>
      </c>
      <c r="N1625" s="17">
        <f>TEXT(D1625,"yyyy-mm")</f>
        <v/>
      </c>
      <c r="O1625" s="50">
        <f>G1625*J1625</f>
        <v/>
      </c>
      <c r="P1625" s="50">
        <f>(J1625-M1625)*G1625</f>
        <v/>
      </c>
      <c r="Q1625" s="51">
        <f>IF(K1625="Received",1,0)</f>
        <v/>
      </c>
      <c r="R1625" s="51">
        <f>IF(Q1625=1,F1625-D1625,0)</f>
        <v/>
      </c>
      <c r="S1625" s="51">
        <f>IF(Q1625=1,IF(F1625&lt;=E1625,1,0),0)</f>
        <v/>
      </c>
      <c r="T1625" s="51">
        <f>IF(Q1625=1,IF(H1625&gt;=G1625,1,0),0)</f>
        <v/>
      </c>
      <c r="U1625" s="51">
        <f>S1625*T1625</f>
        <v/>
      </c>
      <c r="V1625" s="51">
        <f>IF(Q1625=1,MAX(0,F1625-E1625),0)</f>
        <v/>
      </c>
    </row>
    <row r="1626">
      <c r="A1626" s="43" t="inlineStr">
        <is>
          <t>PO101247</t>
        </is>
      </c>
      <c r="B1626" s="43" t="inlineStr">
        <is>
          <t>CMD-0058</t>
        </is>
      </c>
      <c r="C1626" s="43" t="inlineStr">
        <is>
          <t>S04</t>
        </is>
      </c>
      <c r="D1626" s="47" t="n">
        <v>46158</v>
      </c>
      <c r="E1626" s="47" t="n">
        <v>46193</v>
      </c>
      <c r="F1626" s="47" t="n">
        <v>46191</v>
      </c>
      <c r="G1626" s="46" t="n">
        <v>58489</v>
      </c>
      <c r="H1626" s="46" t="n">
        <v>58489</v>
      </c>
      <c r="I1626" s="46" t="n">
        <v>554</v>
      </c>
      <c r="J1626" s="44" t="n">
        <v>0.1213</v>
      </c>
      <c r="K1626" s="43" t="inlineStr">
        <is>
          <t>Received</t>
        </is>
      </c>
      <c r="L1626" s="17">
        <f>INDEX(Items!$C$2:$C$117,MATCH(B1626,Items!$A$2:$A$117,0))</f>
        <v/>
      </c>
      <c r="M1626" s="49">
        <f>INDEX(Items!$E$2:$E$117,MATCH(B1626,Items!$A$2:$A$117,0))</f>
        <v/>
      </c>
      <c r="N1626" s="17">
        <f>TEXT(D1626,"yyyy-mm")</f>
        <v/>
      </c>
      <c r="O1626" s="50">
        <f>G1626*J1626</f>
        <v/>
      </c>
      <c r="P1626" s="50">
        <f>(J1626-M1626)*G1626</f>
        <v/>
      </c>
      <c r="Q1626" s="51">
        <f>IF(K1626="Received",1,0)</f>
        <v/>
      </c>
      <c r="R1626" s="51">
        <f>IF(Q1626=1,F1626-D1626,0)</f>
        <v/>
      </c>
      <c r="S1626" s="51">
        <f>IF(Q1626=1,IF(F1626&lt;=E1626,1,0),0)</f>
        <v/>
      </c>
      <c r="T1626" s="51">
        <f>IF(Q1626=1,IF(H1626&gt;=G1626,1,0),0)</f>
        <v/>
      </c>
      <c r="U1626" s="51">
        <f>S1626*T1626</f>
        <v/>
      </c>
      <c r="V1626" s="51">
        <f>IF(Q1626=1,MAX(0,F1626-E1626),0)</f>
        <v/>
      </c>
    </row>
    <row r="1627">
      <c r="A1627" s="43" t="inlineStr">
        <is>
          <t>PO100259</t>
        </is>
      </c>
      <c r="B1627" s="43" t="inlineStr">
        <is>
          <t>CMD-0011</t>
        </is>
      </c>
      <c r="C1627" s="43" t="inlineStr">
        <is>
          <t>S07</t>
        </is>
      </c>
      <c r="D1627" s="47" t="n">
        <v>46158</v>
      </c>
      <c r="E1627" s="47" t="n">
        <v>46249</v>
      </c>
      <c r="F1627" s="47" t="n">
        <v>46249</v>
      </c>
      <c r="G1627" s="46" t="n">
        <v>3433</v>
      </c>
      <c r="H1627" s="46" t="n">
        <v>3433</v>
      </c>
      <c r="I1627" s="46" t="n">
        <v>31</v>
      </c>
      <c r="J1627" s="44" t="n">
        <v>9.5344</v>
      </c>
      <c r="K1627" s="43" t="inlineStr">
        <is>
          <t>Received</t>
        </is>
      </c>
      <c r="L1627" s="17">
        <f>INDEX(Items!$C$2:$C$117,MATCH(B1627,Items!$A$2:$A$117,0))</f>
        <v/>
      </c>
      <c r="M1627" s="49">
        <f>INDEX(Items!$E$2:$E$117,MATCH(B1627,Items!$A$2:$A$117,0))</f>
        <v/>
      </c>
      <c r="N1627" s="17">
        <f>TEXT(D1627,"yyyy-mm")</f>
        <v/>
      </c>
      <c r="O1627" s="50">
        <f>G1627*J1627</f>
        <v/>
      </c>
      <c r="P1627" s="50">
        <f>(J1627-M1627)*G1627</f>
        <v/>
      </c>
      <c r="Q1627" s="51">
        <f>IF(K1627="Received",1,0)</f>
        <v/>
      </c>
      <c r="R1627" s="51">
        <f>IF(Q1627=1,F1627-D1627,0)</f>
        <v/>
      </c>
      <c r="S1627" s="51">
        <f>IF(Q1627=1,IF(F1627&lt;=E1627,1,0),0)</f>
        <v/>
      </c>
      <c r="T1627" s="51">
        <f>IF(Q1627=1,IF(H1627&gt;=G1627,1,0),0)</f>
        <v/>
      </c>
      <c r="U1627" s="51">
        <f>S1627*T1627</f>
        <v/>
      </c>
      <c r="V1627" s="51">
        <f>IF(Q1627=1,MAX(0,F1627-E1627),0)</f>
        <v/>
      </c>
    </row>
    <row r="1628">
      <c r="A1628" s="43" t="inlineStr">
        <is>
          <t>PO101499</t>
        </is>
      </c>
      <c r="B1628" s="43" t="inlineStr">
        <is>
          <t>CMD-0079</t>
        </is>
      </c>
      <c r="C1628" s="43" t="inlineStr">
        <is>
          <t>S06</t>
        </is>
      </c>
      <c r="D1628" s="47" t="n">
        <v>46158</v>
      </c>
      <c r="E1628" s="47" t="n">
        <v>46179</v>
      </c>
      <c r="F1628" s="47" t="n">
        <v>46176</v>
      </c>
      <c r="G1628" s="46" t="n">
        <v>1628</v>
      </c>
      <c r="H1628" s="46" t="n">
        <v>1628</v>
      </c>
      <c r="I1628" s="46" t="n">
        <v>9</v>
      </c>
      <c r="J1628" s="44" t="n">
        <v>3.6359</v>
      </c>
      <c r="K1628" s="43" t="inlineStr">
        <is>
          <t>Received</t>
        </is>
      </c>
      <c r="L1628" s="17">
        <f>INDEX(Items!$C$2:$C$117,MATCH(B1628,Items!$A$2:$A$117,0))</f>
        <v/>
      </c>
      <c r="M1628" s="49">
        <f>INDEX(Items!$E$2:$E$117,MATCH(B1628,Items!$A$2:$A$117,0))</f>
        <v/>
      </c>
      <c r="N1628" s="17">
        <f>TEXT(D1628,"yyyy-mm")</f>
        <v/>
      </c>
      <c r="O1628" s="50">
        <f>G1628*J1628</f>
        <v/>
      </c>
      <c r="P1628" s="50">
        <f>(J1628-M1628)*G1628</f>
        <v/>
      </c>
      <c r="Q1628" s="51">
        <f>IF(K1628="Received",1,0)</f>
        <v/>
      </c>
      <c r="R1628" s="51">
        <f>IF(Q1628=1,F1628-D1628,0)</f>
        <v/>
      </c>
      <c r="S1628" s="51">
        <f>IF(Q1628=1,IF(F1628&lt;=E1628,1,0),0)</f>
        <v/>
      </c>
      <c r="T1628" s="51">
        <f>IF(Q1628=1,IF(H1628&gt;=G1628,1,0),0)</f>
        <v/>
      </c>
      <c r="U1628" s="51">
        <f>S1628*T1628</f>
        <v/>
      </c>
      <c r="V1628" s="51">
        <f>IF(Q1628=1,MAX(0,F1628-E1628),0)</f>
        <v/>
      </c>
    </row>
    <row r="1629">
      <c r="A1629" s="43" t="inlineStr">
        <is>
          <t>PO100187</t>
        </is>
      </c>
      <c r="B1629" s="43" t="inlineStr">
        <is>
          <t>CMD-0008</t>
        </is>
      </c>
      <c r="C1629" s="43" t="inlineStr">
        <is>
          <t>S03</t>
        </is>
      </c>
      <c r="D1629" s="47" t="n">
        <v>46158</v>
      </c>
      <c r="E1629" s="47" t="n">
        <v>46291</v>
      </c>
      <c r="F1629" s="47" t="n">
        <v>46288</v>
      </c>
      <c r="G1629" s="46" t="n">
        <v>1316</v>
      </c>
      <c r="H1629" s="46" t="n">
        <v>1316</v>
      </c>
      <c r="I1629" s="46" t="n">
        <v>9</v>
      </c>
      <c r="J1629" s="44" t="n">
        <v>27.9188</v>
      </c>
      <c r="K1629" s="43" t="inlineStr">
        <is>
          <t>Received</t>
        </is>
      </c>
      <c r="L1629" s="17">
        <f>INDEX(Items!$C$2:$C$117,MATCH(B1629,Items!$A$2:$A$117,0))</f>
        <v/>
      </c>
      <c r="M1629" s="49">
        <f>INDEX(Items!$E$2:$E$117,MATCH(B1629,Items!$A$2:$A$117,0))</f>
        <v/>
      </c>
      <c r="N1629" s="17">
        <f>TEXT(D1629,"yyyy-mm")</f>
        <v/>
      </c>
      <c r="O1629" s="50">
        <f>G1629*J1629</f>
        <v/>
      </c>
      <c r="P1629" s="50">
        <f>(J1629-M1629)*G1629</f>
        <v/>
      </c>
      <c r="Q1629" s="51">
        <f>IF(K1629="Received",1,0)</f>
        <v/>
      </c>
      <c r="R1629" s="51">
        <f>IF(Q1629=1,F1629-D1629,0)</f>
        <v/>
      </c>
      <c r="S1629" s="51">
        <f>IF(Q1629=1,IF(F1629&lt;=E1629,1,0),0)</f>
        <v/>
      </c>
      <c r="T1629" s="51">
        <f>IF(Q1629=1,IF(H1629&gt;=G1629,1,0),0)</f>
        <v/>
      </c>
      <c r="U1629" s="51">
        <f>S1629*T1629</f>
        <v/>
      </c>
      <c r="V1629" s="51">
        <f>IF(Q1629=1,MAX(0,F1629-E1629),0)</f>
        <v/>
      </c>
    </row>
    <row r="1630">
      <c r="A1630" s="43" t="inlineStr">
        <is>
          <t>PO101177</t>
        </is>
      </c>
      <c r="B1630" s="43" t="inlineStr">
        <is>
          <t>CMD-0054</t>
        </is>
      </c>
      <c r="C1630" s="43" t="inlineStr">
        <is>
          <t>S10</t>
        </is>
      </c>
      <c r="D1630" s="47" t="n">
        <v>46158</v>
      </c>
      <c r="E1630" s="47" t="n">
        <v>46186</v>
      </c>
      <c r="F1630" s="47" t="n">
        <v>46184</v>
      </c>
      <c r="G1630" s="46" t="n">
        <v>44708</v>
      </c>
      <c r="H1630" s="46" t="n">
        <v>44708</v>
      </c>
      <c r="I1630" s="46" t="n">
        <v>45</v>
      </c>
      <c r="J1630" s="44" t="n">
        <v>0.1738</v>
      </c>
      <c r="K1630" s="43" t="inlineStr">
        <is>
          <t>Received</t>
        </is>
      </c>
      <c r="L1630" s="17">
        <f>INDEX(Items!$C$2:$C$117,MATCH(B1630,Items!$A$2:$A$117,0))</f>
        <v/>
      </c>
      <c r="M1630" s="49">
        <f>INDEX(Items!$E$2:$E$117,MATCH(B1630,Items!$A$2:$A$117,0))</f>
        <v/>
      </c>
      <c r="N1630" s="17">
        <f>TEXT(D1630,"yyyy-mm")</f>
        <v/>
      </c>
      <c r="O1630" s="50">
        <f>G1630*J1630</f>
        <v/>
      </c>
      <c r="P1630" s="50">
        <f>(J1630-M1630)*G1630</f>
        <v/>
      </c>
      <c r="Q1630" s="51">
        <f>IF(K1630="Received",1,0)</f>
        <v/>
      </c>
      <c r="R1630" s="51">
        <f>IF(Q1630=1,F1630-D1630,0)</f>
        <v/>
      </c>
      <c r="S1630" s="51">
        <f>IF(Q1630=1,IF(F1630&lt;=E1630,1,0),0)</f>
        <v/>
      </c>
      <c r="T1630" s="51">
        <f>IF(Q1630=1,IF(H1630&gt;=G1630,1,0),0)</f>
        <v/>
      </c>
      <c r="U1630" s="51">
        <f>S1630*T1630</f>
        <v/>
      </c>
      <c r="V1630" s="51">
        <f>IF(Q1630=1,MAX(0,F1630-E1630),0)</f>
        <v/>
      </c>
    </row>
    <row r="1631">
      <c r="A1631" s="43" t="inlineStr">
        <is>
          <t>PO100115</t>
        </is>
      </c>
      <c r="B1631" s="43" t="inlineStr">
        <is>
          <t>CMD-0005</t>
        </is>
      </c>
      <c r="C1631" s="43" t="inlineStr">
        <is>
          <t>S07</t>
        </is>
      </c>
      <c r="D1631" s="47" t="n">
        <v>46159</v>
      </c>
      <c r="E1631" s="47" t="n">
        <v>46250</v>
      </c>
      <c r="F1631" s="47" t="n">
        <v>46250</v>
      </c>
      <c r="G1631" s="46" t="n">
        <v>5437</v>
      </c>
      <c r="H1631" s="46" t="n">
        <v>5437</v>
      </c>
      <c r="I1631" s="46" t="n">
        <v>58</v>
      </c>
      <c r="J1631" s="44" t="n">
        <v>6.6434</v>
      </c>
      <c r="K1631" s="43" t="inlineStr">
        <is>
          <t>Received</t>
        </is>
      </c>
      <c r="L1631" s="17">
        <f>INDEX(Items!$C$2:$C$117,MATCH(B1631,Items!$A$2:$A$117,0))</f>
        <v/>
      </c>
      <c r="M1631" s="49">
        <f>INDEX(Items!$E$2:$E$117,MATCH(B1631,Items!$A$2:$A$117,0))</f>
        <v/>
      </c>
      <c r="N1631" s="17">
        <f>TEXT(D1631,"yyyy-mm")</f>
        <v/>
      </c>
      <c r="O1631" s="50">
        <f>G1631*J1631</f>
        <v/>
      </c>
      <c r="P1631" s="50">
        <f>(J1631-M1631)*G1631</f>
        <v/>
      </c>
      <c r="Q1631" s="51">
        <f>IF(K1631="Received",1,0)</f>
        <v/>
      </c>
      <c r="R1631" s="51">
        <f>IF(Q1631=1,F1631-D1631,0)</f>
        <v/>
      </c>
      <c r="S1631" s="51">
        <f>IF(Q1631=1,IF(F1631&lt;=E1631,1,0),0)</f>
        <v/>
      </c>
      <c r="T1631" s="51">
        <f>IF(Q1631=1,IF(H1631&gt;=G1631,1,0),0)</f>
        <v/>
      </c>
      <c r="U1631" s="51">
        <f>S1631*T1631</f>
        <v/>
      </c>
      <c r="V1631" s="51">
        <f>IF(Q1631=1,MAX(0,F1631-E1631),0)</f>
        <v/>
      </c>
    </row>
    <row r="1632">
      <c r="A1632" s="43" t="inlineStr">
        <is>
          <t>PO101661</t>
        </is>
      </c>
      <c r="B1632" s="43" t="inlineStr">
        <is>
          <t>CMD-0091</t>
        </is>
      </c>
      <c r="C1632" s="43" t="inlineStr">
        <is>
          <t>S08</t>
        </is>
      </c>
      <c r="D1632" s="47" t="n">
        <v>46159</v>
      </c>
      <c r="E1632" s="47" t="n">
        <v>46236</v>
      </c>
      <c r="F1632" s="47" t="n">
        <v>46233</v>
      </c>
      <c r="G1632" s="46" t="n">
        <v>940</v>
      </c>
      <c r="H1632" s="46" t="n">
        <v>940</v>
      </c>
      <c r="I1632" s="46" t="n">
        <v>9</v>
      </c>
      <c r="J1632" s="44" t="n">
        <v>24.514</v>
      </c>
      <c r="K1632" s="43" t="inlineStr">
        <is>
          <t>Received</t>
        </is>
      </c>
      <c r="L1632" s="17">
        <f>INDEX(Items!$C$2:$C$117,MATCH(B1632,Items!$A$2:$A$117,0))</f>
        <v/>
      </c>
      <c r="M1632" s="49">
        <f>INDEX(Items!$E$2:$E$117,MATCH(B1632,Items!$A$2:$A$117,0))</f>
        <v/>
      </c>
      <c r="N1632" s="17">
        <f>TEXT(D1632,"yyyy-mm")</f>
        <v/>
      </c>
      <c r="O1632" s="50">
        <f>G1632*J1632</f>
        <v/>
      </c>
      <c r="P1632" s="50">
        <f>(J1632-M1632)*G1632</f>
        <v/>
      </c>
      <c r="Q1632" s="51">
        <f>IF(K1632="Received",1,0)</f>
        <v/>
      </c>
      <c r="R1632" s="51">
        <f>IF(Q1632=1,F1632-D1632,0)</f>
        <v/>
      </c>
      <c r="S1632" s="51">
        <f>IF(Q1632=1,IF(F1632&lt;=E1632,1,0),0)</f>
        <v/>
      </c>
      <c r="T1632" s="51">
        <f>IF(Q1632=1,IF(H1632&gt;=G1632,1,0),0)</f>
        <v/>
      </c>
      <c r="U1632" s="51">
        <f>S1632*T1632</f>
        <v/>
      </c>
      <c r="V1632" s="51">
        <f>IF(Q1632=1,MAX(0,F1632-E1632),0)</f>
        <v/>
      </c>
    </row>
    <row r="1633">
      <c r="A1633" s="43" t="inlineStr">
        <is>
          <t>PO101951</t>
        </is>
      </c>
      <c r="B1633" s="43" t="inlineStr">
        <is>
          <t>CMD-0107</t>
        </is>
      </c>
      <c r="C1633" s="43" t="inlineStr">
        <is>
          <t>S09</t>
        </is>
      </c>
      <c r="D1633" s="47" t="n">
        <v>46159</v>
      </c>
      <c r="E1633" s="47" t="n">
        <v>46180</v>
      </c>
      <c r="F1633" s="47" t="n">
        <v>46180</v>
      </c>
      <c r="G1633" s="46" t="n">
        <v>1217</v>
      </c>
      <c r="H1633" s="46" t="n">
        <v>1217</v>
      </c>
      <c r="I1633" s="46" t="n">
        <v>4</v>
      </c>
      <c r="J1633" s="44" t="n">
        <v>7.1585</v>
      </c>
      <c r="K1633" s="43" t="inlineStr">
        <is>
          <t>Received</t>
        </is>
      </c>
      <c r="L1633" s="17">
        <f>INDEX(Items!$C$2:$C$117,MATCH(B1633,Items!$A$2:$A$117,0))</f>
        <v/>
      </c>
      <c r="M1633" s="49">
        <f>INDEX(Items!$E$2:$E$117,MATCH(B1633,Items!$A$2:$A$117,0))</f>
        <v/>
      </c>
      <c r="N1633" s="17">
        <f>TEXT(D1633,"yyyy-mm")</f>
        <v/>
      </c>
      <c r="O1633" s="50">
        <f>G1633*J1633</f>
        <v/>
      </c>
      <c r="P1633" s="50">
        <f>(J1633-M1633)*G1633</f>
        <v/>
      </c>
      <c r="Q1633" s="51">
        <f>IF(K1633="Received",1,0)</f>
        <v/>
      </c>
      <c r="R1633" s="51">
        <f>IF(Q1633=1,F1633-D1633,0)</f>
        <v/>
      </c>
      <c r="S1633" s="51">
        <f>IF(Q1633=1,IF(F1633&lt;=E1633,1,0),0)</f>
        <v/>
      </c>
      <c r="T1633" s="51">
        <f>IF(Q1633=1,IF(H1633&gt;=G1633,1,0),0)</f>
        <v/>
      </c>
      <c r="U1633" s="51">
        <f>S1633*T1633</f>
        <v/>
      </c>
      <c r="V1633" s="51">
        <f>IF(Q1633=1,MAX(0,F1633-E1633),0)</f>
        <v/>
      </c>
    </row>
    <row r="1634">
      <c r="A1634" s="43" t="inlineStr">
        <is>
          <t>PO100407</t>
        </is>
      </c>
      <c r="B1634" s="43" t="inlineStr">
        <is>
          <t>CMD-0018</t>
        </is>
      </c>
      <c r="C1634" s="43" t="inlineStr">
        <is>
          <t>S02</t>
        </is>
      </c>
      <c r="D1634" s="47" t="n">
        <v>46159</v>
      </c>
      <c r="E1634" s="47" t="n">
        <v>46215</v>
      </c>
      <c r="F1634" s="47" t="n">
        <v>46238</v>
      </c>
      <c r="G1634" s="46" t="n">
        <v>6562</v>
      </c>
      <c r="H1634" s="46" t="n">
        <v>6562</v>
      </c>
      <c r="I1634" s="46" t="n">
        <v>40</v>
      </c>
      <c r="J1634" s="44" t="n">
        <v>39.0576</v>
      </c>
      <c r="K1634" s="43" t="inlineStr">
        <is>
          <t>Received</t>
        </is>
      </c>
      <c r="L1634" s="17">
        <f>INDEX(Items!$C$2:$C$117,MATCH(B1634,Items!$A$2:$A$117,0))</f>
        <v/>
      </c>
      <c r="M1634" s="49">
        <f>INDEX(Items!$E$2:$E$117,MATCH(B1634,Items!$A$2:$A$117,0))</f>
        <v/>
      </c>
      <c r="N1634" s="17">
        <f>TEXT(D1634,"yyyy-mm")</f>
        <v/>
      </c>
      <c r="O1634" s="50">
        <f>G1634*J1634</f>
        <v/>
      </c>
      <c r="P1634" s="50">
        <f>(J1634-M1634)*G1634</f>
        <v/>
      </c>
      <c r="Q1634" s="51">
        <f>IF(K1634="Received",1,0)</f>
        <v/>
      </c>
      <c r="R1634" s="51">
        <f>IF(Q1634=1,F1634-D1634,0)</f>
        <v/>
      </c>
      <c r="S1634" s="51">
        <f>IF(Q1634=1,IF(F1634&lt;=E1634,1,0),0)</f>
        <v/>
      </c>
      <c r="T1634" s="51">
        <f>IF(Q1634=1,IF(H1634&gt;=G1634,1,0),0)</f>
        <v/>
      </c>
      <c r="U1634" s="51">
        <f>S1634*T1634</f>
        <v/>
      </c>
      <c r="V1634" s="51">
        <f>IF(Q1634=1,MAX(0,F1634-E1634),0)</f>
        <v/>
      </c>
    </row>
    <row r="1635">
      <c r="A1635" s="43" t="inlineStr">
        <is>
          <t>PO100977</t>
        </is>
      </c>
      <c r="B1635" s="43" t="inlineStr">
        <is>
          <t>CMD-0044</t>
        </is>
      </c>
      <c r="C1635" s="43" t="inlineStr">
        <is>
          <t>S05</t>
        </is>
      </c>
      <c r="D1635" s="47" t="n">
        <v>46159</v>
      </c>
      <c r="E1635" s="47" t="n">
        <v>46264</v>
      </c>
      <c r="F1635" s="47" t="n">
        <v>46269</v>
      </c>
      <c r="G1635" s="46" t="n">
        <v>5311</v>
      </c>
      <c r="H1635" s="46" t="n">
        <v>5311</v>
      </c>
      <c r="I1635" s="46" t="n">
        <v>99</v>
      </c>
      <c r="J1635" s="44" t="n">
        <v>11.9171</v>
      </c>
      <c r="K1635" s="43" t="inlineStr">
        <is>
          <t>Received</t>
        </is>
      </c>
      <c r="L1635" s="17">
        <f>INDEX(Items!$C$2:$C$117,MATCH(B1635,Items!$A$2:$A$117,0))</f>
        <v/>
      </c>
      <c r="M1635" s="49">
        <f>INDEX(Items!$E$2:$E$117,MATCH(B1635,Items!$A$2:$A$117,0))</f>
        <v/>
      </c>
      <c r="N1635" s="17">
        <f>TEXT(D1635,"yyyy-mm")</f>
        <v/>
      </c>
      <c r="O1635" s="50">
        <f>G1635*J1635</f>
        <v/>
      </c>
      <c r="P1635" s="50">
        <f>(J1635-M1635)*G1635</f>
        <v/>
      </c>
      <c r="Q1635" s="51">
        <f>IF(K1635="Received",1,0)</f>
        <v/>
      </c>
      <c r="R1635" s="51">
        <f>IF(Q1635=1,F1635-D1635,0)</f>
        <v/>
      </c>
      <c r="S1635" s="51">
        <f>IF(Q1635=1,IF(F1635&lt;=E1635,1,0),0)</f>
        <v/>
      </c>
      <c r="T1635" s="51">
        <f>IF(Q1635=1,IF(H1635&gt;=G1635,1,0),0)</f>
        <v/>
      </c>
      <c r="U1635" s="51">
        <f>S1635*T1635</f>
        <v/>
      </c>
      <c r="V1635" s="51">
        <f>IF(Q1635=1,MAX(0,F1635-E1635),0)</f>
        <v/>
      </c>
    </row>
    <row r="1636">
      <c r="A1636" s="43" t="inlineStr">
        <is>
          <t>PO100659</t>
        </is>
      </c>
      <c r="B1636" s="43" t="inlineStr">
        <is>
          <t>CMD-0029</t>
        </is>
      </c>
      <c r="C1636" s="43" t="inlineStr">
        <is>
          <t>S11</t>
        </is>
      </c>
      <c r="D1636" s="47" t="n">
        <v>46160</v>
      </c>
      <c r="E1636" s="47" t="n">
        <v>46237</v>
      </c>
      <c r="F1636" s="47" t="n">
        <v>46235</v>
      </c>
      <c r="G1636" s="46" t="n">
        <v>3969</v>
      </c>
      <c r="H1636" s="46" t="n">
        <v>3969</v>
      </c>
      <c r="I1636" s="46" t="n">
        <v>9</v>
      </c>
      <c r="J1636" s="44" t="n">
        <v>7.0761</v>
      </c>
      <c r="K1636" s="43" t="inlineStr">
        <is>
          <t>Received</t>
        </is>
      </c>
      <c r="L1636" s="17">
        <f>INDEX(Items!$C$2:$C$117,MATCH(B1636,Items!$A$2:$A$117,0))</f>
        <v/>
      </c>
      <c r="M1636" s="49">
        <f>INDEX(Items!$E$2:$E$117,MATCH(B1636,Items!$A$2:$A$117,0))</f>
        <v/>
      </c>
      <c r="N1636" s="17">
        <f>TEXT(D1636,"yyyy-mm")</f>
        <v/>
      </c>
      <c r="O1636" s="50">
        <f>G1636*J1636</f>
        <v/>
      </c>
      <c r="P1636" s="50">
        <f>(J1636-M1636)*G1636</f>
        <v/>
      </c>
      <c r="Q1636" s="51">
        <f>IF(K1636="Received",1,0)</f>
        <v/>
      </c>
      <c r="R1636" s="51">
        <f>IF(Q1636=1,F1636-D1636,0)</f>
        <v/>
      </c>
      <c r="S1636" s="51">
        <f>IF(Q1636=1,IF(F1636&lt;=E1636,1,0),0)</f>
        <v/>
      </c>
      <c r="T1636" s="51">
        <f>IF(Q1636=1,IF(H1636&gt;=G1636,1,0),0)</f>
        <v/>
      </c>
      <c r="U1636" s="51">
        <f>S1636*T1636</f>
        <v/>
      </c>
      <c r="V1636" s="51">
        <f>IF(Q1636=1,MAX(0,F1636-E1636),0)</f>
        <v/>
      </c>
    </row>
    <row r="1637">
      <c r="A1637" s="43" t="inlineStr">
        <is>
          <t>PO100043</t>
        </is>
      </c>
      <c r="B1637" s="43" t="inlineStr">
        <is>
          <t>CMD-0002</t>
        </is>
      </c>
      <c r="C1637" s="43" t="inlineStr">
        <is>
          <t>S11</t>
        </is>
      </c>
      <c r="D1637" s="47" t="n">
        <v>46160</v>
      </c>
      <c r="E1637" s="47" t="n">
        <v>46279</v>
      </c>
      <c r="F1637" s="47" t="n">
        <v>46279</v>
      </c>
      <c r="G1637" s="46" t="n">
        <v>7352</v>
      </c>
      <c r="H1637" s="46" t="n">
        <v>7352</v>
      </c>
      <c r="I1637" s="46" t="n">
        <v>14</v>
      </c>
      <c r="J1637" s="44" t="n">
        <v>8.083</v>
      </c>
      <c r="K1637" s="43" t="inlineStr">
        <is>
          <t>Received</t>
        </is>
      </c>
      <c r="L1637" s="17">
        <f>INDEX(Items!$C$2:$C$117,MATCH(B1637,Items!$A$2:$A$117,0))</f>
        <v/>
      </c>
      <c r="M1637" s="49">
        <f>INDEX(Items!$E$2:$E$117,MATCH(B1637,Items!$A$2:$A$117,0))</f>
        <v/>
      </c>
      <c r="N1637" s="17">
        <f>TEXT(D1637,"yyyy-mm")</f>
        <v/>
      </c>
      <c r="O1637" s="50">
        <f>G1637*J1637</f>
        <v/>
      </c>
      <c r="P1637" s="50">
        <f>(J1637-M1637)*G1637</f>
        <v/>
      </c>
      <c r="Q1637" s="51">
        <f>IF(K1637="Received",1,0)</f>
        <v/>
      </c>
      <c r="R1637" s="51">
        <f>IF(Q1637=1,F1637-D1637,0)</f>
        <v/>
      </c>
      <c r="S1637" s="51">
        <f>IF(Q1637=1,IF(F1637&lt;=E1637,1,0),0)</f>
        <v/>
      </c>
      <c r="T1637" s="51">
        <f>IF(Q1637=1,IF(H1637&gt;=G1637,1,0),0)</f>
        <v/>
      </c>
      <c r="U1637" s="51">
        <f>S1637*T1637</f>
        <v/>
      </c>
      <c r="V1637" s="51">
        <f>IF(Q1637=1,MAX(0,F1637-E1637),0)</f>
        <v/>
      </c>
    </row>
    <row r="1638">
      <c r="A1638" s="43" t="inlineStr">
        <is>
          <t>PO101709</t>
        </is>
      </c>
      <c r="B1638" s="43" t="inlineStr">
        <is>
          <t>CMD-0093</t>
        </is>
      </c>
      <c r="C1638" s="43" t="inlineStr">
        <is>
          <t>S08</t>
        </is>
      </c>
      <c r="D1638" s="47" t="n">
        <v>46160</v>
      </c>
      <c r="E1638" s="47" t="n">
        <v>46237</v>
      </c>
      <c r="F1638" s="47" t="n">
        <v>46234</v>
      </c>
      <c r="G1638" s="46" t="n">
        <v>705</v>
      </c>
      <c r="H1638" s="46" t="n">
        <v>705</v>
      </c>
      <c r="I1638" s="46" t="n">
        <v>6</v>
      </c>
      <c r="J1638" s="44" t="n">
        <v>61.1923</v>
      </c>
      <c r="K1638" s="43" t="inlineStr">
        <is>
          <t>Received</t>
        </is>
      </c>
      <c r="L1638" s="17">
        <f>INDEX(Items!$C$2:$C$117,MATCH(B1638,Items!$A$2:$A$117,0))</f>
        <v/>
      </c>
      <c r="M1638" s="49">
        <f>INDEX(Items!$E$2:$E$117,MATCH(B1638,Items!$A$2:$A$117,0))</f>
        <v/>
      </c>
      <c r="N1638" s="17">
        <f>TEXT(D1638,"yyyy-mm")</f>
        <v/>
      </c>
      <c r="O1638" s="50">
        <f>G1638*J1638</f>
        <v/>
      </c>
      <c r="P1638" s="50">
        <f>(J1638-M1638)*G1638</f>
        <v/>
      </c>
      <c r="Q1638" s="51">
        <f>IF(K1638="Received",1,0)</f>
        <v/>
      </c>
      <c r="R1638" s="51">
        <f>IF(Q1638=1,F1638-D1638,0)</f>
        <v/>
      </c>
      <c r="S1638" s="51">
        <f>IF(Q1638=1,IF(F1638&lt;=E1638,1,0),0)</f>
        <v/>
      </c>
      <c r="T1638" s="51">
        <f>IF(Q1638=1,IF(H1638&gt;=G1638,1,0),0)</f>
        <v/>
      </c>
      <c r="U1638" s="51">
        <f>S1638*T1638</f>
        <v/>
      </c>
      <c r="V1638" s="51">
        <f>IF(Q1638=1,MAX(0,F1638-E1638),0)</f>
        <v/>
      </c>
    </row>
    <row r="1639">
      <c r="A1639" s="43" t="inlineStr">
        <is>
          <t>PO100235</t>
        </is>
      </c>
      <c r="B1639" s="43" t="inlineStr">
        <is>
          <t>CMD-0010</t>
        </is>
      </c>
      <c r="C1639" s="43" t="inlineStr">
        <is>
          <t>S03</t>
        </is>
      </c>
      <c r="D1639" s="47" t="n">
        <v>46160</v>
      </c>
      <c r="E1639" s="47" t="n">
        <v>46293</v>
      </c>
      <c r="F1639" s="47" t="n">
        <v>46290</v>
      </c>
      <c r="G1639" s="46" t="n">
        <v>4718</v>
      </c>
      <c r="H1639" s="46" t="n">
        <v>4718</v>
      </c>
      <c r="I1639" s="46" t="n">
        <v>21</v>
      </c>
      <c r="J1639" s="44" t="n">
        <v>5.4634</v>
      </c>
      <c r="K1639" s="43" t="inlineStr">
        <is>
          <t>Received</t>
        </is>
      </c>
      <c r="L1639" s="17">
        <f>INDEX(Items!$C$2:$C$117,MATCH(B1639,Items!$A$2:$A$117,0))</f>
        <v/>
      </c>
      <c r="M1639" s="49">
        <f>INDEX(Items!$E$2:$E$117,MATCH(B1639,Items!$A$2:$A$117,0))</f>
        <v/>
      </c>
      <c r="N1639" s="17">
        <f>TEXT(D1639,"yyyy-mm")</f>
        <v/>
      </c>
      <c r="O1639" s="50">
        <f>G1639*J1639</f>
        <v/>
      </c>
      <c r="P1639" s="50">
        <f>(J1639-M1639)*G1639</f>
        <v/>
      </c>
      <c r="Q1639" s="51">
        <f>IF(K1639="Received",1,0)</f>
        <v/>
      </c>
      <c r="R1639" s="51">
        <f>IF(Q1639=1,F1639-D1639,0)</f>
        <v/>
      </c>
      <c r="S1639" s="51">
        <f>IF(Q1639=1,IF(F1639&lt;=E1639,1,0),0)</f>
        <v/>
      </c>
      <c r="T1639" s="51">
        <f>IF(Q1639=1,IF(H1639&gt;=G1639,1,0),0)</f>
        <v/>
      </c>
      <c r="U1639" s="51">
        <f>S1639*T1639</f>
        <v/>
      </c>
      <c r="V1639" s="51">
        <f>IF(Q1639=1,MAX(0,F1639-E1639),0)</f>
        <v/>
      </c>
    </row>
    <row r="1640">
      <c r="A1640" s="43" t="inlineStr">
        <is>
          <t>PO100861</t>
        </is>
      </c>
      <c r="B1640" s="43" t="inlineStr">
        <is>
          <t>CMD-0038</t>
        </is>
      </c>
      <c r="C1640" s="43" t="inlineStr">
        <is>
          <t>S01</t>
        </is>
      </c>
      <c r="D1640" s="47" t="n">
        <v>46160</v>
      </c>
      <c r="E1640" s="47" t="n">
        <v>46188</v>
      </c>
      <c r="F1640" s="47" t="n">
        <v>46187</v>
      </c>
      <c r="G1640" s="46" t="n">
        <v>876</v>
      </c>
      <c r="H1640" s="46" t="n">
        <v>876</v>
      </c>
      <c r="I1640" s="46" t="n">
        <v>1</v>
      </c>
      <c r="J1640" s="44" t="n">
        <v>22.1347</v>
      </c>
      <c r="K1640" s="43" t="inlineStr">
        <is>
          <t>Received</t>
        </is>
      </c>
      <c r="L1640" s="17">
        <f>INDEX(Items!$C$2:$C$117,MATCH(B1640,Items!$A$2:$A$117,0))</f>
        <v/>
      </c>
      <c r="M1640" s="49">
        <f>INDEX(Items!$E$2:$E$117,MATCH(B1640,Items!$A$2:$A$117,0))</f>
        <v/>
      </c>
      <c r="N1640" s="17">
        <f>TEXT(D1640,"yyyy-mm")</f>
        <v/>
      </c>
      <c r="O1640" s="50">
        <f>G1640*J1640</f>
        <v/>
      </c>
      <c r="P1640" s="50">
        <f>(J1640-M1640)*G1640</f>
        <v/>
      </c>
      <c r="Q1640" s="51">
        <f>IF(K1640="Received",1,0)</f>
        <v/>
      </c>
      <c r="R1640" s="51">
        <f>IF(Q1640=1,F1640-D1640,0)</f>
        <v/>
      </c>
      <c r="S1640" s="51">
        <f>IF(Q1640=1,IF(F1640&lt;=E1640,1,0),0)</f>
        <v/>
      </c>
      <c r="T1640" s="51">
        <f>IF(Q1640=1,IF(H1640&gt;=G1640,1,0),0)</f>
        <v/>
      </c>
      <c r="U1640" s="51">
        <f>S1640*T1640</f>
        <v/>
      </c>
      <c r="V1640" s="51">
        <f>IF(Q1640=1,MAX(0,F1640-E1640),0)</f>
        <v/>
      </c>
    </row>
    <row r="1641">
      <c r="A1641" s="43" t="inlineStr">
        <is>
          <t>PO101415</t>
        </is>
      </c>
      <c r="B1641" s="43" t="inlineStr">
        <is>
          <t>CMD-0074</t>
        </is>
      </c>
      <c r="C1641" s="43" t="inlineStr">
        <is>
          <t>S10</t>
        </is>
      </c>
      <c r="D1641" s="47" t="n">
        <v>46160</v>
      </c>
      <c r="E1641" s="47" t="n">
        <v>46188</v>
      </c>
      <c r="F1641" s="47" t="n">
        <v>46185</v>
      </c>
      <c r="G1641" s="46" t="n">
        <v>63055</v>
      </c>
      <c r="H1641" s="46" t="n">
        <v>63055</v>
      </c>
      <c r="I1641" s="46" t="n">
        <v>71</v>
      </c>
      <c r="J1641" s="44" t="n">
        <v>0.3601</v>
      </c>
      <c r="K1641" s="43" t="inlineStr">
        <is>
          <t>Received</t>
        </is>
      </c>
      <c r="L1641" s="17">
        <f>INDEX(Items!$C$2:$C$117,MATCH(B1641,Items!$A$2:$A$117,0))</f>
        <v/>
      </c>
      <c r="M1641" s="49">
        <f>INDEX(Items!$E$2:$E$117,MATCH(B1641,Items!$A$2:$A$117,0))</f>
        <v/>
      </c>
      <c r="N1641" s="17">
        <f>TEXT(D1641,"yyyy-mm")</f>
        <v/>
      </c>
      <c r="O1641" s="50">
        <f>G1641*J1641</f>
        <v/>
      </c>
      <c r="P1641" s="50">
        <f>(J1641-M1641)*G1641</f>
        <v/>
      </c>
      <c r="Q1641" s="51">
        <f>IF(K1641="Received",1,0)</f>
        <v/>
      </c>
      <c r="R1641" s="51">
        <f>IF(Q1641=1,F1641-D1641,0)</f>
        <v/>
      </c>
      <c r="S1641" s="51">
        <f>IF(Q1641=1,IF(F1641&lt;=E1641,1,0),0)</f>
        <v/>
      </c>
      <c r="T1641" s="51">
        <f>IF(Q1641=1,IF(H1641&gt;=G1641,1,0),0)</f>
        <v/>
      </c>
      <c r="U1641" s="51">
        <f>S1641*T1641</f>
        <v/>
      </c>
      <c r="V1641" s="51">
        <f>IF(Q1641=1,MAX(0,F1641-E1641),0)</f>
        <v/>
      </c>
    </row>
    <row r="1642">
      <c r="A1642" s="43" t="inlineStr">
        <is>
          <t>PO100885</t>
        </is>
      </c>
      <c r="B1642" s="43" t="inlineStr">
        <is>
          <t>CMD-0039</t>
        </is>
      </c>
      <c r="C1642" s="43" t="inlineStr">
        <is>
          <t>S07</t>
        </is>
      </c>
      <c r="D1642" s="47" t="n">
        <v>46160</v>
      </c>
      <c r="E1642" s="47" t="n">
        <v>46202</v>
      </c>
      <c r="F1642" s="47" t="n">
        <v>46199</v>
      </c>
      <c r="G1642" s="46" t="n">
        <v>330</v>
      </c>
      <c r="H1642" s="46" t="n">
        <v>330</v>
      </c>
      <c r="I1642" s="46" t="n">
        <v>1</v>
      </c>
      <c r="J1642" s="44" t="n">
        <v>53.5497</v>
      </c>
      <c r="K1642" s="43" t="inlineStr">
        <is>
          <t>Received</t>
        </is>
      </c>
      <c r="L1642" s="17">
        <f>INDEX(Items!$C$2:$C$117,MATCH(B1642,Items!$A$2:$A$117,0))</f>
        <v/>
      </c>
      <c r="M1642" s="49">
        <f>INDEX(Items!$E$2:$E$117,MATCH(B1642,Items!$A$2:$A$117,0))</f>
        <v/>
      </c>
      <c r="N1642" s="17">
        <f>TEXT(D1642,"yyyy-mm")</f>
        <v/>
      </c>
      <c r="O1642" s="50">
        <f>G1642*J1642</f>
        <v/>
      </c>
      <c r="P1642" s="50">
        <f>(J1642-M1642)*G1642</f>
        <v/>
      </c>
      <c r="Q1642" s="51">
        <f>IF(K1642="Received",1,0)</f>
        <v/>
      </c>
      <c r="R1642" s="51">
        <f>IF(Q1642=1,F1642-D1642,0)</f>
        <v/>
      </c>
      <c r="S1642" s="51">
        <f>IF(Q1642=1,IF(F1642&lt;=E1642,1,0),0)</f>
        <v/>
      </c>
      <c r="T1642" s="51">
        <f>IF(Q1642=1,IF(H1642&gt;=G1642,1,0),0)</f>
        <v/>
      </c>
      <c r="U1642" s="51">
        <f>S1642*T1642</f>
        <v/>
      </c>
      <c r="V1642" s="51">
        <f>IF(Q1642=1,MAX(0,F1642-E1642),0)</f>
        <v/>
      </c>
    </row>
    <row r="1643">
      <c r="A1643" s="43" t="inlineStr">
        <is>
          <t>PO101025</t>
        </is>
      </c>
      <c r="B1643" s="43" t="inlineStr">
        <is>
          <t>CMD-0046</t>
        </is>
      </c>
      <c r="C1643" s="43" t="inlineStr">
        <is>
          <t>S05</t>
        </is>
      </c>
      <c r="D1643" s="47" t="n">
        <v>46160</v>
      </c>
      <c r="E1643" s="47" t="n">
        <v>46265</v>
      </c>
      <c r="F1643" s="47" t="n">
        <v>46279</v>
      </c>
      <c r="G1643" s="46" t="n">
        <v>9997</v>
      </c>
      <c r="H1643" s="46" t="n">
        <v>9997</v>
      </c>
      <c r="I1643" s="46" t="n">
        <v>175</v>
      </c>
      <c r="J1643" s="44" t="n">
        <v>10.8871</v>
      </c>
      <c r="K1643" s="43" t="inlineStr">
        <is>
          <t>Received</t>
        </is>
      </c>
      <c r="L1643" s="17">
        <f>INDEX(Items!$C$2:$C$117,MATCH(B1643,Items!$A$2:$A$117,0))</f>
        <v/>
      </c>
      <c r="M1643" s="49">
        <f>INDEX(Items!$E$2:$E$117,MATCH(B1643,Items!$A$2:$A$117,0))</f>
        <v/>
      </c>
      <c r="N1643" s="17">
        <f>TEXT(D1643,"yyyy-mm")</f>
        <v/>
      </c>
      <c r="O1643" s="50">
        <f>G1643*J1643</f>
        <v/>
      </c>
      <c r="P1643" s="50">
        <f>(J1643-M1643)*G1643</f>
        <v/>
      </c>
      <c r="Q1643" s="51">
        <f>IF(K1643="Received",1,0)</f>
        <v/>
      </c>
      <c r="R1643" s="51">
        <f>IF(Q1643=1,F1643-D1643,0)</f>
        <v/>
      </c>
      <c r="S1643" s="51">
        <f>IF(Q1643=1,IF(F1643&lt;=E1643,1,0),0)</f>
        <v/>
      </c>
      <c r="T1643" s="51">
        <f>IF(Q1643=1,IF(H1643&gt;=G1643,1,0),0)</f>
        <v/>
      </c>
      <c r="U1643" s="51">
        <f>S1643*T1643</f>
        <v/>
      </c>
      <c r="V1643" s="51">
        <f>IF(Q1643=1,MAX(0,F1643-E1643),0)</f>
        <v/>
      </c>
    </row>
    <row r="1644">
      <c r="A1644" s="43" t="inlineStr">
        <is>
          <t>PO101839</t>
        </is>
      </c>
      <c r="B1644" s="43" t="inlineStr">
        <is>
          <t>CMD-0100</t>
        </is>
      </c>
      <c r="C1644" s="43" t="inlineStr">
        <is>
          <t>S09</t>
        </is>
      </c>
      <c r="D1644" s="47" t="n">
        <v>46161</v>
      </c>
      <c r="E1644" s="47" t="n">
        <v>46182</v>
      </c>
      <c r="F1644" s="47" t="n">
        <v>46181</v>
      </c>
      <c r="G1644" s="46" t="n">
        <v>6296</v>
      </c>
      <c r="H1644" s="46" t="n">
        <v>6296</v>
      </c>
      <c r="I1644" s="46" t="n">
        <v>25</v>
      </c>
      <c r="J1644" s="44" t="n">
        <v>5.0882</v>
      </c>
      <c r="K1644" s="43" t="inlineStr">
        <is>
          <t>Received</t>
        </is>
      </c>
      <c r="L1644" s="17">
        <f>INDEX(Items!$C$2:$C$117,MATCH(B1644,Items!$A$2:$A$117,0))</f>
        <v/>
      </c>
      <c r="M1644" s="49">
        <f>INDEX(Items!$E$2:$E$117,MATCH(B1644,Items!$A$2:$A$117,0))</f>
        <v/>
      </c>
      <c r="N1644" s="17">
        <f>TEXT(D1644,"yyyy-mm")</f>
        <v/>
      </c>
      <c r="O1644" s="50">
        <f>G1644*J1644</f>
        <v/>
      </c>
      <c r="P1644" s="50">
        <f>(J1644-M1644)*G1644</f>
        <v/>
      </c>
      <c r="Q1644" s="51">
        <f>IF(K1644="Received",1,0)</f>
        <v/>
      </c>
      <c r="R1644" s="51">
        <f>IF(Q1644=1,F1644-D1644,0)</f>
        <v/>
      </c>
      <c r="S1644" s="51">
        <f>IF(Q1644=1,IF(F1644&lt;=E1644,1,0),0)</f>
        <v/>
      </c>
      <c r="T1644" s="51">
        <f>IF(Q1644=1,IF(H1644&gt;=G1644,1,0),0)</f>
        <v/>
      </c>
      <c r="U1644" s="51">
        <f>S1644*T1644</f>
        <v/>
      </c>
      <c r="V1644" s="51">
        <f>IF(Q1644=1,MAX(0,F1644-E1644),0)</f>
        <v/>
      </c>
    </row>
    <row r="1645">
      <c r="A1645" s="43" t="inlineStr">
        <is>
          <t>PO100491</t>
        </is>
      </c>
      <c r="B1645" s="43" t="inlineStr">
        <is>
          <t>CMD-0022</t>
        </is>
      </c>
      <c r="C1645" s="43" t="inlineStr">
        <is>
          <t>S02</t>
        </is>
      </c>
      <c r="D1645" s="47" t="n">
        <v>46161</v>
      </c>
      <c r="E1645" s="47" t="n">
        <v>46217</v>
      </c>
      <c r="F1645" s="47" t="n">
        <v>46215</v>
      </c>
      <c r="G1645" s="46" t="n">
        <v>3665</v>
      </c>
      <c r="H1645" s="46" t="n">
        <v>3665</v>
      </c>
      <c r="I1645" s="46" t="n">
        <v>20</v>
      </c>
      <c r="J1645" s="44" t="n">
        <v>17.6954</v>
      </c>
      <c r="K1645" s="43" t="inlineStr">
        <is>
          <t>Received</t>
        </is>
      </c>
      <c r="L1645" s="17">
        <f>INDEX(Items!$C$2:$C$117,MATCH(B1645,Items!$A$2:$A$117,0))</f>
        <v/>
      </c>
      <c r="M1645" s="49">
        <f>INDEX(Items!$E$2:$E$117,MATCH(B1645,Items!$A$2:$A$117,0))</f>
        <v/>
      </c>
      <c r="N1645" s="17">
        <f>TEXT(D1645,"yyyy-mm")</f>
        <v/>
      </c>
      <c r="O1645" s="50">
        <f>G1645*J1645</f>
        <v/>
      </c>
      <c r="P1645" s="50">
        <f>(J1645-M1645)*G1645</f>
        <v/>
      </c>
      <c r="Q1645" s="51">
        <f>IF(K1645="Received",1,0)</f>
        <v/>
      </c>
      <c r="R1645" s="51">
        <f>IF(Q1645=1,F1645-D1645,0)</f>
        <v/>
      </c>
      <c r="S1645" s="51">
        <f>IF(Q1645=1,IF(F1645&lt;=E1645,1,0),0)</f>
        <v/>
      </c>
      <c r="T1645" s="51">
        <f>IF(Q1645=1,IF(H1645&gt;=G1645,1,0),0)</f>
        <v/>
      </c>
      <c r="U1645" s="51">
        <f>S1645*T1645</f>
        <v/>
      </c>
      <c r="V1645" s="51">
        <f>IF(Q1645=1,MAX(0,F1645-E1645),0)</f>
        <v/>
      </c>
    </row>
    <row r="1646">
      <c r="A1646" s="43" t="inlineStr">
        <is>
          <t>PO101101</t>
        </is>
      </c>
      <c r="B1646" s="43" t="inlineStr">
        <is>
          <t>CMD-0050</t>
        </is>
      </c>
      <c r="C1646" s="43" t="inlineStr">
        <is>
          <t>S10</t>
        </is>
      </c>
      <c r="D1646" s="47" t="n">
        <v>46161</v>
      </c>
      <c r="E1646" s="47" t="n">
        <v>46189</v>
      </c>
      <c r="F1646" s="47" t="n">
        <v>46188</v>
      </c>
      <c r="G1646" s="46" t="n">
        <v>76584</v>
      </c>
      <c r="H1646" s="46" t="n">
        <v>76584</v>
      </c>
      <c r="I1646" s="46" t="n">
        <v>97</v>
      </c>
      <c r="J1646" s="44" t="n">
        <v>0.0772</v>
      </c>
      <c r="K1646" s="43" t="inlineStr">
        <is>
          <t>Received</t>
        </is>
      </c>
      <c r="L1646" s="17">
        <f>INDEX(Items!$C$2:$C$117,MATCH(B1646,Items!$A$2:$A$117,0))</f>
        <v/>
      </c>
      <c r="M1646" s="49">
        <f>INDEX(Items!$E$2:$E$117,MATCH(B1646,Items!$A$2:$A$117,0))</f>
        <v/>
      </c>
      <c r="N1646" s="17">
        <f>TEXT(D1646,"yyyy-mm")</f>
        <v/>
      </c>
      <c r="O1646" s="50">
        <f>G1646*J1646</f>
        <v/>
      </c>
      <c r="P1646" s="50">
        <f>(J1646-M1646)*G1646</f>
        <v/>
      </c>
      <c r="Q1646" s="51">
        <f>IF(K1646="Received",1,0)</f>
        <v/>
      </c>
      <c r="R1646" s="51">
        <f>IF(Q1646=1,F1646-D1646,0)</f>
        <v/>
      </c>
      <c r="S1646" s="51">
        <f>IF(Q1646=1,IF(F1646&lt;=E1646,1,0),0)</f>
        <v/>
      </c>
      <c r="T1646" s="51">
        <f>IF(Q1646=1,IF(H1646&gt;=G1646,1,0),0)</f>
        <v/>
      </c>
      <c r="U1646" s="51">
        <f>S1646*T1646</f>
        <v/>
      </c>
      <c r="V1646" s="51">
        <f>IF(Q1646=1,MAX(0,F1646-E1646),0)</f>
        <v/>
      </c>
    </row>
    <row r="1647">
      <c r="A1647" s="43" t="inlineStr">
        <is>
          <t>PO101071</t>
        </is>
      </c>
      <c r="B1647" s="43" t="inlineStr">
        <is>
          <t>CMD-0048</t>
        </is>
      </c>
      <c r="C1647" s="43" t="inlineStr">
        <is>
          <t>S10</t>
        </is>
      </c>
      <c r="D1647" s="47" t="n">
        <v>46161</v>
      </c>
      <c r="E1647" s="47" t="n">
        <v>46189</v>
      </c>
      <c r="F1647" s="47" t="n">
        <v>46187</v>
      </c>
      <c r="G1647" s="46" t="n">
        <v>17068</v>
      </c>
      <c r="H1647" s="46" t="n">
        <v>17068</v>
      </c>
      <c r="I1647" s="46" t="n">
        <v>16</v>
      </c>
      <c r="J1647" s="44" t="n">
        <v>0.3328</v>
      </c>
      <c r="K1647" s="43" t="inlineStr">
        <is>
          <t>Received</t>
        </is>
      </c>
      <c r="L1647" s="17">
        <f>INDEX(Items!$C$2:$C$117,MATCH(B1647,Items!$A$2:$A$117,0))</f>
        <v/>
      </c>
      <c r="M1647" s="49">
        <f>INDEX(Items!$E$2:$E$117,MATCH(B1647,Items!$A$2:$A$117,0))</f>
        <v/>
      </c>
      <c r="N1647" s="17">
        <f>TEXT(D1647,"yyyy-mm")</f>
        <v/>
      </c>
      <c r="O1647" s="50">
        <f>G1647*J1647</f>
        <v/>
      </c>
      <c r="P1647" s="50">
        <f>(J1647-M1647)*G1647</f>
        <v/>
      </c>
      <c r="Q1647" s="51">
        <f>IF(K1647="Received",1,0)</f>
        <v/>
      </c>
      <c r="R1647" s="51">
        <f>IF(Q1647=1,F1647-D1647,0)</f>
        <v/>
      </c>
      <c r="S1647" s="51">
        <f>IF(Q1647=1,IF(F1647&lt;=E1647,1,0),0)</f>
        <v/>
      </c>
      <c r="T1647" s="51">
        <f>IF(Q1647=1,IF(H1647&gt;=G1647,1,0),0)</f>
        <v/>
      </c>
      <c r="U1647" s="51">
        <f>S1647*T1647</f>
        <v/>
      </c>
      <c r="V1647" s="51">
        <f>IF(Q1647=1,MAX(0,F1647-E1647),0)</f>
        <v/>
      </c>
    </row>
    <row r="1648">
      <c r="A1648" s="43" t="inlineStr">
        <is>
          <t>PO100765</t>
        </is>
      </c>
      <c r="B1648" s="43" t="inlineStr">
        <is>
          <t>CMD-0034</t>
        </is>
      </c>
      <c r="C1648" s="43" t="inlineStr">
        <is>
          <t>S04</t>
        </is>
      </c>
      <c r="D1648" s="47" t="n">
        <v>46161</v>
      </c>
      <c r="E1648" s="47" t="n">
        <v>46203</v>
      </c>
      <c r="F1648" s="47" t="n">
        <v>46200</v>
      </c>
      <c r="G1648" s="46" t="n">
        <v>813</v>
      </c>
      <c r="H1648" s="46" t="n">
        <v>813</v>
      </c>
      <c r="I1648" s="46" t="n">
        <v>6</v>
      </c>
      <c r="J1648" s="44" t="n">
        <v>10.8665</v>
      </c>
      <c r="K1648" s="43" t="inlineStr">
        <is>
          <t>Received</t>
        </is>
      </c>
      <c r="L1648" s="17">
        <f>INDEX(Items!$C$2:$C$117,MATCH(B1648,Items!$A$2:$A$117,0))</f>
        <v/>
      </c>
      <c r="M1648" s="49">
        <f>INDEX(Items!$E$2:$E$117,MATCH(B1648,Items!$A$2:$A$117,0))</f>
        <v/>
      </c>
      <c r="N1648" s="17">
        <f>TEXT(D1648,"yyyy-mm")</f>
        <v/>
      </c>
      <c r="O1648" s="50">
        <f>G1648*J1648</f>
        <v/>
      </c>
      <c r="P1648" s="50">
        <f>(J1648-M1648)*G1648</f>
        <v/>
      </c>
      <c r="Q1648" s="51">
        <f>IF(K1648="Received",1,0)</f>
        <v/>
      </c>
      <c r="R1648" s="51">
        <f>IF(Q1648=1,F1648-D1648,0)</f>
        <v/>
      </c>
      <c r="S1648" s="51">
        <f>IF(Q1648=1,IF(F1648&lt;=E1648,1,0),0)</f>
        <v/>
      </c>
      <c r="T1648" s="51">
        <f>IF(Q1648=1,IF(H1648&gt;=G1648,1,0),0)</f>
        <v/>
      </c>
      <c r="U1648" s="51">
        <f>S1648*T1648</f>
        <v/>
      </c>
      <c r="V1648" s="51">
        <f>IF(Q1648=1,MAX(0,F1648-E1648),0)</f>
        <v/>
      </c>
    </row>
    <row r="1649">
      <c r="A1649" s="43" t="inlineStr">
        <is>
          <t>PO100683</t>
        </is>
      </c>
      <c r="B1649" s="43" t="inlineStr">
        <is>
          <t>CMD-0030</t>
        </is>
      </c>
      <c r="C1649" s="43" t="inlineStr">
        <is>
          <t>S11</t>
        </is>
      </c>
      <c r="D1649" s="47" t="n">
        <v>46161</v>
      </c>
      <c r="E1649" s="47" t="n">
        <v>46238</v>
      </c>
      <c r="F1649" s="47" t="n">
        <v>46249</v>
      </c>
      <c r="G1649" s="46" t="n">
        <v>6094</v>
      </c>
      <c r="H1649" s="46" t="n">
        <v>4099</v>
      </c>
      <c r="I1649" s="46" t="n">
        <v>11</v>
      </c>
      <c r="J1649" s="44" t="n">
        <v>23.8857</v>
      </c>
      <c r="K1649" s="43" t="inlineStr">
        <is>
          <t>Received</t>
        </is>
      </c>
      <c r="L1649" s="17">
        <f>INDEX(Items!$C$2:$C$117,MATCH(B1649,Items!$A$2:$A$117,0))</f>
        <v/>
      </c>
      <c r="M1649" s="49">
        <f>INDEX(Items!$E$2:$E$117,MATCH(B1649,Items!$A$2:$A$117,0))</f>
        <v/>
      </c>
      <c r="N1649" s="17">
        <f>TEXT(D1649,"yyyy-mm")</f>
        <v/>
      </c>
      <c r="O1649" s="50">
        <f>G1649*J1649</f>
        <v/>
      </c>
      <c r="P1649" s="50">
        <f>(J1649-M1649)*G1649</f>
        <v/>
      </c>
      <c r="Q1649" s="51">
        <f>IF(K1649="Received",1,0)</f>
        <v/>
      </c>
      <c r="R1649" s="51">
        <f>IF(Q1649=1,F1649-D1649,0)</f>
        <v/>
      </c>
      <c r="S1649" s="51">
        <f>IF(Q1649=1,IF(F1649&lt;=E1649,1,0),0)</f>
        <v/>
      </c>
      <c r="T1649" s="51">
        <f>IF(Q1649=1,IF(H1649&gt;=G1649,1,0),0)</f>
        <v/>
      </c>
      <c r="U1649" s="51">
        <f>S1649*T1649</f>
        <v/>
      </c>
      <c r="V1649" s="51">
        <f>IF(Q1649=1,MAX(0,F1649-E1649),0)</f>
        <v/>
      </c>
    </row>
    <row r="1650">
      <c r="A1650" s="43" t="inlineStr">
        <is>
          <t>PO101781</t>
        </is>
      </c>
      <c r="B1650" s="43" t="inlineStr">
        <is>
          <t>CMD-0096</t>
        </is>
      </c>
      <c r="C1650" s="43" t="inlineStr">
        <is>
          <t>S09</t>
        </is>
      </c>
      <c r="D1650" s="47" t="n">
        <v>46161</v>
      </c>
      <c r="E1650" s="47" t="n">
        <v>46182</v>
      </c>
      <c r="F1650" s="47" t="n">
        <v>46186</v>
      </c>
      <c r="G1650" s="46" t="n">
        <v>830</v>
      </c>
      <c r="H1650" s="46" t="n">
        <v>830</v>
      </c>
      <c r="I1650" s="46" t="n">
        <v>0</v>
      </c>
      <c r="J1650" s="44" t="n">
        <v>6.6126</v>
      </c>
      <c r="K1650" s="43" t="inlineStr">
        <is>
          <t>Received</t>
        </is>
      </c>
      <c r="L1650" s="17">
        <f>INDEX(Items!$C$2:$C$117,MATCH(B1650,Items!$A$2:$A$117,0))</f>
        <v/>
      </c>
      <c r="M1650" s="49">
        <f>INDEX(Items!$E$2:$E$117,MATCH(B1650,Items!$A$2:$A$117,0))</f>
        <v/>
      </c>
      <c r="N1650" s="17">
        <f>TEXT(D1650,"yyyy-mm")</f>
        <v/>
      </c>
      <c r="O1650" s="50">
        <f>G1650*J1650</f>
        <v/>
      </c>
      <c r="P1650" s="50">
        <f>(J1650-M1650)*G1650</f>
        <v/>
      </c>
      <c r="Q1650" s="51">
        <f>IF(K1650="Received",1,0)</f>
        <v/>
      </c>
      <c r="R1650" s="51">
        <f>IF(Q1650=1,F1650-D1650,0)</f>
        <v/>
      </c>
      <c r="S1650" s="51">
        <f>IF(Q1650=1,IF(F1650&lt;=E1650,1,0),0)</f>
        <v/>
      </c>
      <c r="T1650" s="51">
        <f>IF(Q1650=1,IF(H1650&gt;=G1650,1,0),0)</f>
        <v/>
      </c>
      <c r="U1650" s="51">
        <f>S1650*T1650</f>
        <v/>
      </c>
      <c r="V1650" s="51">
        <f>IF(Q1650=1,MAX(0,F1650-E1650),0)</f>
        <v/>
      </c>
    </row>
    <row r="1651">
      <c r="A1651" s="43" t="inlineStr">
        <is>
          <t>PO101979</t>
        </is>
      </c>
      <c r="B1651" s="43" t="inlineStr">
        <is>
          <t>CMD-0109</t>
        </is>
      </c>
      <c r="C1651" s="43" t="inlineStr">
        <is>
          <t>S12</t>
        </is>
      </c>
      <c r="D1651" s="47" t="n">
        <v>46162</v>
      </c>
      <c r="E1651" s="47" t="n">
        <v>46169</v>
      </c>
      <c r="F1651" s="47" t="n">
        <v>46167</v>
      </c>
      <c r="G1651" s="46" t="n">
        <v>7358</v>
      </c>
      <c r="H1651" s="46" t="n">
        <v>7358</v>
      </c>
      <c r="I1651" s="46" t="n">
        <v>8</v>
      </c>
      <c r="J1651" s="44" t="n">
        <v>1.751</v>
      </c>
      <c r="K1651" s="43" t="inlineStr">
        <is>
          <t>Received</t>
        </is>
      </c>
      <c r="L1651" s="17">
        <f>INDEX(Items!$C$2:$C$117,MATCH(B1651,Items!$A$2:$A$117,0))</f>
        <v/>
      </c>
      <c r="M1651" s="49">
        <f>INDEX(Items!$E$2:$E$117,MATCH(B1651,Items!$A$2:$A$117,0))</f>
        <v/>
      </c>
      <c r="N1651" s="17">
        <f>TEXT(D1651,"yyyy-mm")</f>
        <v/>
      </c>
      <c r="O1651" s="50">
        <f>G1651*J1651</f>
        <v/>
      </c>
      <c r="P1651" s="50">
        <f>(J1651-M1651)*G1651</f>
        <v/>
      </c>
      <c r="Q1651" s="51">
        <f>IF(K1651="Received",1,0)</f>
        <v/>
      </c>
      <c r="R1651" s="51">
        <f>IF(Q1651=1,F1651-D1651,0)</f>
        <v/>
      </c>
      <c r="S1651" s="51">
        <f>IF(Q1651=1,IF(F1651&lt;=E1651,1,0),0)</f>
        <v/>
      </c>
      <c r="T1651" s="51">
        <f>IF(Q1651=1,IF(H1651&gt;=G1651,1,0),0)</f>
        <v/>
      </c>
      <c r="U1651" s="51">
        <f>S1651*T1651</f>
        <v/>
      </c>
      <c r="V1651" s="51">
        <f>IF(Q1651=1,MAX(0,F1651-E1651),0)</f>
        <v/>
      </c>
    </row>
    <row r="1652">
      <c r="A1652" s="43" t="inlineStr">
        <is>
          <t>PO100335</t>
        </is>
      </c>
      <c r="B1652" s="43" t="inlineStr">
        <is>
          <t>CMD-0015</t>
        </is>
      </c>
      <c r="C1652" s="43" t="inlineStr">
        <is>
          <t>S03</t>
        </is>
      </c>
      <c r="D1652" s="47" t="n">
        <v>46162</v>
      </c>
      <c r="E1652" s="47" t="n">
        <v>46295</v>
      </c>
      <c r="F1652" s="47" t="n">
        <v>46294</v>
      </c>
      <c r="G1652" s="46" t="n">
        <v>4164</v>
      </c>
      <c r="H1652" s="46" t="n">
        <v>4164</v>
      </c>
      <c r="I1652" s="46" t="n">
        <v>22</v>
      </c>
      <c r="J1652" s="44" t="n">
        <v>6.6788</v>
      </c>
      <c r="K1652" s="43" t="inlineStr">
        <is>
          <t>Received</t>
        </is>
      </c>
      <c r="L1652" s="17">
        <f>INDEX(Items!$C$2:$C$117,MATCH(B1652,Items!$A$2:$A$117,0))</f>
        <v/>
      </c>
      <c r="M1652" s="49">
        <f>INDEX(Items!$E$2:$E$117,MATCH(B1652,Items!$A$2:$A$117,0))</f>
        <v/>
      </c>
      <c r="N1652" s="17">
        <f>TEXT(D1652,"yyyy-mm")</f>
        <v/>
      </c>
      <c r="O1652" s="50">
        <f>G1652*J1652</f>
        <v/>
      </c>
      <c r="P1652" s="50">
        <f>(J1652-M1652)*G1652</f>
        <v/>
      </c>
      <c r="Q1652" s="51">
        <f>IF(K1652="Received",1,0)</f>
        <v/>
      </c>
      <c r="R1652" s="51">
        <f>IF(Q1652=1,F1652-D1652,0)</f>
        <v/>
      </c>
      <c r="S1652" s="51">
        <f>IF(Q1652=1,IF(F1652&lt;=E1652,1,0),0)</f>
        <v/>
      </c>
      <c r="T1652" s="51">
        <f>IF(Q1652=1,IF(H1652&gt;=G1652,1,0),0)</f>
        <v/>
      </c>
      <c r="U1652" s="51">
        <f>S1652*T1652</f>
        <v/>
      </c>
      <c r="V1652" s="51">
        <f>IF(Q1652=1,MAX(0,F1652-E1652),0)</f>
        <v/>
      </c>
    </row>
    <row r="1653">
      <c r="A1653" s="43" t="inlineStr">
        <is>
          <t>PO100813</t>
        </is>
      </c>
      <c r="B1653" s="43" t="inlineStr">
        <is>
          <t>CMD-0036</t>
        </is>
      </c>
      <c r="C1653" s="43" t="inlineStr">
        <is>
          <t>S04</t>
        </is>
      </c>
      <c r="D1653" s="47" t="n">
        <v>46162</v>
      </c>
      <c r="E1653" s="47" t="n">
        <v>46204</v>
      </c>
      <c r="F1653" s="47" t="n">
        <v>46214</v>
      </c>
      <c r="G1653" s="46" t="n">
        <v>455</v>
      </c>
      <c r="H1653" s="46" t="n">
        <v>455</v>
      </c>
      <c r="I1653" s="46" t="n">
        <v>2</v>
      </c>
      <c r="J1653" s="44" t="n">
        <v>12.7308</v>
      </c>
      <c r="K1653" s="43" t="inlineStr">
        <is>
          <t>Received</t>
        </is>
      </c>
      <c r="L1653" s="17">
        <f>INDEX(Items!$C$2:$C$117,MATCH(B1653,Items!$A$2:$A$117,0))</f>
        <v/>
      </c>
      <c r="M1653" s="49">
        <f>INDEX(Items!$E$2:$E$117,MATCH(B1653,Items!$A$2:$A$117,0))</f>
        <v/>
      </c>
      <c r="N1653" s="17">
        <f>TEXT(D1653,"yyyy-mm")</f>
        <v/>
      </c>
      <c r="O1653" s="50">
        <f>G1653*J1653</f>
        <v/>
      </c>
      <c r="P1653" s="50">
        <f>(J1653-M1653)*G1653</f>
        <v/>
      </c>
      <c r="Q1653" s="51">
        <f>IF(K1653="Received",1,0)</f>
        <v/>
      </c>
      <c r="R1653" s="51">
        <f>IF(Q1653=1,F1653-D1653,0)</f>
        <v/>
      </c>
      <c r="S1653" s="51">
        <f>IF(Q1653=1,IF(F1653&lt;=E1653,1,0),0)</f>
        <v/>
      </c>
      <c r="T1653" s="51">
        <f>IF(Q1653=1,IF(H1653&gt;=G1653,1,0),0)</f>
        <v/>
      </c>
      <c r="U1653" s="51">
        <f>S1653*T1653</f>
        <v/>
      </c>
      <c r="V1653" s="51">
        <f>IF(Q1653=1,MAX(0,F1653-E1653),0)</f>
        <v/>
      </c>
    </row>
    <row r="1654">
      <c r="A1654" s="43" t="inlineStr">
        <is>
          <t>PO100539</t>
        </is>
      </c>
      <c r="B1654" s="43" t="inlineStr">
        <is>
          <t>CMD-0024</t>
        </is>
      </c>
      <c r="C1654" s="43" t="inlineStr">
        <is>
          <t>S04</t>
        </is>
      </c>
      <c r="D1654" s="47" t="n">
        <v>46162</v>
      </c>
      <c r="E1654" s="47" t="n">
        <v>46232</v>
      </c>
      <c r="F1654" s="47" t="n">
        <v>46231</v>
      </c>
      <c r="G1654" s="46" t="n">
        <v>4636</v>
      </c>
      <c r="H1654" s="46" t="n">
        <v>4636</v>
      </c>
      <c r="I1654" s="46" t="n">
        <v>42</v>
      </c>
      <c r="J1654" s="44" t="n">
        <v>3.4093</v>
      </c>
      <c r="K1654" s="43" t="inlineStr">
        <is>
          <t>Received</t>
        </is>
      </c>
      <c r="L1654" s="17">
        <f>INDEX(Items!$C$2:$C$117,MATCH(B1654,Items!$A$2:$A$117,0))</f>
        <v/>
      </c>
      <c r="M1654" s="49">
        <f>INDEX(Items!$E$2:$E$117,MATCH(B1654,Items!$A$2:$A$117,0))</f>
        <v/>
      </c>
      <c r="N1654" s="17">
        <f>TEXT(D1654,"yyyy-mm")</f>
        <v/>
      </c>
      <c r="O1654" s="50">
        <f>G1654*J1654</f>
        <v/>
      </c>
      <c r="P1654" s="50">
        <f>(J1654-M1654)*G1654</f>
        <v/>
      </c>
      <c r="Q1654" s="51">
        <f>IF(K1654="Received",1,0)</f>
        <v/>
      </c>
      <c r="R1654" s="51">
        <f>IF(Q1654=1,F1654-D1654,0)</f>
        <v/>
      </c>
      <c r="S1654" s="51">
        <f>IF(Q1654=1,IF(F1654&lt;=E1654,1,0),0)</f>
        <v/>
      </c>
      <c r="T1654" s="51">
        <f>IF(Q1654=1,IF(H1654&gt;=G1654,1,0),0)</f>
        <v/>
      </c>
      <c r="U1654" s="51">
        <f>S1654*T1654</f>
        <v/>
      </c>
      <c r="V1654" s="51">
        <f>IF(Q1654=1,MAX(0,F1654-E1654),0)</f>
        <v/>
      </c>
    </row>
    <row r="1655">
      <c r="A1655" s="43" t="inlineStr">
        <is>
          <t>PO101327</t>
        </is>
      </c>
      <c r="B1655" s="43" t="inlineStr">
        <is>
          <t>CMD-0065</t>
        </is>
      </c>
      <c r="C1655" s="43" t="inlineStr">
        <is>
          <t>S10</t>
        </is>
      </c>
      <c r="D1655" s="47" t="n">
        <v>46162</v>
      </c>
      <c r="E1655" s="47" t="n">
        <v>46190</v>
      </c>
      <c r="F1655" s="47" t="n">
        <v>46187</v>
      </c>
      <c r="G1655" s="46" t="n">
        <v>124419</v>
      </c>
      <c r="H1655" s="46" t="n">
        <v>124419</v>
      </c>
      <c r="I1655" s="46" t="n">
        <v>113</v>
      </c>
      <c r="J1655" s="44" t="n">
        <v>0.119</v>
      </c>
      <c r="K1655" s="43" t="inlineStr">
        <is>
          <t>Received</t>
        </is>
      </c>
      <c r="L1655" s="17">
        <f>INDEX(Items!$C$2:$C$117,MATCH(B1655,Items!$A$2:$A$117,0))</f>
        <v/>
      </c>
      <c r="M1655" s="49">
        <f>INDEX(Items!$E$2:$E$117,MATCH(B1655,Items!$A$2:$A$117,0))</f>
        <v/>
      </c>
      <c r="N1655" s="17">
        <f>TEXT(D1655,"yyyy-mm")</f>
        <v/>
      </c>
      <c r="O1655" s="50">
        <f>G1655*J1655</f>
        <v/>
      </c>
      <c r="P1655" s="50">
        <f>(J1655-M1655)*G1655</f>
        <v/>
      </c>
      <c r="Q1655" s="51">
        <f>IF(K1655="Received",1,0)</f>
        <v/>
      </c>
      <c r="R1655" s="51">
        <f>IF(Q1655=1,F1655-D1655,0)</f>
        <v/>
      </c>
      <c r="S1655" s="51">
        <f>IF(Q1655=1,IF(F1655&lt;=E1655,1,0),0)</f>
        <v/>
      </c>
      <c r="T1655" s="51">
        <f>IF(Q1655=1,IF(H1655&gt;=G1655,1,0),0)</f>
        <v/>
      </c>
      <c r="U1655" s="51">
        <f>S1655*T1655</f>
        <v/>
      </c>
      <c r="V1655" s="51">
        <f>IF(Q1655=1,MAX(0,F1655-E1655),0)</f>
        <v/>
      </c>
    </row>
    <row r="1656">
      <c r="A1656" s="43" t="inlineStr">
        <is>
          <t>PO101201</t>
        </is>
      </c>
      <c r="B1656" s="43" t="inlineStr">
        <is>
          <t>CMD-0055</t>
        </is>
      </c>
      <c r="C1656" s="43" t="inlineStr">
        <is>
          <t>S04</t>
        </is>
      </c>
      <c r="D1656" s="47" t="n">
        <v>46162</v>
      </c>
      <c r="E1656" s="47" t="n">
        <v>46197</v>
      </c>
      <c r="F1656" s="47" t="n">
        <v>46197</v>
      </c>
      <c r="G1656" s="46" t="n">
        <v>129884</v>
      </c>
      <c r="H1656" s="46" t="n">
        <v>129884</v>
      </c>
      <c r="I1656" s="46" t="n">
        <v>1244</v>
      </c>
      <c r="J1656" s="44" t="n">
        <v>0.09660000000000001</v>
      </c>
      <c r="K1656" s="43" t="inlineStr">
        <is>
          <t>Received</t>
        </is>
      </c>
      <c r="L1656" s="17">
        <f>INDEX(Items!$C$2:$C$117,MATCH(B1656,Items!$A$2:$A$117,0))</f>
        <v/>
      </c>
      <c r="M1656" s="49">
        <f>INDEX(Items!$E$2:$E$117,MATCH(B1656,Items!$A$2:$A$117,0))</f>
        <v/>
      </c>
      <c r="N1656" s="17">
        <f>TEXT(D1656,"yyyy-mm")</f>
        <v/>
      </c>
      <c r="O1656" s="50">
        <f>G1656*J1656</f>
        <v/>
      </c>
      <c r="P1656" s="50">
        <f>(J1656-M1656)*G1656</f>
        <v/>
      </c>
      <c r="Q1656" s="51">
        <f>IF(K1656="Received",1,0)</f>
        <v/>
      </c>
      <c r="R1656" s="51">
        <f>IF(Q1656=1,F1656-D1656,0)</f>
        <v/>
      </c>
      <c r="S1656" s="51">
        <f>IF(Q1656=1,IF(F1656&lt;=E1656,1,0),0)</f>
        <v/>
      </c>
      <c r="T1656" s="51">
        <f>IF(Q1656=1,IF(H1656&gt;=G1656,1,0),0)</f>
        <v/>
      </c>
      <c r="U1656" s="51">
        <f>S1656*T1656</f>
        <v/>
      </c>
      <c r="V1656" s="51">
        <f>IF(Q1656=1,MAX(0,F1656-E1656),0)</f>
        <v/>
      </c>
    </row>
    <row r="1657">
      <c r="A1657" s="43" t="inlineStr">
        <is>
          <t>PO100449</t>
        </is>
      </c>
      <c r="B1657" s="43" t="inlineStr">
        <is>
          <t>CMD-0020</t>
        </is>
      </c>
      <c r="C1657" s="43" t="inlineStr">
        <is>
          <t>S04</t>
        </is>
      </c>
      <c r="D1657" s="47" t="n">
        <v>46163</v>
      </c>
      <c r="E1657" s="47" t="n">
        <v>46233</v>
      </c>
      <c r="F1657" s="47" t="n">
        <v>46231</v>
      </c>
      <c r="G1657" s="46" t="n">
        <v>3119</v>
      </c>
      <c r="H1657" s="46" t="n">
        <v>3119</v>
      </c>
      <c r="I1657" s="46" t="n">
        <v>36</v>
      </c>
      <c r="J1657" s="44" t="n">
        <v>5.1809</v>
      </c>
      <c r="K1657" s="43" t="inlineStr">
        <is>
          <t>Received</t>
        </is>
      </c>
      <c r="L1657" s="17">
        <f>INDEX(Items!$C$2:$C$117,MATCH(B1657,Items!$A$2:$A$117,0))</f>
        <v/>
      </c>
      <c r="M1657" s="49">
        <f>INDEX(Items!$E$2:$E$117,MATCH(B1657,Items!$A$2:$A$117,0))</f>
        <v/>
      </c>
      <c r="N1657" s="17">
        <f>TEXT(D1657,"yyyy-mm")</f>
        <v/>
      </c>
      <c r="O1657" s="50">
        <f>G1657*J1657</f>
        <v/>
      </c>
      <c r="P1657" s="50">
        <f>(J1657-M1657)*G1657</f>
        <v/>
      </c>
      <c r="Q1657" s="51">
        <f>IF(K1657="Received",1,0)</f>
        <v/>
      </c>
      <c r="R1657" s="51">
        <f>IF(Q1657=1,F1657-D1657,0)</f>
        <v/>
      </c>
      <c r="S1657" s="51">
        <f>IF(Q1657=1,IF(F1657&lt;=E1657,1,0),0)</f>
        <v/>
      </c>
      <c r="T1657" s="51">
        <f>IF(Q1657=1,IF(H1657&gt;=G1657,1,0),0)</f>
        <v/>
      </c>
      <c r="U1657" s="51">
        <f>S1657*T1657</f>
        <v/>
      </c>
      <c r="V1657" s="51">
        <f>IF(Q1657=1,MAX(0,F1657-E1657),0)</f>
        <v/>
      </c>
    </row>
    <row r="1658">
      <c r="A1658" s="43" t="inlineStr">
        <is>
          <t>PO100563</t>
        </is>
      </c>
      <c r="B1658" s="43" t="inlineStr">
        <is>
          <t>CMD-0025</t>
        </is>
      </c>
      <c r="C1658" s="43" t="inlineStr">
        <is>
          <t>S02</t>
        </is>
      </c>
      <c r="D1658" s="47" t="n">
        <v>46163</v>
      </c>
      <c r="E1658" s="47" t="n">
        <v>46219</v>
      </c>
      <c r="F1658" s="47" t="n">
        <v>46219</v>
      </c>
      <c r="G1658" s="46" t="n">
        <v>1261</v>
      </c>
      <c r="H1658" s="46" t="n">
        <v>1261</v>
      </c>
      <c r="I1658" s="46" t="n">
        <v>6</v>
      </c>
      <c r="J1658" s="44" t="n">
        <v>10.8356</v>
      </c>
      <c r="K1658" s="43" t="inlineStr">
        <is>
          <t>Received</t>
        </is>
      </c>
      <c r="L1658" s="17">
        <f>INDEX(Items!$C$2:$C$117,MATCH(B1658,Items!$A$2:$A$117,0))</f>
        <v/>
      </c>
      <c r="M1658" s="49">
        <f>INDEX(Items!$E$2:$E$117,MATCH(B1658,Items!$A$2:$A$117,0))</f>
        <v/>
      </c>
      <c r="N1658" s="17">
        <f>TEXT(D1658,"yyyy-mm")</f>
        <v/>
      </c>
      <c r="O1658" s="50">
        <f>G1658*J1658</f>
        <v/>
      </c>
      <c r="P1658" s="50">
        <f>(J1658-M1658)*G1658</f>
        <v/>
      </c>
      <c r="Q1658" s="51">
        <f>IF(K1658="Received",1,0)</f>
        <v/>
      </c>
      <c r="R1658" s="51">
        <f>IF(Q1658=1,F1658-D1658,0)</f>
        <v/>
      </c>
      <c r="S1658" s="51">
        <f>IF(Q1658=1,IF(F1658&lt;=E1658,1,0),0)</f>
        <v/>
      </c>
      <c r="T1658" s="51">
        <f>IF(Q1658=1,IF(H1658&gt;=G1658,1,0),0)</f>
        <v/>
      </c>
      <c r="U1658" s="51">
        <f>S1658*T1658</f>
        <v/>
      </c>
      <c r="V1658" s="51">
        <f>IF(Q1658=1,MAX(0,F1658-E1658),0)</f>
        <v/>
      </c>
    </row>
    <row r="1659">
      <c r="A1659" s="43" t="inlineStr">
        <is>
          <t>PO100611</t>
        </is>
      </c>
      <c r="B1659" s="43" t="inlineStr">
        <is>
          <t>CMD-0027</t>
        </is>
      </c>
      <c r="C1659" s="43" t="inlineStr">
        <is>
          <t>S04</t>
        </is>
      </c>
      <c r="D1659" s="47" t="n">
        <v>46163</v>
      </c>
      <c r="E1659" s="47" t="n">
        <v>46233</v>
      </c>
      <c r="F1659" s="47" t="n">
        <v>46232</v>
      </c>
      <c r="G1659" s="46" t="n">
        <v>7883</v>
      </c>
      <c r="H1659" s="46" t="n">
        <v>7883</v>
      </c>
      <c r="I1659" s="46" t="n">
        <v>78</v>
      </c>
      <c r="J1659" s="44" t="n">
        <v>9.115500000000001</v>
      </c>
      <c r="K1659" s="43" t="inlineStr">
        <is>
          <t>Received</t>
        </is>
      </c>
      <c r="L1659" s="17">
        <f>INDEX(Items!$C$2:$C$117,MATCH(B1659,Items!$A$2:$A$117,0))</f>
        <v/>
      </c>
      <c r="M1659" s="49">
        <f>INDEX(Items!$E$2:$E$117,MATCH(B1659,Items!$A$2:$A$117,0))</f>
        <v/>
      </c>
      <c r="N1659" s="17">
        <f>TEXT(D1659,"yyyy-mm")</f>
        <v/>
      </c>
      <c r="O1659" s="50">
        <f>G1659*J1659</f>
        <v/>
      </c>
      <c r="P1659" s="50">
        <f>(J1659-M1659)*G1659</f>
        <v/>
      </c>
      <c r="Q1659" s="51">
        <f>IF(K1659="Received",1,0)</f>
        <v/>
      </c>
      <c r="R1659" s="51">
        <f>IF(Q1659=1,F1659-D1659,0)</f>
        <v/>
      </c>
      <c r="S1659" s="51">
        <f>IF(Q1659=1,IF(F1659&lt;=E1659,1,0),0)</f>
        <v/>
      </c>
      <c r="T1659" s="51">
        <f>IF(Q1659=1,IF(H1659&gt;=G1659,1,0),0)</f>
        <v/>
      </c>
      <c r="U1659" s="51">
        <f>S1659*T1659</f>
        <v/>
      </c>
      <c r="V1659" s="51">
        <f>IF(Q1659=1,MAX(0,F1659-E1659),0)</f>
        <v/>
      </c>
    </row>
    <row r="1660">
      <c r="A1660" s="43" t="inlineStr">
        <is>
          <t>PO101523</t>
        </is>
      </c>
      <c r="B1660" s="43" t="inlineStr">
        <is>
          <t>CMD-0080</t>
        </is>
      </c>
      <c r="C1660" s="43" t="inlineStr">
        <is>
          <t>S06</t>
        </is>
      </c>
      <c r="D1660" s="47" t="n">
        <v>46163</v>
      </c>
      <c r="E1660" s="47" t="n">
        <v>46184</v>
      </c>
      <c r="F1660" s="47" t="n">
        <v>46184</v>
      </c>
      <c r="G1660" s="46" t="n">
        <v>4791</v>
      </c>
      <c r="H1660" s="46" t="n">
        <v>4791</v>
      </c>
      <c r="I1660" s="46" t="n">
        <v>20</v>
      </c>
      <c r="J1660" s="44" t="n">
        <v>5.6959</v>
      </c>
      <c r="K1660" s="43" t="inlineStr">
        <is>
          <t>Received</t>
        </is>
      </c>
      <c r="L1660" s="17">
        <f>INDEX(Items!$C$2:$C$117,MATCH(B1660,Items!$A$2:$A$117,0))</f>
        <v/>
      </c>
      <c r="M1660" s="49">
        <f>INDEX(Items!$E$2:$E$117,MATCH(B1660,Items!$A$2:$A$117,0))</f>
        <v/>
      </c>
      <c r="N1660" s="17">
        <f>TEXT(D1660,"yyyy-mm")</f>
        <v/>
      </c>
      <c r="O1660" s="50">
        <f>G1660*J1660</f>
        <v/>
      </c>
      <c r="P1660" s="50">
        <f>(J1660-M1660)*G1660</f>
        <v/>
      </c>
      <c r="Q1660" s="51">
        <f>IF(K1660="Received",1,0)</f>
        <v/>
      </c>
      <c r="R1660" s="51">
        <f>IF(Q1660=1,F1660-D1660,0)</f>
        <v/>
      </c>
      <c r="S1660" s="51">
        <f>IF(Q1660=1,IF(F1660&lt;=E1660,1,0),0)</f>
        <v/>
      </c>
      <c r="T1660" s="51">
        <f>IF(Q1660=1,IF(H1660&gt;=G1660,1,0),0)</f>
        <v/>
      </c>
      <c r="U1660" s="51">
        <f>S1660*T1660</f>
        <v/>
      </c>
      <c r="V1660" s="51">
        <f>IF(Q1660=1,MAX(0,F1660-E1660),0)</f>
        <v/>
      </c>
    </row>
    <row r="1661">
      <c r="A1661" s="43" t="inlineStr">
        <is>
          <t>PO101733</t>
        </is>
      </c>
      <c r="B1661" s="43" t="inlineStr">
        <is>
          <t>CMD-0094</t>
        </is>
      </c>
      <c r="C1661" s="43" t="inlineStr">
        <is>
          <t>S08</t>
        </is>
      </c>
      <c r="D1661" s="47" t="n">
        <v>46163</v>
      </c>
      <c r="E1661" s="47" t="n">
        <v>46240</v>
      </c>
      <c r="F1661" s="47" t="n">
        <v>46257</v>
      </c>
      <c r="G1661" s="46" t="n">
        <v>485</v>
      </c>
      <c r="H1661" s="46" t="n">
        <v>485</v>
      </c>
      <c r="I1661" s="46" t="n">
        <v>5</v>
      </c>
      <c r="J1661" s="44" t="n">
        <v>76.31270000000001</v>
      </c>
      <c r="K1661" s="43" t="inlineStr">
        <is>
          <t>Received</t>
        </is>
      </c>
      <c r="L1661" s="17">
        <f>INDEX(Items!$C$2:$C$117,MATCH(B1661,Items!$A$2:$A$117,0))</f>
        <v/>
      </c>
      <c r="M1661" s="49">
        <f>INDEX(Items!$E$2:$E$117,MATCH(B1661,Items!$A$2:$A$117,0))</f>
        <v/>
      </c>
      <c r="N1661" s="17">
        <f>TEXT(D1661,"yyyy-mm")</f>
        <v/>
      </c>
      <c r="O1661" s="50">
        <f>G1661*J1661</f>
        <v/>
      </c>
      <c r="P1661" s="50">
        <f>(J1661-M1661)*G1661</f>
        <v/>
      </c>
      <c r="Q1661" s="51">
        <f>IF(K1661="Received",1,0)</f>
        <v/>
      </c>
      <c r="R1661" s="51">
        <f>IF(Q1661=1,F1661-D1661,0)</f>
        <v/>
      </c>
      <c r="S1661" s="51">
        <f>IF(Q1661=1,IF(F1661&lt;=E1661,1,0),0)</f>
        <v/>
      </c>
      <c r="T1661" s="51">
        <f>IF(Q1661=1,IF(H1661&gt;=G1661,1,0),0)</f>
        <v/>
      </c>
      <c r="U1661" s="51">
        <f>S1661*T1661</f>
        <v/>
      </c>
      <c r="V1661" s="51">
        <f>IF(Q1661=1,MAX(0,F1661-E1661),0)</f>
        <v/>
      </c>
    </row>
    <row r="1662">
      <c r="A1662" s="43" t="inlineStr">
        <is>
          <t>PO100635</t>
        </is>
      </c>
      <c r="B1662" s="43" t="inlineStr">
        <is>
          <t>CMD-0028</t>
        </is>
      </c>
      <c r="C1662" s="43" t="inlineStr">
        <is>
          <t>S11</t>
        </is>
      </c>
      <c r="D1662" s="47" t="n">
        <v>46164</v>
      </c>
      <c r="E1662" s="47" t="n">
        <v>46241</v>
      </c>
      <c r="F1662" s="47" t="n">
        <v>46240</v>
      </c>
      <c r="G1662" s="46" t="n">
        <v>3490</v>
      </c>
      <c r="H1662" s="46" t="n">
        <v>3490</v>
      </c>
      <c r="I1662" s="46" t="n">
        <v>8</v>
      </c>
      <c r="J1662" s="44" t="n">
        <v>16.3152</v>
      </c>
      <c r="K1662" s="43" t="inlineStr">
        <is>
          <t>Received</t>
        </is>
      </c>
      <c r="L1662" s="17">
        <f>INDEX(Items!$C$2:$C$117,MATCH(B1662,Items!$A$2:$A$117,0))</f>
        <v/>
      </c>
      <c r="M1662" s="49">
        <f>INDEX(Items!$E$2:$E$117,MATCH(B1662,Items!$A$2:$A$117,0))</f>
        <v/>
      </c>
      <c r="N1662" s="17">
        <f>TEXT(D1662,"yyyy-mm")</f>
        <v/>
      </c>
      <c r="O1662" s="50">
        <f>G1662*J1662</f>
        <v/>
      </c>
      <c r="P1662" s="50">
        <f>(J1662-M1662)*G1662</f>
        <v/>
      </c>
      <c r="Q1662" s="51">
        <f>IF(K1662="Received",1,0)</f>
        <v/>
      </c>
      <c r="R1662" s="51">
        <f>IF(Q1662=1,F1662-D1662,0)</f>
        <v/>
      </c>
      <c r="S1662" s="51">
        <f>IF(Q1662=1,IF(F1662&lt;=E1662,1,0),0)</f>
        <v/>
      </c>
      <c r="T1662" s="51">
        <f>IF(Q1662=1,IF(H1662&gt;=G1662,1,0),0)</f>
        <v/>
      </c>
      <c r="U1662" s="51">
        <f>S1662*T1662</f>
        <v/>
      </c>
      <c r="V1662" s="51">
        <f>IF(Q1662=1,MAX(0,F1662-E1662),0)</f>
        <v/>
      </c>
    </row>
    <row r="1663">
      <c r="A1663" s="43" t="inlineStr">
        <is>
          <t>PO100139</t>
        </is>
      </c>
      <c r="B1663" s="43" t="inlineStr">
        <is>
          <t>CMD-0006</t>
        </is>
      </c>
      <c r="C1663" s="43" t="inlineStr">
        <is>
          <t>S03</t>
        </is>
      </c>
      <c r="D1663" s="47" t="n">
        <v>46164</v>
      </c>
      <c r="E1663" s="47" t="n">
        <v>46297</v>
      </c>
      <c r="F1663" s="47" t="n"/>
      <c r="G1663" s="46" t="n">
        <v>790</v>
      </c>
      <c r="H1663" s="46" t="n">
        <v>0</v>
      </c>
      <c r="I1663" s="46" t="n">
        <v>0</v>
      </c>
      <c r="J1663" s="44" t="n">
        <v>36.049</v>
      </c>
      <c r="K1663" s="43" t="inlineStr">
        <is>
          <t>Open</t>
        </is>
      </c>
      <c r="L1663" s="17">
        <f>INDEX(Items!$C$2:$C$117,MATCH(B1663,Items!$A$2:$A$117,0))</f>
        <v/>
      </c>
      <c r="M1663" s="49">
        <f>INDEX(Items!$E$2:$E$117,MATCH(B1663,Items!$A$2:$A$117,0))</f>
        <v/>
      </c>
      <c r="N1663" s="17">
        <f>TEXT(D1663,"yyyy-mm")</f>
        <v/>
      </c>
      <c r="O1663" s="50">
        <f>G1663*J1663</f>
        <v/>
      </c>
      <c r="P1663" s="50">
        <f>(J1663-M1663)*G1663</f>
        <v/>
      </c>
      <c r="Q1663" s="51">
        <f>IF(K1663="Received",1,0)</f>
        <v/>
      </c>
      <c r="R1663" s="51">
        <f>IF(Q1663=1,F1663-D1663,0)</f>
        <v/>
      </c>
      <c r="S1663" s="51">
        <f>IF(Q1663=1,IF(F1663&lt;=E1663,1,0),0)</f>
        <v/>
      </c>
      <c r="T1663" s="51">
        <f>IF(Q1663=1,IF(H1663&gt;=G1663,1,0),0)</f>
        <v/>
      </c>
      <c r="U1663" s="51">
        <f>S1663*T1663</f>
        <v/>
      </c>
      <c r="V1663" s="51">
        <f>IF(Q1663=1,MAX(0,F1663-E1663),0)</f>
        <v/>
      </c>
    </row>
    <row r="1664">
      <c r="A1664" s="43" t="inlineStr">
        <is>
          <t>PO100789</t>
        </is>
      </c>
      <c r="B1664" s="43" t="inlineStr">
        <is>
          <t>CMD-0035</t>
        </is>
      </c>
      <c r="C1664" s="43" t="inlineStr">
        <is>
          <t>S01</t>
        </is>
      </c>
      <c r="D1664" s="47" t="n">
        <v>46164</v>
      </c>
      <c r="E1664" s="47" t="n">
        <v>46192</v>
      </c>
      <c r="F1664" s="47" t="n">
        <v>46191</v>
      </c>
      <c r="G1664" s="46" t="n">
        <v>646</v>
      </c>
      <c r="H1664" s="46" t="n">
        <v>646</v>
      </c>
      <c r="I1664" s="46" t="n">
        <v>2</v>
      </c>
      <c r="J1664" s="44" t="n">
        <v>9.6511</v>
      </c>
      <c r="K1664" s="43" t="inlineStr">
        <is>
          <t>Received</t>
        </is>
      </c>
      <c r="L1664" s="17">
        <f>INDEX(Items!$C$2:$C$117,MATCH(B1664,Items!$A$2:$A$117,0))</f>
        <v/>
      </c>
      <c r="M1664" s="49">
        <f>INDEX(Items!$E$2:$E$117,MATCH(B1664,Items!$A$2:$A$117,0))</f>
        <v/>
      </c>
      <c r="N1664" s="17">
        <f>TEXT(D1664,"yyyy-mm")</f>
        <v/>
      </c>
      <c r="O1664" s="50">
        <f>G1664*J1664</f>
        <v/>
      </c>
      <c r="P1664" s="50">
        <f>(J1664-M1664)*G1664</f>
        <v/>
      </c>
      <c r="Q1664" s="51">
        <f>IF(K1664="Received",1,0)</f>
        <v/>
      </c>
      <c r="R1664" s="51">
        <f>IF(Q1664=1,F1664-D1664,0)</f>
        <v/>
      </c>
      <c r="S1664" s="51">
        <f>IF(Q1664=1,IF(F1664&lt;=E1664,1,0),0)</f>
        <v/>
      </c>
      <c r="T1664" s="51">
        <f>IF(Q1664=1,IF(H1664&gt;=G1664,1,0),0)</f>
        <v/>
      </c>
      <c r="U1664" s="51">
        <f>S1664*T1664</f>
        <v/>
      </c>
      <c r="V1664" s="51">
        <f>IF(Q1664=1,MAX(0,F1664-E1664),0)</f>
        <v/>
      </c>
    </row>
    <row r="1665">
      <c r="A1665" s="43" t="inlineStr">
        <is>
          <t>PO101551</t>
        </is>
      </c>
      <c r="B1665" s="43" t="inlineStr">
        <is>
          <t>CMD-0082</t>
        </is>
      </c>
      <c r="C1665" s="43" t="inlineStr">
        <is>
          <t>S01</t>
        </is>
      </c>
      <c r="D1665" s="47" t="n">
        <v>46164</v>
      </c>
      <c r="E1665" s="47" t="n">
        <v>46178</v>
      </c>
      <c r="F1665" s="47" t="n">
        <v>46175</v>
      </c>
      <c r="G1665" s="46" t="n">
        <v>6257</v>
      </c>
      <c r="H1665" s="46" t="n">
        <v>6257</v>
      </c>
      <c r="I1665" s="46" t="n">
        <v>12</v>
      </c>
      <c r="J1665" s="44" t="n">
        <v>2.3896</v>
      </c>
      <c r="K1665" s="43" t="inlineStr">
        <is>
          <t>Received</t>
        </is>
      </c>
      <c r="L1665" s="17">
        <f>INDEX(Items!$C$2:$C$117,MATCH(B1665,Items!$A$2:$A$117,0))</f>
        <v/>
      </c>
      <c r="M1665" s="49">
        <f>INDEX(Items!$E$2:$E$117,MATCH(B1665,Items!$A$2:$A$117,0))</f>
        <v/>
      </c>
      <c r="N1665" s="17">
        <f>TEXT(D1665,"yyyy-mm")</f>
        <v/>
      </c>
      <c r="O1665" s="50">
        <f>G1665*J1665</f>
        <v/>
      </c>
      <c r="P1665" s="50">
        <f>(J1665-M1665)*G1665</f>
        <v/>
      </c>
      <c r="Q1665" s="51">
        <f>IF(K1665="Received",1,0)</f>
        <v/>
      </c>
      <c r="R1665" s="51">
        <f>IF(Q1665=1,F1665-D1665,0)</f>
        <v/>
      </c>
      <c r="S1665" s="51">
        <f>IF(Q1665=1,IF(F1665&lt;=E1665,1,0),0)</f>
        <v/>
      </c>
      <c r="T1665" s="51">
        <f>IF(Q1665=1,IF(H1665&gt;=G1665,1,0),0)</f>
        <v/>
      </c>
      <c r="U1665" s="51">
        <f>S1665*T1665</f>
        <v/>
      </c>
      <c r="V1665" s="51">
        <f>IF(Q1665=1,MAX(0,F1665-E1665),0)</f>
        <v/>
      </c>
    </row>
    <row r="1666">
      <c r="A1666" s="43" t="inlineStr">
        <is>
          <t>PO100163</t>
        </is>
      </c>
      <c r="B1666" s="43" t="inlineStr">
        <is>
          <t>CMD-0007</t>
        </is>
      </c>
      <c r="C1666" s="43" t="inlineStr">
        <is>
          <t>S03</t>
        </is>
      </c>
      <c r="D1666" s="47" t="n">
        <v>46164</v>
      </c>
      <c r="E1666" s="47" t="n">
        <v>46297</v>
      </c>
      <c r="F1666" s="47" t="n">
        <v>46294</v>
      </c>
      <c r="G1666" s="46" t="n">
        <v>3551</v>
      </c>
      <c r="H1666" s="46" t="n">
        <v>3551</v>
      </c>
      <c r="I1666" s="46" t="n">
        <v>25</v>
      </c>
      <c r="J1666" s="44" t="n">
        <v>22.8802</v>
      </c>
      <c r="K1666" s="43" t="inlineStr">
        <is>
          <t>Received</t>
        </is>
      </c>
      <c r="L1666" s="17">
        <f>INDEX(Items!$C$2:$C$117,MATCH(B1666,Items!$A$2:$A$117,0))</f>
        <v/>
      </c>
      <c r="M1666" s="49">
        <f>INDEX(Items!$E$2:$E$117,MATCH(B1666,Items!$A$2:$A$117,0))</f>
        <v/>
      </c>
      <c r="N1666" s="17">
        <f>TEXT(D1666,"yyyy-mm")</f>
        <v/>
      </c>
      <c r="O1666" s="50">
        <f>G1666*J1666</f>
        <v/>
      </c>
      <c r="P1666" s="50">
        <f>(J1666-M1666)*G1666</f>
        <v/>
      </c>
      <c r="Q1666" s="51">
        <f>IF(K1666="Received",1,0)</f>
        <v/>
      </c>
      <c r="R1666" s="51">
        <f>IF(Q1666=1,F1666-D1666,0)</f>
        <v/>
      </c>
      <c r="S1666" s="51">
        <f>IF(Q1666=1,IF(F1666&lt;=E1666,1,0),0)</f>
        <v/>
      </c>
      <c r="T1666" s="51">
        <f>IF(Q1666=1,IF(H1666&gt;=G1666,1,0),0)</f>
        <v/>
      </c>
      <c r="U1666" s="51">
        <f>S1666*T1666</f>
        <v/>
      </c>
      <c r="V1666" s="51">
        <f>IF(Q1666=1,MAX(0,F1666-E1666),0)</f>
        <v/>
      </c>
    </row>
    <row r="1667">
      <c r="A1667" s="43" t="inlineStr">
        <is>
          <t>PO100929</t>
        </is>
      </c>
      <c r="B1667" s="43" t="inlineStr">
        <is>
          <t>CMD-0042</t>
        </is>
      </c>
      <c r="C1667" s="43" t="inlineStr">
        <is>
          <t>S05</t>
        </is>
      </c>
      <c r="D1667" s="47" t="n">
        <v>46164</v>
      </c>
      <c r="E1667" s="47" t="n">
        <v>46269</v>
      </c>
      <c r="F1667" s="47" t="n">
        <v>46281</v>
      </c>
      <c r="G1667" s="46" t="n">
        <v>685</v>
      </c>
      <c r="H1667" s="46" t="n">
        <v>685</v>
      </c>
      <c r="I1667" s="46" t="n">
        <v>11</v>
      </c>
      <c r="J1667" s="44" t="n">
        <v>9.177300000000001</v>
      </c>
      <c r="K1667" s="43" t="inlineStr">
        <is>
          <t>Received</t>
        </is>
      </c>
      <c r="L1667" s="17">
        <f>INDEX(Items!$C$2:$C$117,MATCH(B1667,Items!$A$2:$A$117,0))</f>
        <v/>
      </c>
      <c r="M1667" s="49">
        <f>INDEX(Items!$E$2:$E$117,MATCH(B1667,Items!$A$2:$A$117,0))</f>
        <v/>
      </c>
      <c r="N1667" s="17">
        <f>TEXT(D1667,"yyyy-mm")</f>
        <v/>
      </c>
      <c r="O1667" s="50">
        <f>G1667*J1667</f>
        <v/>
      </c>
      <c r="P1667" s="50">
        <f>(J1667-M1667)*G1667</f>
        <v/>
      </c>
      <c r="Q1667" s="51">
        <f>IF(K1667="Received",1,0)</f>
        <v/>
      </c>
      <c r="R1667" s="51">
        <f>IF(Q1667=1,F1667-D1667,0)</f>
        <v/>
      </c>
      <c r="S1667" s="51">
        <f>IF(Q1667=1,IF(F1667&lt;=E1667,1,0),0)</f>
        <v/>
      </c>
      <c r="T1667" s="51">
        <f>IF(Q1667=1,IF(H1667&gt;=G1667,1,0),0)</f>
        <v/>
      </c>
      <c r="U1667" s="51">
        <f>S1667*T1667</f>
        <v/>
      </c>
      <c r="V1667" s="51">
        <f>IF(Q1667=1,MAX(0,F1667-E1667),0)</f>
        <v/>
      </c>
    </row>
    <row r="1668">
      <c r="A1668" s="43" t="inlineStr">
        <is>
          <t>PO100515</t>
        </is>
      </c>
      <c r="B1668" s="43" t="inlineStr">
        <is>
          <t>CMD-0023</t>
        </is>
      </c>
      <c r="C1668" s="43" t="inlineStr">
        <is>
          <t>S04</t>
        </is>
      </c>
      <c r="D1668" s="47" t="n">
        <v>46164</v>
      </c>
      <c r="E1668" s="47" t="n">
        <v>46234</v>
      </c>
      <c r="F1668" s="47" t="n">
        <v>46233</v>
      </c>
      <c r="G1668" s="46" t="n">
        <v>3987</v>
      </c>
      <c r="H1668" s="46" t="n">
        <v>3987</v>
      </c>
      <c r="I1668" s="46" t="n">
        <v>39</v>
      </c>
      <c r="J1668" s="44" t="n">
        <v>9.064</v>
      </c>
      <c r="K1668" s="43" t="inlineStr">
        <is>
          <t>Received</t>
        </is>
      </c>
      <c r="L1668" s="17">
        <f>INDEX(Items!$C$2:$C$117,MATCH(B1668,Items!$A$2:$A$117,0))</f>
        <v/>
      </c>
      <c r="M1668" s="49">
        <f>INDEX(Items!$E$2:$E$117,MATCH(B1668,Items!$A$2:$A$117,0))</f>
        <v/>
      </c>
      <c r="N1668" s="17">
        <f>TEXT(D1668,"yyyy-mm")</f>
        <v/>
      </c>
      <c r="O1668" s="50">
        <f>G1668*J1668</f>
        <v/>
      </c>
      <c r="P1668" s="50">
        <f>(J1668-M1668)*G1668</f>
        <v/>
      </c>
      <c r="Q1668" s="51">
        <f>IF(K1668="Received",1,0)</f>
        <v/>
      </c>
      <c r="R1668" s="51">
        <f>IF(Q1668=1,F1668-D1668,0)</f>
        <v/>
      </c>
      <c r="S1668" s="51">
        <f>IF(Q1668=1,IF(F1668&lt;=E1668,1,0),0)</f>
        <v/>
      </c>
      <c r="T1668" s="51">
        <f>IF(Q1668=1,IF(H1668&gt;=G1668,1,0),0)</f>
        <v/>
      </c>
      <c r="U1668" s="51">
        <f>S1668*T1668</f>
        <v/>
      </c>
      <c r="V1668" s="51">
        <f>IF(Q1668=1,MAX(0,F1668-E1668),0)</f>
        <v/>
      </c>
    </row>
    <row r="1669">
      <c r="A1669" s="43" t="inlineStr">
        <is>
          <t>PO101887</t>
        </is>
      </c>
      <c r="B1669" s="43" t="inlineStr">
        <is>
          <t>CMD-0102</t>
        </is>
      </c>
      <c r="C1669" s="43" t="inlineStr">
        <is>
          <t>S09</t>
        </is>
      </c>
      <c r="D1669" s="47" t="n">
        <v>46164</v>
      </c>
      <c r="E1669" s="47" t="n">
        <v>46185</v>
      </c>
      <c r="F1669" s="47" t="n">
        <v>46182</v>
      </c>
      <c r="G1669" s="46" t="n">
        <v>2416</v>
      </c>
      <c r="H1669" s="46" t="n">
        <v>2416</v>
      </c>
      <c r="I1669" s="46" t="n">
        <v>13</v>
      </c>
      <c r="J1669" s="44" t="n">
        <v>6.9113</v>
      </c>
      <c r="K1669" s="43" t="inlineStr">
        <is>
          <t>Received</t>
        </is>
      </c>
      <c r="L1669" s="17">
        <f>INDEX(Items!$C$2:$C$117,MATCH(B1669,Items!$A$2:$A$117,0))</f>
        <v/>
      </c>
      <c r="M1669" s="49">
        <f>INDEX(Items!$E$2:$E$117,MATCH(B1669,Items!$A$2:$A$117,0))</f>
        <v/>
      </c>
      <c r="N1669" s="17">
        <f>TEXT(D1669,"yyyy-mm")</f>
        <v/>
      </c>
      <c r="O1669" s="50">
        <f>G1669*J1669</f>
        <v/>
      </c>
      <c r="P1669" s="50">
        <f>(J1669-M1669)*G1669</f>
        <v/>
      </c>
      <c r="Q1669" s="51">
        <f>IF(K1669="Received",1,0)</f>
        <v/>
      </c>
      <c r="R1669" s="51">
        <f>IF(Q1669=1,F1669-D1669,0)</f>
        <v/>
      </c>
      <c r="S1669" s="51">
        <f>IF(Q1669=1,IF(F1669&lt;=E1669,1,0),0)</f>
        <v/>
      </c>
      <c r="T1669" s="51">
        <f>IF(Q1669=1,IF(H1669&gt;=G1669,1,0),0)</f>
        <v/>
      </c>
      <c r="U1669" s="51">
        <f>S1669*T1669</f>
        <v/>
      </c>
      <c r="V1669" s="51">
        <f>IF(Q1669=1,MAX(0,F1669-E1669),0)</f>
        <v/>
      </c>
    </row>
    <row r="1670">
      <c r="A1670" s="43" t="inlineStr">
        <is>
          <t>PO100067</t>
        </is>
      </c>
      <c r="B1670" s="43" t="inlineStr">
        <is>
          <t>CMD-0003</t>
        </is>
      </c>
      <c r="C1670" s="43" t="inlineStr">
        <is>
          <t>S11</t>
        </is>
      </c>
      <c r="D1670" s="47" t="n">
        <v>46164</v>
      </c>
      <c r="E1670" s="47" t="n">
        <v>46283</v>
      </c>
      <c r="F1670" s="47" t="n">
        <v>46282</v>
      </c>
      <c r="G1670" s="46" t="n">
        <v>7529</v>
      </c>
      <c r="H1670" s="46" t="n">
        <v>7529</v>
      </c>
      <c r="I1670" s="46" t="n">
        <v>19</v>
      </c>
      <c r="J1670" s="44" t="n">
        <v>25.3582</v>
      </c>
      <c r="K1670" s="43" t="inlineStr">
        <is>
          <t>Received</t>
        </is>
      </c>
      <c r="L1670" s="17">
        <f>INDEX(Items!$C$2:$C$117,MATCH(B1670,Items!$A$2:$A$117,0))</f>
        <v/>
      </c>
      <c r="M1670" s="49">
        <f>INDEX(Items!$E$2:$E$117,MATCH(B1670,Items!$A$2:$A$117,0))</f>
        <v/>
      </c>
      <c r="N1670" s="17">
        <f>TEXT(D1670,"yyyy-mm")</f>
        <v/>
      </c>
      <c r="O1670" s="50">
        <f>G1670*J1670</f>
        <v/>
      </c>
      <c r="P1670" s="50">
        <f>(J1670-M1670)*G1670</f>
        <v/>
      </c>
      <c r="Q1670" s="51">
        <f>IF(K1670="Received",1,0)</f>
        <v/>
      </c>
      <c r="R1670" s="51">
        <f>IF(Q1670=1,F1670-D1670,0)</f>
        <v/>
      </c>
      <c r="S1670" s="51">
        <f>IF(Q1670=1,IF(F1670&lt;=E1670,1,0),0)</f>
        <v/>
      </c>
      <c r="T1670" s="51">
        <f>IF(Q1670=1,IF(H1670&gt;=G1670,1,0),0)</f>
        <v/>
      </c>
      <c r="U1670" s="51">
        <f>S1670*T1670</f>
        <v/>
      </c>
      <c r="V1670" s="51">
        <f>IF(Q1670=1,MAX(0,F1670-E1670),0)</f>
        <v/>
      </c>
    </row>
    <row r="1671">
      <c r="A1671" s="43" t="inlineStr">
        <is>
          <t>PO101001</t>
        </is>
      </c>
      <c r="B1671" s="43" t="inlineStr">
        <is>
          <t>CMD-0045</t>
        </is>
      </c>
      <c r="C1671" s="43" t="inlineStr">
        <is>
          <t>S05</t>
        </is>
      </c>
      <c r="D1671" s="47" t="n">
        <v>46164</v>
      </c>
      <c r="E1671" s="47" t="n">
        <v>46269</v>
      </c>
      <c r="F1671" s="47" t="n">
        <v>46267</v>
      </c>
      <c r="G1671" s="46" t="n">
        <v>3429</v>
      </c>
      <c r="H1671" s="46" t="n">
        <v>3429</v>
      </c>
      <c r="I1671" s="46" t="n">
        <v>60</v>
      </c>
      <c r="J1671" s="44" t="n">
        <v>9.2597</v>
      </c>
      <c r="K1671" s="43" t="inlineStr">
        <is>
          <t>Received</t>
        </is>
      </c>
      <c r="L1671" s="17">
        <f>INDEX(Items!$C$2:$C$117,MATCH(B1671,Items!$A$2:$A$117,0))</f>
        <v/>
      </c>
      <c r="M1671" s="49">
        <f>INDEX(Items!$E$2:$E$117,MATCH(B1671,Items!$A$2:$A$117,0))</f>
        <v/>
      </c>
      <c r="N1671" s="17">
        <f>TEXT(D1671,"yyyy-mm")</f>
        <v/>
      </c>
      <c r="O1671" s="50">
        <f>G1671*J1671</f>
        <v/>
      </c>
      <c r="P1671" s="50">
        <f>(J1671-M1671)*G1671</f>
        <v/>
      </c>
      <c r="Q1671" s="51">
        <f>IF(K1671="Received",1,0)</f>
        <v/>
      </c>
      <c r="R1671" s="51">
        <f>IF(Q1671=1,F1671-D1671,0)</f>
        <v/>
      </c>
      <c r="S1671" s="51">
        <f>IF(Q1671=1,IF(F1671&lt;=E1671,1,0),0)</f>
        <v/>
      </c>
      <c r="T1671" s="51">
        <f>IF(Q1671=1,IF(H1671&gt;=G1671,1,0),0)</f>
        <v/>
      </c>
      <c r="U1671" s="51">
        <f>S1671*T1671</f>
        <v/>
      </c>
      <c r="V1671" s="51">
        <f>IF(Q1671=1,MAX(0,F1671-E1671),0)</f>
        <v/>
      </c>
    </row>
    <row r="1672">
      <c r="A1672" s="43" t="inlineStr">
        <is>
          <t>PO101757</t>
        </is>
      </c>
      <c r="B1672" s="43" t="inlineStr">
        <is>
          <t>CMD-0095</t>
        </is>
      </c>
      <c r="C1672" s="43" t="inlineStr">
        <is>
          <t>S08</t>
        </is>
      </c>
      <c r="D1672" s="47" t="n">
        <v>46164</v>
      </c>
      <c r="E1672" s="47" t="n">
        <v>46241</v>
      </c>
      <c r="F1672" s="47" t="n">
        <v>46241</v>
      </c>
      <c r="G1672" s="46" t="n">
        <v>381</v>
      </c>
      <c r="H1672" s="46" t="n">
        <v>381</v>
      </c>
      <c r="I1672" s="46" t="n">
        <v>9</v>
      </c>
      <c r="J1672" s="44" t="n">
        <v>94.5849</v>
      </c>
      <c r="K1672" s="43" t="inlineStr">
        <is>
          <t>Received</t>
        </is>
      </c>
      <c r="L1672" s="17">
        <f>INDEX(Items!$C$2:$C$117,MATCH(B1672,Items!$A$2:$A$117,0))</f>
        <v/>
      </c>
      <c r="M1672" s="49">
        <f>INDEX(Items!$E$2:$E$117,MATCH(B1672,Items!$A$2:$A$117,0))</f>
        <v/>
      </c>
      <c r="N1672" s="17">
        <f>TEXT(D1672,"yyyy-mm")</f>
        <v/>
      </c>
      <c r="O1672" s="50">
        <f>G1672*J1672</f>
        <v/>
      </c>
      <c r="P1672" s="50">
        <f>(J1672-M1672)*G1672</f>
        <v/>
      </c>
      <c r="Q1672" s="51">
        <f>IF(K1672="Received",1,0)</f>
        <v/>
      </c>
      <c r="R1672" s="51">
        <f>IF(Q1672=1,F1672-D1672,0)</f>
        <v/>
      </c>
      <c r="S1672" s="51">
        <f>IF(Q1672=1,IF(F1672&lt;=E1672,1,0),0)</f>
        <v/>
      </c>
      <c r="T1672" s="51">
        <f>IF(Q1672=1,IF(H1672&gt;=G1672,1,0),0)</f>
        <v/>
      </c>
      <c r="U1672" s="51">
        <f>S1672*T1672</f>
        <v/>
      </c>
      <c r="V1672" s="51">
        <f>IF(Q1672=1,MAX(0,F1672-E1672),0)</f>
        <v/>
      </c>
    </row>
    <row r="1673">
      <c r="A1673" s="43" t="inlineStr">
        <is>
          <t>PO101295</t>
        </is>
      </c>
      <c r="B1673" s="43" t="inlineStr">
        <is>
          <t>CMD-0062</t>
        </is>
      </c>
      <c r="C1673" s="43" t="inlineStr">
        <is>
          <t>S01</t>
        </is>
      </c>
      <c r="D1673" s="47" t="n">
        <v>46164</v>
      </c>
      <c r="E1673" s="47" t="n">
        <v>46185</v>
      </c>
      <c r="F1673" s="47" t="n">
        <v>46182</v>
      </c>
      <c r="G1673" s="46" t="n">
        <v>77767</v>
      </c>
      <c r="H1673" s="46" t="n">
        <v>77767</v>
      </c>
      <c r="I1673" s="46" t="n">
        <v>156</v>
      </c>
      <c r="J1673" s="44" t="n">
        <v>0.1173</v>
      </c>
      <c r="K1673" s="43" t="inlineStr">
        <is>
          <t>Received</t>
        </is>
      </c>
      <c r="L1673" s="17">
        <f>INDEX(Items!$C$2:$C$117,MATCH(B1673,Items!$A$2:$A$117,0))</f>
        <v/>
      </c>
      <c r="M1673" s="49">
        <f>INDEX(Items!$E$2:$E$117,MATCH(B1673,Items!$A$2:$A$117,0))</f>
        <v/>
      </c>
      <c r="N1673" s="17">
        <f>TEXT(D1673,"yyyy-mm")</f>
        <v/>
      </c>
      <c r="O1673" s="50">
        <f>G1673*J1673</f>
        <v/>
      </c>
      <c r="P1673" s="50">
        <f>(J1673-M1673)*G1673</f>
        <v/>
      </c>
      <c r="Q1673" s="51">
        <f>IF(K1673="Received",1,0)</f>
        <v/>
      </c>
      <c r="R1673" s="51">
        <f>IF(Q1673=1,F1673-D1673,0)</f>
        <v/>
      </c>
      <c r="S1673" s="51">
        <f>IF(Q1673=1,IF(F1673&lt;=E1673,1,0),0)</f>
        <v/>
      </c>
      <c r="T1673" s="51">
        <f>IF(Q1673=1,IF(H1673&gt;=G1673,1,0),0)</f>
        <v/>
      </c>
      <c r="U1673" s="51">
        <f>S1673*T1673</f>
        <v/>
      </c>
      <c r="V1673" s="51">
        <f>IF(Q1673=1,MAX(0,F1673-E1673),0)</f>
        <v/>
      </c>
    </row>
    <row r="1674">
      <c r="A1674" s="43" t="inlineStr">
        <is>
          <t>PO101637</t>
        </is>
      </c>
      <c r="B1674" s="43" t="inlineStr">
        <is>
          <t>CMD-0090</t>
        </is>
      </c>
      <c r="C1674" s="43" t="inlineStr">
        <is>
          <t>S01</t>
        </is>
      </c>
      <c r="D1674" s="47" t="n">
        <v>46164</v>
      </c>
      <c r="E1674" s="47" t="n">
        <v>46178</v>
      </c>
      <c r="F1674" s="47" t="n">
        <v>46175</v>
      </c>
      <c r="G1674" s="46" t="n">
        <v>4350</v>
      </c>
      <c r="H1674" s="46" t="n">
        <v>4350</v>
      </c>
      <c r="I1674" s="46" t="n">
        <v>10</v>
      </c>
      <c r="J1674" s="44" t="n">
        <v>7.1997</v>
      </c>
      <c r="K1674" s="43" t="inlineStr">
        <is>
          <t>Received</t>
        </is>
      </c>
      <c r="L1674" s="17">
        <f>INDEX(Items!$C$2:$C$117,MATCH(B1674,Items!$A$2:$A$117,0))</f>
        <v/>
      </c>
      <c r="M1674" s="49">
        <f>INDEX(Items!$E$2:$E$117,MATCH(B1674,Items!$A$2:$A$117,0))</f>
        <v/>
      </c>
      <c r="N1674" s="17">
        <f>TEXT(D1674,"yyyy-mm")</f>
        <v/>
      </c>
      <c r="O1674" s="50">
        <f>G1674*J1674</f>
        <v/>
      </c>
      <c r="P1674" s="50">
        <f>(J1674-M1674)*G1674</f>
        <v/>
      </c>
      <c r="Q1674" s="51">
        <f>IF(K1674="Received",1,0)</f>
        <v/>
      </c>
      <c r="R1674" s="51">
        <f>IF(Q1674=1,F1674-D1674,0)</f>
        <v/>
      </c>
      <c r="S1674" s="51">
        <f>IF(Q1674=1,IF(F1674&lt;=E1674,1,0),0)</f>
        <v/>
      </c>
      <c r="T1674" s="51">
        <f>IF(Q1674=1,IF(H1674&gt;=G1674,1,0),0)</f>
        <v/>
      </c>
      <c r="U1674" s="51">
        <f>S1674*T1674</f>
        <v/>
      </c>
      <c r="V1674" s="51">
        <f>IF(Q1674=1,MAX(0,F1674-E1674),0)</f>
        <v/>
      </c>
    </row>
    <row r="1675">
      <c r="A1675" s="43" t="inlineStr">
        <is>
          <t>PO101263</t>
        </is>
      </c>
      <c r="B1675" s="43" t="inlineStr">
        <is>
          <t>CMD-0059</t>
        </is>
      </c>
      <c r="C1675" s="43" t="inlineStr">
        <is>
          <t>S01</t>
        </is>
      </c>
      <c r="D1675" s="47" t="n">
        <v>46171</v>
      </c>
      <c r="E1675" s="47" t="n">
        <v>46192</v>
      </c>
      <c r="F1675" s="47" t="n">
        <v>46211</v>
      </c>
      <c r="G1675" s="46" t="n">
        <v>221664</v>
      </c>
      <c r="H1675" s="46" t="n">
        <v>221664</v>
      </c>
      <c r="I1675" s="46" t="n">
        <v>398</v>
      </c>
      <c r="J1675" s="44" t="n">
        <v>0.0289</v>
      </c>
      <c r="K1675" s="43" t="inlineStr">
        <is>
          <t>Received</t>
        </is>
      </c>
      <c r="L1675" s="17">
        <f>INDEX(Items!$C$2:$C$117,MATCH(B1675,Items!$A$2:$A$117,0))</f>
        <v/>
      </c>
      <c r="M1675" s="49">
        <f>INDEX(Items!$E$2:$E$117,MATCH(B1675,Items!$A$2:$A$117,0))</f>
        <v/>
      </c>
      <c r="N1675" s="17">
        <f>TEXT(D1675,"yyyy-mm")</f>
        <v/>
      </c>
      <c r="O1675" s="50">
        <f>G1675*J1675</f>
        <v/>
      </c>
      <c r="P1675" s="50">
        <f>(J1675-M1675)*G1675</f>
        <v/>
      </c>
      <c r="Q1675" s="51">
        <f>IF(K1675="Received",1,0)</f>
        <v/>
      </c>
      <c r="R1675" s="51">
        <f>IF(Q1675=1,F1675-D1675,0)</f>
        <v/>
      </c>
      <c r="S1675" s="51">
        <f>IF(Q1675=1,IF(F1675&lt;=E1675,1,0),0)</f>
        <v/>
      </c>
      <c r="T1675" s="51">
        <f>IF(Q1675=1,IF(H1675&gt;=G1675,1,0),0)</f>
        <v/>
      </c>
      <c r="U1675" s="51">
        <f>S1675*T1675</f>
        <v/>
      </c>
      <c r="V1675" s="51">
        <f>IF(Q1675=1,MAX(0,F1675-E1675),0)</f>
        <v/>
      </c>
    </row>
    <row r="1676">
      <c r="A1676" s="43" t="inlineStr">
        <is>
          <t>PO101117</t>
        </is>
      </c>
      <c r="B1676" s="43" t="inlineStr">
        <is>
          <t>CMD-0051</t>
        </is>
      </c>
      <c r="C1676" s="43" t="inlineStr">
        <is>
          <t>S01</t>
        </is>
      </c>
      <c r="D1676" s="47" t="n">
        <v>46172</v>
      </c>
      <c r="E1676" s="47" t="n">
        <v>46193</v>
      </c>
      <c r="F1676" s="47" t="n">
        <v>46191</v>
      </c>
      <c r="G1676" s="46" t="n">
        <v>242926</v>
      </c>
      <c r="H1676" s="46" t="n">
        <v>242926</v>
      </c>
      <c r="I1676" s="46" t="n">
        <v>471</v>
      </c>
      <c r="J1676" s="44" t="n">
        <v>0.0243</v>
      </c>
      <c r="K1676" s="43" t="inlineStr">
        <is>
          <t>Received</t>
        </is>
      </c>
      <c r="L1676" s="17">
        <f>INDEX(Items!$C$2:$C$117,MATCH(B1676,Items!$A$2:$A$117,0))</f>
        <v/>
      </c>
      <c r="M1676" s="49">
        <f>INDEX(Items!$E$2:$E$117,MATCH(B1676,Items!$A$2:$A$117,0))</f>
        <v/>
      </c>
      <c r="N1676" s="17">
        <f>TEXT(D1676,"yyyy-mm")</f>
        <v/>
      </c>
      <c r="O1676" s="50">
        <f>G1676*J1676</f>
        <v/>
      </c>
      <c r="P1676" s="50">
        <f>(J1676-M1676)*G1676</f>
        <v/>
      </c>
      <c r="Q1676" s="51">
        <f>IF(K1676="Received",1,0)</f>
        <v/>
      </c>
      <c r="R1676" s="51">
        <f>IF(Q1676=1,F1676-D1676,0)</f>
        <v/>
      </c>
      <c r="S1676" s="51">
        <f>IF(Q1676=1,IF(F1676&lt;=E1676,1,0),0)</f>
        <v/>
      </c>
      <c r="T1676" s="51">
        <f>IF(Q1676=1,IF(H1676&gt;=G1676,1,0),0)</f>
        <v/>
      </c>
      <c r="U1676" s="51">
        <f>S1676*T1676</f>
        <v/>
      </c>
      <c r="V1676" s="51">
        <f>IF(Q1676=1,MAX(0,F1676-E1676),0)</f>
        <v/>
      </c>
    </row>
    <row r="1677">
      <c r="A1677" s="43" t="inlineStr">
        <is>
          <t>PO101358</t>
        </is>
      </c>
      <c r="B1677" s="43" t="inlineStr">
        <is>
          <t>CMD-0068</t>
        </is>
      </c>
      <c r="C1677" s="43" t="inlineStr">
        <is>
          <t>S01</t>
        </is>
      </c>
      <c r="D1677" s="47" t="n">
        <v>46176</v>
      </c>
      <c r="E1677" s="47" t="n">
        <v>46197</v>
      </c>
      <c r="F1677" s="47" t="n">
        <v>46206</v>
      </c>
      <c r="G1677" s="46" t="n">
        <v>41706</v>
      </c>
      <c r="H1677" s="46" t="n">
        <v>41706</v>
      </c>
      <c r="I1677" s="46" t="n">
        <v>105</v>
      </c>
      <c r="J1677" s="44" t="n">
        <v>0.1609</v>
      </c>
      <c r="K1677" s="43" t="inlineStr">
        <is>
          <t>Received</t>
        </is>
      </c>
      <c r="L1677" s="17">
        <f>INDEX(Items!$C$2:$C$117,MATCH(B1677,Items!$A$2:$A$117,0))</f>
        <v/>
      </c>
      <c r="M1677" s="49">
        <f>INDEX(Items!$E$2:$E$117,MATCH(B1677,Items!$A$2:$A$117,0))</f>
        <v/>
      </c>
      <c r="N1677" s="17">
        <f>TEXT(D1677,"yyyy-mm")</f>
        <v/>
      </c>
      <c r="O1677" s="50">
        <f>G1677*J1677</f>
        <v/>
      </c>
      <c r="P1677" s="50">
        <f>(J1677-M1677)*G1677</f>
        <v/>
      </c>
      <c r="Q1677" s="51">
        <f>IF(K1677="Received",1,0)</f>
        <v/>
      </c>
      <c r="R1677" s="51">
        <f>IF(Q1677=1,F1677-D1677,0)</f>
        <v/>
      </c>
      <c r="S1677" s="51">
        <f>IF(Q1677=1,IF(F1677&lt;=E1677,1,0),0)</f>
        <v/>
      </c>
      <c r="T1677" s="51">
        <f>IF(Q1677=1,IF(H1677&gt;=G1677,1,0),0)</f>
        <v/>
      </c>
      <c r="U1677" s="51">
        <f>S1677*T1677</f>
        <v/>
      </c>
      <c r="V1677" s="51">
        <f>IF(Q1677=1,MAX(0,F1677-E1677),0)</f>
        <v/>
      </c>
    </row>
    <row r="1678">
      <c r="A1678" s="43" t="inlineStr">
        <is>
          <t>PO101217</t>
        </is>
      </c>
      <c r="B1678" s="43" t="inlineStr">
        <is>
          <t>CMD-0056</t>
        </is>
      </c>
      <c r="C1678" s="43" t="inlineStr">
        <is>
          <t>S04</t>
        </is>
      </c>
      <c r="D1678" s="47" t="n">
        <v>46178</v>
      </c>
      <c r="E1678" s="47" t="n">
        <v>46213</v>
      </c>
      <c r="F1678" s="47" t="n">
        <v>46210</v>
      </c>
      <c r="G1678" s="46" t="n">
        <v>68807</v>
      </c>
      <c r="H1678" s="46" t="n">
        <v>68807</v>
      </c>
      <c r="I1678" s="46" t="n">
        <v>711</v>
      </c>
      <c r="J1678" s="44" t="n">
        <v>0.1045</v>
      </c>
      <c r="K1678" s="43" t="inlineStr">
        <is>
          <t>Received</t>
        </is>
      </c>
      <c r="L1678" s="17">
        <f>INDEX(Items!$C$2:$C$117,MATCH(B1678,Items!$A$2:$A$117,0))</f>
        <v/>
      </c>
      <c r="M1678" s="49">
        <f>INDEX(Items!$E$2:$E$117,MATCH(B1678,Items!$A$2:$A$117,0))</f>
        <v/>
      </c>
      <c r="N1678" s="17">
        <f>TEXT(D1678,"yyyy-mm")</f>
        <v/>
      </c>
      <c r="O1678" s="50">
        <f>G1678*J1678</f>
        <v/>
      </c>
      <c r="P1678" s="50">
        <f>(J1678-M1678)*G1678</f>
        <v/>
      </c>
      <c r="Q1678" s="51">
        <f>IF(K1678="Received",1,0)</f>
        <v/>
      </c>
      <c r="R1678" s="51">
        <f>IF(Q1678=1,F1678-D1678,0)</f>
        <v/>
      </c>
      <c r="S1678" s="51">
        <f>IF(Q1678=1,IF(F1678&lt;=E1678,1,0),0)</f>
        <v/>
      </c>
      <c r="T1678" s="51">
        <f>IF(Q1678=1,IF(H1678&gt;=G1678,1,0),0)</f>
        <v/>
      </c>
      <c r="U1678" s="51">
        <f>S1678*T1678</f>
        <v/>
      </c>
      <c r="V1678" s="51">
        <f>IF(Q1678=1,MAX(0,F1678-E1678),0)</f>
        <v/>
      </c>
    </row>
    <row r="1679">
      <c r="A1679" s="43" t="inlineStr">
        <is>
          <t>PO101155</t>
        </is>
      </c>
      <c r="B1679" s="43" t="inlineStr">
        <is>
          <t>CMD-0053</t>
        </is>
      </c>
      <c r="C1679" s="43" t="inlineStr">
        <is>
          <t>S04</t>
        </is>
      </c>
      <c r="D1679" s="47" t="n">
        <v>46179</v>
      </c>
      <c r="E1679" s="47" t="n">
        <v>46214</v>
      </c>
      <c r="F1679" s="47" t="n">
        <v>46212</v>
      </c>
      <c r="G1679" s="46" t="n">
        <v>63392</v>
      </c>
      <c r="H1679" s="46" t="n">
        <v>63392</v>
      </c>
      <c r="I1679" s="46" t="n">
        <v>595</v>
      </c>
      <c r="J1679" s="44" t="n">
        <v>0.0997</v>
      </c>
      <c r="K1679" s="43" t="inlineStr">
        <is>
          <t>Received</t>
        </is>
      </c>
      <c r="L1679" s="17">
        <f>INDEX(Items!$C$2:$C$117,MATCH(B1679,Items!$A$2:$A$117,0))</f>
        <v/>
      </c>
      <c r="M1679" s="49">
        <f>INDEX(Items!$E$2:$E$117,MATCH(B1679,Items!$A$2:$A$117,0))</f>
        <v/>
      </c>
      <c r="N1679" s="17">
        <f>TEXT(D1679,"yyyy-mm")</f>
        <v/>
      </c>
      <c r="O1679" s="50">
        <f>G1679*J1679</f>
        <v/>
      </c>
      <c r="P1679" s="50">
        <f>(J1679-M1679)*G1679</f>
        <v/>
      </c>
      <c r="Q1679" s="51">
        <f>IF(K1679="Received",1,0)</f>
        <v/>
      </c>
      <c r="R1679" s="51">
        <f>IF(Q1679=1,F1679-D1679,0)</f>
        <v/>
      </c>
      <c r="S1679" s="51">
        <f>IF(Q1679=1,IF(F1679&lt;=E1679,1,0),0)</f>
        <v/>
      </c>
      <c r="T1679" s="51">
        <f>IF(Q1679=1,IF(H1679&gt;=G1679,1,0),0)</f>
        <v/>
      </c>
      <c r="U1679" s="51">
        <f>S1679*T1679</f>
        <v/>
      </c>
      <c r="V1679" s="51">
        <f>IF(Q1679=1,MAX(0,F1679-E1679),0)</f>
        <v/>
      </c>
    </row>
    <row r="1680">
      <c r="A1680" s="43" t="inlineStr">
        <is>
          <t>PO101929</t>
        </is>
      </c>
      <c r="B1680" s="43" t="inlineStr">
        <is>
          <t>CMD-0106</t>
        </is>
      </c>
      <c r="C1680" s="43" t="inlineStr">
        <is>
          <t>S09</t>
        </is>
      </c>
      <c r="D1680" s="47" t="n">
        <v>46179</v>
      </c>
      <c r="E1680" s="47" t="n">
        <v>46200</v>
      </c>
      <c r="F1680" s="47" t="n">
        <v>46199</v>
      </c>
      <c r="G1680" s="46" t="n">
        <v>643</v>
      </c>
      <c r="H1680" s="46" t="n">
        <v>643</v>
      </c>
      <c r="I1680" s="46" t="n">
        <v>1</v>
      </c>
      <c r="J1680" s="44" t="n">
        <v>10.7326</v>
      </c>
      <c r="K1680" s="43" t="inlineStr">
        <is>
          <t>Received</t>
        </is>
      </c>
      <c r="L1680" s="17">
        <f>INDEX(Items!$C$2:$C$117,MATCH(B1680,Items!$A$2:$A$117,0))</f>
        <v/>
      </c>
      <c r="M1680" s="49">
        <f>INDEX(Items!$E$2:$E$117,MATCH(B1680,Items!$A$2:$A$117,0))</f>
        <v/>
      </c>
      <c r="N1680" s="17">
        <f>TEXT(D1680,"yyyy-mm")</f>
        <v/>
      </c>
      <c r="O1680" s="50">
        <f>G1680*J1680</f>
        <v/>
      </c>
      <c r="P1680" s="50">
        <f>(J1680-M1680)*G1680</f>
        <v/>
      </c>
      <c r="Q1680" s="51">
        <f>IF(K1680="Received",1,0)</f>
        <v/>
      </c>
      <c r="R1680" s="51">
        <f>IF(Q1680=1,F1680-D1680,0)</f>
        <v/>
      </c>
      <c r="S1680" s="51">
        <f>IF(Q1680=1,IF(F1680&lt;=E1680,1,0),0)</f>
        <v/>
      </c>
      <c r="T1680" s="51">
        <f>IF(Q1680=1,IF(H1680&gt;=G1680,1,0),0)</f>
        <v/>
      </c>
      <c r="U1680" s="51">
        <f>S1680*T1680</f>
        <v/>
      </c>
      <c r="V1680" s="51">
        <f>IF(Q1680=1,MAX(0,F1680-E1680),0)</f>
        <v/>
      </c>
    </row>
    <row r="1681">
      <c r="A1681" s="43" t="inlineStr">
        <is>
          <t>PO101048</t>
        </is>
      </c>
      <c r="B1681" s="43" t="inlineStr">
        <is>
          <t>CMD-0047</t>
        </is>
      </c>
      <c r="C1681" s="43" t="inlineStr">
        <is>
          <t>S04</t>
        </is>
      </c>
      <c r="D1681" s="47" t="n">
        <v>46184</v>
      </c>
      <c r="E1681" s="47" t="n">
        <v>46219</v>
      </c>
      <c r="F1681" s="47" t="n">
        <v>46218</v>
      </c>
      <c r="G1681" s="46" t="n">
        <v>19281</v>
      </c>
      <c r="H1681" s="46" t="n">
        <v>19281</v>
      </c>
      <c r="I1681" s="46" t="n">
        <v>182</v>
      </c>
      <c r="J1681" s="44" t="n">
        <v>0.3049</v>
      </c>
      <c r="K1681" s="43" t="inlineStr">
        <is>
          <t>Received</t>
        </is>
      </c>
      <c r="L1681" s="17">
        <f>INDEX(Items!$C$2:$C$117,MATCH(B1681,Items!$A$2:$A$117,0))</f>
        <v/>
      </c>
      <c r="M1681" s="49">
        <f>INDEX(Items!$E$2:$E$117,MATCH(B1681,Items!$A$2:$A$117,0))</f>
        <v/>
      </c>
      <c r="N1681" s="17">
        <f>TEXT(D1681,"yyyy-mm")</f>
        <v/>
      </c>
      <c r="O1681" s="50">
        <f>G1681*J1681</f>
        <v/>
      </c>
      <c r="P1681" s="50">
        <f>(J1681-M1681)*G1681</f>
        <v/>
      </c>
      <c r="Q1681" s="51">
        <f>IF(K1681="Received",1,0)</f>
        <v/>
      </c>
      <c r="R1681" s="51">
        <f>IF(Q1681=1,F1681-D1681,0)</f>
        <v/>
      </c>
      <c r="S1681" s="51">
        <f>IF(Q1681=1,IF(F1681&lt;=E1681,1,0),0)</f>
        <v/>
      </c>
      <c r="T1681" s="51">
        <f>IF(Q1681=1,IF(H1681&gt;=G1681,1,0),0)</f>
        <v/>
      </c>
      <c r="U1681" s="51">
        <f>S1681*T1681</f>
        <v/>
      </c>
      <c r="V1681" s="51">
        <f>IF(Q1681=1,MAX(0,F1681-E1681),0)</f>
        <v/>
      </c>
    </row>
    <row r="1682">
      <c r="A1682" s="43" t="inlineStr">
        <is>
          <t>PO101226</t>
        </is>
      </c>
      <c r="B1682" s="43" t="inlineStr">
        <is>
          <t>CMD-0057</t>
        </is>
      </c>
      <c r="C1682" s="43" t="inlineStr">
        <is>
          <t>S01</t>
        </is>
      </c>
      <c r="D1682" s="47" t="n">
        <v>46186</v>
      </c>
      <c r="E1682" s="47" t="n">
        <v>46207</v>
      </c>
      <c r="F1682" s="47" t="n">
        <v>46204</v>
      </c>
      <c r="G1682" s="46" t="n">
        <v>52559</v>
      </c>
      <c r="H1682" s="46" t="n">
        <v>52559</v>
      </c>
      <c r="I1682" s="46" t="n">
        <v>90</v>
      </c>
      <c r="J1682" s="44" t="n">
        <v>0.1158</v>
      </c>
      <c r="K1682" s="43" t="inlineStr">
        <is>
          <t>Received</t>
        </is>
      </c>
      <c r="L1682" s="17">
        <f>INDEX(Items!$C$2:$C$117,MATCH(B1682,Items!$A$2:$A$117,0))</f>
        <v/>
      </c>
      <c r="M1682" s="49">
        <f>INDEX(Items!$E$2:$E$117,MATCH(B1682,Items!$A$2:$A$117,0))</f>
        <v/>
      </c>
      <c r="N1682" s="17">
        <f>TEXT(D1682,"yyyy-mm")</f>
        <v/>
      </c>
      <c r="O1682" s="50">
        <f>G1682*J1682</f>
        <v/>
      </c>
      <c r="P1682" s="50">
        <f>(J1682-M1682)*G1682</f>
        <v/>
      </c>
      <c r="Q1682" s="51">
        <f>IF(K1682="Received",1,0)</f>
        <v/>
      </c>
      <c r="R1682" s="51">
        <f>IF(Q1682=1,F1682-D1682,0)</f>
        <v/>
      </c>
      <c r="S1682" s="51">
        <f>IF(Q1682=1,IF(F1682&lt;=E1682,1,0),0)</f>
        <v/>
      </c>
      <c r="T1682" s="51">
        <f>IF(Q1682=1,IF(H1682&gt;=G1682,1,0),0)</f>
        <v/>
      </c>
      <c r="U1682" s="51">
        <f>S1682*T1682</f>
        <v/>
      </c>
      <c r="V1682" s="51">
        <f>IF(Q1682=1,MAX(0,F1682-E1682),0)</f>
        <v/>
      </c>
    </row>
    <row r="1683">
      <c r="A1683" s="43" t="inlineStr">
        <is>
          <t>PO100360</t>
        </is>
      </c>
      <c r="B1683" s="43" t="inlineStr">
        <is>
          <t>CMD-0016</t>
        </is>
      </c>
      <c r="C1683" s="43" t="inlineStr">
        <is>
          <t>S07</t>
        </is>
      </c>
      <c r="D1683" s="47" t="n">
        <v>46187</v>
      </c>
      <c r="E1683" s="47" t="n">
        <v>46278</v>
      </c>
      <c r="F1683" s="47" t="n">
        <v>46275</v>
      </c>
      <c r="G1683" s="46" t="n">
        <v>6666</v>
      </c>
      <c r="H1683" s="46" t="n">
        <v>6666</v>
      </c>
      <c r="I1683" s="46" t="n">
        <v>54</v>
      </c>
      <c r="J1683" s="44" t="n">
        <v>31.8836</v>
      </c>
      <c r="K1683" s="43" t="inlineStr">
        <is>
          <t>Received</t>
        </is>
      </c>
      <c r="L1683" s="17">
        <f>INDEX(Items!$C$2:$C$117,MATCH(B1683,Items!$A$2:$A$117,0))</f>
        <v/>
      </c>
      <c r="M1683" s="49">
        <f>INDEX(Items!$E$2:$E$117,MATCH(B1683,Items!$A$2:$A$117,0))</f>
        <v/>
      </c>
      <c r="N1683" s="17">
        <f>TEXT(D1683,"yyyy-mm")</f>
        <v/>
      </c>
      <c r="O1683" s="50">
        <f>G1683*J1683</f>
        <v/>
      </c>
      <c r="P1683" s="50">
        <f>(J1683-M1683)*G1683</f>
        <v/>
      </c>
      <c r="Q1683" s="51">
        <f>IF(K1683="Received",1,0)</f>
        <v/>
      </c>
      <c r="R1683" s="51">
        <f>IF(Q1683=1,F1683-D1683,0)</f>
        <v/>
      </c>
      <c r="S1683" s="51">
        <f>IF(Q1683=1,IF(F1683&lt;=E1683,1,0),0)</f>
        <v/>
      </c>
      <c r="T1683" s="51">
        <f>IF(Q1683=1,IF(H1683&gt;=G1683,1,0),0)</f>
        <v/>
      </c>
      <c r="U1683" s="51">
        <f>S1683*T1683</f>
        <v/>
      </c>
      <c r="V1683" s="51">
        <f>IF(Q1683=1,MAX(0,F1683-E1683),0)</f>
        <v/>
      </c>
    </row>
    <row r="1684">
      <c r="A1684" s="43" t="inlineStr">
        <is>
          <t>PO100188</t>
        </is>
      </c>
      <c r="B1684" s="43" t="inlineStr">
        <is>
          <t>CMD-0008</t>
        </is>
      </c>
      <c r="C1684" s="43" t="inlineStr">
        <is>
          <t>S03</t>
        </is>
      </c>
      <c r="D1684" s="47" t="n">
        <v>46187</v>
      </c>
      <c r="E1684" s="47" t="n">
        <v>46320</v>
      </c>
      <c r="F1684" s="47" t="n"/>
      <c r="G1684" s="46" t="n">
        <v>1288</v>
      </c>
      <c r="H1684" s="46" t="n">
        <v>0</v>
      </c>
      <c r="I1684" s="46" t="n">
        <v>0</v>
      </c>
      <c r="J1684" s="44" t="n">
        <v>27.9188</v>
      </c>
      <c r="K1684" s="43" t="inlineStr">
        <is>
          <t>Open</t>
        </is>
      </c>
      <c r="L1684" s="17">
        <f>INDEX(Items!$C$2:$C$117,MATCH(B1684,Items!$A$2:$A$117,0))</f>
        <v/>
      </c>
      <c r="M1684" s="49">
        <f>INDEX(Items!$E$2:$E$117,MATCH(B1684,Items!$A$2:$A$117,0))</f>
        <v/>
      </c>
      <c r="N1684" s="17">
        <f>TEXT(D1684,"yyyy-mm")</f>
        <v/>
      </c>
      <c r="O1684" s="50">
        <f>G1684*J1684</f>
        <v/>
      </c>
      <c r="P1684" s="50">
        <f>(J1684-M1684)*G1684</f>
        <v/>
      </c>
      <c r="Q1684" s="51">
        <f>IF(K1684="Received",1,0)</f>
        <v/>
      </c>
      <c r="R1684" s="51">
        <f>IF(Q1684=1,F1684-D1684,0)</f>
        <v/>
      </c>
      <c r="S1684" s="51">
        <f>IF(Q1684=1,IF(F1684&lt;=E1684,1,0),0)</f>
        <v/>
      </c>
      <c r="T1684" s="51">
        <f>IF(Q1684=1,IF(H1684&gt;=G1684,1,0),0)</f>
        <v/>
      </c>
      <c r="U1684" s="51">
        <f>S1684*T1684</f>
        <v/>
      </c>
      <c r="V1684" s="51">
        <f>IF(Q1684=1,MAX(0,F1684-E1684),0)</f>
        <v/>
      </c>
    </row>
    <row r="1685">
      <c r="A1685" s="43" t="inlineStr">
        <is>
          <t>PO100288</t>
        </is>
      </c>
      <c r="B1685" s="43" t="inlineStr">
        <is>
          <t>CMD-0013</t>
        </is>
      </c>
      <c r="C1685" s="43" t="inlineStr">
        <is>
          <t>S11</t>
        </is>
      </c>
      <c r="D1685" s="47" t="n">
        <v>46187</v>
      </c>
      <c r="E1685" s="47" t="n">
        <v>46306</v>
      </c>
      <c r="F1685" s="47" t="n"/>
      <c r="G1685" s="46" t="n">
        <v>842</v>
      </c>
      <c r="H1685" s="46" t="n">
        <v>0</v>
      </c>
      <c r="I1685" s="46" t="n">
        <v>0</v>
      </c>
      <c r="J1685" s="44" t="n">
        <v>7.965</v>
      </c>
      <c r="K1685" s="43" t="inlineStr">
        <is>
          <t>Open</t>
        </is>
      </c>
      <c r="L1685" s="17">
        <f>INDEX(Items!$C$2:$C$117,MATCH(B1685,Items!$A$2:$A$117,0))</f>
        <v/>
      </c>
      <c r="M1685" s="49">
        <f>INDEX(Items!$E$2:$E$117,MATCH(B1685,Items!$A$2:$A$117,0))</f>
        <v/>
      </c>
      <c r="N1685" s="17">
        <f>TEXT(D1685,"yyyy-mm")</f>
        <v/>
      </c>
      <c r="O1685" s="50">
        <f>G1685*J1685</f>
        <v/>
      </c>
      <c r="P1685" s="50">
        <f>(J1685-M1685)*G1685</f>
        <v/>
      </c>
      <c r="Q1685" s="51">
        <f>IF(K1685="Received",1,0)</f>
        <v/>
      </c>
      <c r="R1685" s="51">
        <f>IF(Q1685=1,F1685-D1685,0)</f>
        <v/>
      </c>
      <c r="S1685" s="51">
        <f>IF(Q1685=1,IF(F1685&lt;=E1685,1,0),0)</f>
        <v/>
      </c>
      <c r="T1685" s="51">
        <f>IF(Q1685=1,IF(H1685&gt;=G1685,1,0),0)</f>
        <v/>
      </c>
      <c r="U1685" s="51">
        <f>S1685*T1685</f>
        <v/>
      </c>
      <c r="V1685" s="51">
        <f>IF(Q1685=1,MAX(0,F1685-E1685),0)</f>
        <v/>
      </c>
    </row>
    <row r="1686">
      <c r="A1686" s="43" t="inlineStr">
        <is>
          <t>PO101888</t>
        </is>
      </c>
      <c r="B1686" s="43" t="inlineStr">
        <is>
          <t>CMD-0102</t>
        </is>
      </c>
      <c r="C1686" s="43" t="inlineStr">
        <is>
          <t>S09</t>
        </is>
      </c>
      <c r="D1686" s="47" t="n">
        <v>46187</v>
      </c>
      <c r="E1686" s="47" t="n">
        <v>46208</v>
      </c>
      <c r="F1686" s="47" t="n">
        <v>46206</v>
      </c>
      <c r="G1686" s="46" t="n">
        <v>2438</v>
      </c>
      <c r="H1686" s="46" t="n">
        <v>1706</v>
      </c>
      <c r="I1686" s="46" t="n">
        <v>4</v>
      </c>
      <c r="J1686" s="44" t="n">
        <v>6.9113</v>
      </c>
      <c r="K1686" s="43" t="inlineStr">
        <is>
          <t>Received</t>
        </is>
      </c>
      <c r="L1686" s="17">
        <f>INDEX(Items!$C$2:$C$117,MATCH(B1686,Items!$A$2:$A$117,0))</f>
        <v/>
      </c>
      <c r="M1686" s="49">
        <f>INDEX(Items!$E$2:$E$117,MATCH(B1686,Items!$A$2:$A$117,0))</f>
        <v/>
      </c>
      <c r="N1686" s="17">
        <f>TEXT(D1686,"yyyy-mm")</f>
        <v/>
      </c>
      <c r="O1686" s="50">
        <f>G1686*J1686</f>
        <v/>
      </c>
      <c r="P1686" s="50">
        <f>(J1686-M1686)*G1686</f>
        <v/>
      </c>
      <c r="Q1686" s="51">
        <f>IF(K1686="Received",1,0)</f>
        <v/>
      </c>
      <c r="R1686" s="51">
        <f>IF(Q1686=1,F1686-D1686,0)</f>
        <v/>
      </c>
      <c r="S1686" s="51">
        <f>IF(Q1686=1,IF(F1686&lt;=E1686,1,0),0)</f>
        <v/>
      </c>
      <c r="T1686" s="51">
        <f>IF(Q1686=1,IF(H1686&gt;=G1686,1,0),0)</f>
        <v/>
      </c>
      <c r="U1686" s="51">
        <f>S1686*T1686</f>
        <v/>
      </c>
      <c r="V1686" s="51">
        <f>IF(Q1686=1,MAX(0,F1686-E1686),0)</f>
        <v/>
      </c>
    </row>
    <row r="1687">
      <c r="A1687" s="43" t="inlineStr">
        <is>
          <t>PO101248</t>
        </is>
      </c>
      <c r="B1687" s="43" t="inlineStr">
        <is>
          <t>CMD-0058</t>
        </is>
      </c>
      <c r="C1687" s="43" t="inlineStr">
        <is>
          <t>S04</t>
        </is>
      </c>
      <c r="D1687" s="47" t="n">
        <v>46187</v>
      </c>
      <c r="E1687" s="47" t="n">
        <v>46222</v>
      </c>
      <c r="F1687" s="47" t="n">
        <v>46222</v>
      </c>
      <c r="G1687" s="46" t="n">
        <v>57720</v>
      </c>
      <c r="H1687" s="46" t="n">
        <v>57720</v>
      </c>
      <c r="I1687" s="46" t="n">
        <v>570</v>
      </c>
      <c r="J1687" s="44" t="n">
        <v>0.1213</v>
      </c>
      <c r="K1687" s="43" t="inlineStr">
        <is>
          <t>Received</t>
        </is>
      </c>
      <c r="L1687" s="17">
        <f>INDEX(Items!$C$2:$C$117,MATCH(B1687,Items!$A$2:$A$117,0))</f>
        <v/>
      </c>
      <c r="M1687" s="49">
        <f>INDEX(Items!$E$2:$E$117,MATCH(B1687,Items!$A$2:$A$117,0))</f>
        <v/>
      </c>
      <c r="N1687" s="17">
        <f>TEXT(D1687,"yyyy-mm")</f>
        <v/>
      </c>
      <c r="O1687" s="50">
        <f>G1687*J1687</f>
        <v/>
      </c>
      <c r="P1687" s="50">
        <f>(J1687-M1687)*G1687</f>
        <v/>
      </c>
      <c r="Q1687" s="51">
        <f>IF(K1687="Received",1,0)</f>
        <v/>
      </c>
      <c r="R1687" s="51">
        <f>IF(Q1687=1,F1687-D1687,0)</f>
        <v/>
      </c>
      <c r="S1687" s="51">
        <f>IF(Q1687=1,IF(F1687&lt;=E1687,1,0),0)</f>
        <v/>
      </c>
      <c r="T1687" s="51">
        <f>IF(Q1687=1,IF(H1687&gt;=G1687,1,0),0)</f>
        <v/>
      </c>
      <c r="U1687" s="51">
        <f>S1687*T1687</f>
        <v/>
      </c>
      <c r="V1687" s="51">
        <f>IF(Q1687=1,MAX(0,F1687-E1687),0)</f>
        <v/>
      </c>
    </row>
    <row r="1688">
      <c r="A1688" s="43" t="inlineStr">
        <is>
          <t>PO100408</t>
        </is>
      </c>
      <c r="B1688" s="43" t="inlineStr">
        <is>
          <t>CMD-0018</t>
        </is>
      </c>
      <c r="C1688" s="43" t="inlineStr">
        <is>
          <t>S02</t>
        </is>
      </c>
      <c r="D1688" s="47" t="n">
        <v>46187</v>
      </c>
      <c r="E1688" s="47" t="n">
        <v>46243</v>
      </c>
      <c r="F1688" s="47" t="n">
        <v>46250</v>
      </c>
      <c r="G1688" s="46" t="n">
        <v>6604</v>
      </c>
      <c r="H1688" s="46" t="n">
        <v>4073</v>
      </c>
      <c r="I1688" s="46" t="n">
        <v>16</v>
      </c>
      <c r="J1688" s="44" t="n">
        <v>39.0576</v>
      </c>
      <c r="K1688" s="43" t="inlineStr">
        <is>
          <t>Received</t>
        </is>
      </c>
      <c r="L1688" s="17">
        <f>INDEX(Items!$C$2:$C$117,MATCH(B1688,Items!$A$2:$A$117,0))</f>
        <v/>
      </c>
      <c r="M1688" s="49">
        <f>INDEX(Items!$E$2:$E$117,MATCH(B1688,Items!$A$2:$A$117,0))</f>
        <v/>
      </c>
      <c r="N1688" s="17">
        <f>TEXT(D1688,"yyyy-mm")</f>
        <v/>
      </c>
      <c r="O1688" s="50">
        <f>G1688*J1688</f>
        <v/>
      </c>
      <c r="P1688" s="50">
        <f>(J1688-M1688)*G1688</f>
        <v/>
      </c>
      <c r="Q1688" s="51">
        <f>IF(K1688="Received",1,0)</f>
        <v/>
      </c>
      <c r="R1688" s="51">
        <f>IF(Q1688=1,F1688-D1688,0)</f>
        <v/>
      </c>
      <c r="S1688" s="51">
        <f>IF(Q1688=1,IF(F1688&lt;=E1688,1,0),0)</f>
        <v/>
      </c>
      <c r="T1688" s="51">
        <f>IF(Q1688=1,IF(H1688&gt;=G1688,1,0),0)</f>
        <v/>
      </c>
      <c r="U1688" s="51">
        <f>S1688*T1688</f>
        <v/>
      </c>
      <c r="V1688" s="51">
        <f>IF(Q1688=1,MAX(0,F1688-E1688),0)</f>
        <v/>
      </c>
    </row>
    <row r="1689">
      <c r="A1689" s="43" t="inlineStr">
        <is>
          <t>PO101662</t>
        </is>
      </c>
      <c r="B1689" s="43" t="inlineStr">
        <is>
          <t>CMD-0091</t>
        </is>
      </c>
      <c r="C1689" s="43" t="inlineStr">
        <is>
          <t>S08</t>
        </is>
      </c>
      <c r="D1689" s="47" t="n">
        <v>46187</v>
      </c>
      <c r="E1689" s="47" t="n">
        <v>46264</v>
      </c>
      <c r="F1689" s="47" t="n">
        <v>46264</v>
      </c>
      <c r="G1689" s="46" t="n">
        <v>1006</v>
      </c>
      <c r="H1689" s="46" t="n">
        <v>1006</v>
      </c>
      <c r="I1689" s="46" t="n">
        <v>11</v>
      </c>
      <c r="J1689" s="44" t="n">
        <v>24.514</v>
      </c>
      <c r="K1689" s="43" t="inlineStr">
        <is>
          <t>Received</t>
        </is>
      </c>
      <c r="L1689" s="17">
        <f>INDEX(Items!$C$2:$C$117,MATCH(B1689,Items!$A$2:$A$117,0))</f>
        <v/>
      </c>
      <c r="M1689" s="49">
        <f>INDEX(Items!$E$2:$E$117,MATCH(B1689,Items!$A$2:$A$117,0))</f>
        <v/>
      </c>
      <c r="N1689" s="17">
        <f>TEXT(D1689,"yyyy-mm")</f>
        <v/>
      </c>
      <c r="O1689" s="50">
        <f>G1689*J1689</f>
        <v/>
      </c>
      <c r="P1689" s="50">
        <f>(J1689-M1689)*G1689</f>
        <v/>
      </c>
      <c r="Q1689" s="51">
        <f>IF(K1689="Received",1,0)</f>
        <v/>
      </c>
      <c r="R1689" s="51">
        <f>IF(Q1689=1,F1689-D1689,0)</f>
        <v/>
      </c>
      <c r="S1689" s="51">
        <f>IF(Q1689=1,IF(F1689&lt;=E1689,1,0),0)</f>
        <v/>
      </c>
      <c r="T1689" s="51">
        <f>IF(Q1689=1,IF(H1689&gt;=G1689,1,0),0)</f>
        <v/>
      </c>
      <c r="U1689" s="51">
        <f>S1689*T1689</f>
        <v/>
      </c>
      <c r="V1689" s="51">
        <f>IF(Q1689=1,MAX(0,F1689-E1689),0)</f>
        <v/>
      </c>
    </row>
    <row r="1690">
      <c r="A1690" s="43" t="inlineStr">
        <is>
          <t>PO100766</t>
        </is>
      </c>
      <c r="B1690" s="43" t="inlineStr">
        <is>
          <t>CMD-0034</t>
        </is>
      </c>
      <c r="C1690" s="43" t="inlineStr">
        <is>
          <t>S04</t>
        </is>
      </c>
      <c r="D1690" s="47" t="n">
        <v>46187</v>
      </c>
      <c r="E1690" s="47" t="n">
        <v>46229</v>
      </c>
      <c r="F1690" s="47" t="n">
        <v>46228</v>
      </c>
      <c r="G1690" s="46" t="n">
        <v>721</v>
      </c>
      <c r="H1690" s="46" t="n">
        <v>721</v>
      </c>
      <c r="I1690" s="46" t="n">
        <v>11</v>
      </c>
      <c r="J1690" s="44" t="n">
        <v>10.8665</v>
      </c>
      <c r="K1690" s="43" t="inlineStr">
        <is>
          <t>Received</t>
        </is>
      </c>
      <c r="L1690" s="17">
        <f>INDEX(Items!$C$2:$C$117,MATCH(B1690,Items!$A$2:$A$117,0))</f>
        <v/>
      </c>
      <c r="M1690" s="49">
        <f>INDEX(Items!$E$2:$E$117,MATCH(B1690,Items!$A$2:$A$117,0))</f>
        <v/>
      </c>
      <c r="N1690" s="17">
        <f>TEXT(D1690,"yyyy-mm")</f>
        <v/>
      </c>
      <c r="O1690" s="50">
        <f>G1690*J1690</f>
        <v/>
      </c>
      <c r="P1690" s="50">
        <f>(J1690-M1690)*G1690</f>
        <v/>
      </c>
      <c r="Q1690" s="51">
        <f>IF(K1690="Received",1,0)</f>
        <v/>
      </c>
      <c r="R1690" s="51">
        <f>IF(Q1690=1,F1690-D1690,0)</f>
        <v/>
      </c>
      <c r="S1690" s="51">
        <f>IF(Q1690=1,IF(F1690&lt;=E1690,1,0),0)</f>
        <v/>
      </c>
      <c r="T1690" s="51">
        <f>IF(Q1690=1,IF(H1690&gt;=G1690,1,0),0)</f>
        <v/>
      </c>
      <c r="U1690" s="51">
        <f>S1690*T1690</f>
        <v/>
      </c>
      <c r="V1690" s="51">
        <f>IF(Q1690=1,MAX(0,F1690-E1690),0)</f>
        <v/>
      </c>
    </row>
    <row r="1691">
      <c r="A1691" s="43" t="inlineStr">
        <is>
          <t>PO101202</t>
        </is>
      </c>
      <c r="B1691" s="43" t="inlineStr">
        <is>
          <t>CMD-0055</t>
        </is>
      </c>
      <c r="C1691" s="43" t="inlineStr">
        <is>
          <t>S04</t>
        </is>
      </c>
      <c r="D1691" s="47" t="n">
        <v>46187</v>
      </c>
      <c r="E1691" s="47" t="n">
        <v>46222</v>
      </c>
      <c r="F1691" s="47" t="n">
        <v>46219</v>
      </c>
      <c r="G1691" s="46" t="n">
        <v>100649</v>
      </c>
      <c r="H1691" s="46" t="n">
        <v>100649</v>
      </c>
      <c r="I1691" s="46" t="n">
        <v>970</v>
      </c>
      <c r="J1691" s="44" t="n">
        <v>0.09660000000000001</v>
      </c>
      <c r="K1691" s="43" t="inlineStr">
        <is>
          <t>Received</t>
        </is>
      </c>
      <c r="L1691" s="17">
        <f>INDEX(Items!$C$2:$C$117,MATCH(B1691,Items!$A$2:$A$117,0))</f>
        <v/>
      </c>
      <c r="M1691" s="49">
        <f>INDEX(Items!$E$2:$E$117,MATCH(B1691,Items!$A$2:$A$117,0))</f>
        <v/>
      </c>
      <c r="N1691" s="17">
        <f>TEXT(D1691,"yyyy-mm")</f>
        <v/>
      </c>
      <c r="O1691" s="50">
        <f>G1691*J1691</f>
        <v/>
      </c>
      <c r="P1691" s="50">
        <f>(J1691-M1691)*G1691</f>
        <v/>
      </c>
      <c r="Q1691" s="51">
        <f>IF(K1691="Received",1,0)</f>
        <v/>
      </c>
      <c r="R1691" s="51">
        <f>IF(Q1691=1,F1691-D1691,0)</f>
        <v/>
      </c>
      <c r="S1691" s="51">
        <f>IF(Q1691=1,IF(F1691&lt;=E1691,1,0),0)</f>
        <v/>
      </c>
      <c r="T1691" s="51">
        <f>IF(Q1691=1,IF(H1691&gt;=G1691,1,0),0)</f>
        <v/>
      </c>
      <c r="U1691" s="51">
        <f>S1691*T1691</f>
        <v/>
      </c>
      <c r="V1691" s="51">
        <f>IF(Q1691=1,MAX(0,F1691-E1691),0)</f>
        <v/>
      </c>
    </row>
    <row r="1692">
      <c r="A1692" s="43" t="inlineStr">
        <is>
          <t>PO100838</t>
        </is>
      </c>
      <c r="B1692" s="43" t="inlineStr">
        <is>
          <t>CMD-0037</t>
        </is>
      </c>
      <c r="C1692" s="43" t="inlineStr">
        <is>
          <t>S07</t>
        </is>
      </c>
      <c r="D1692" s="47" t="n">
        <v>46187</v>
      </c>
      <c r="E1692" s="47" t="n">
        <v>46229</v>
      </c>
      <c r="F1692" s="47" t="n">
        <v>46237</v>
      </c>
      <c r="G1692" s="46" t="n">
        <v>460</v>
      </c>
      <c r="H1692" s="46" t="n">
        <v>460</v>
      </c>
      <c r="I1692" s="46" t="n">
        <v>5</v>
      </c>
      <c r="J1692" s="44" t="n">
        <v>55.2286</v>
      </c>
      <c r="K1692" s="43" t="inlineStr">
        <is>
          <t>Received</t>
        </is>
      </c>
      <c r="L1692" s="17">
        <f>INDEX(Items!$C$2:$C$117,MATCH(B1692,Items!$A$2:$A$117,0))</f>
        <v/>
      </c>
      <c r="M1692" s="49">
        <f>INDEX(Items!$E$2:$E$117,MATCH(B1692,Items!$A$2:$A$117,0))</f>
        <v/>
      </c>
      <c r="N1692" s="17">
        <f>TEXT(D1692,"yyyy-mm")</f>
        <v/>
      </c>
      <c r="O1692" s="50">
        <f>G1692*J1692</f>
        <v/>
      </c>
      <c r="P1692" s="50">
        <f>(J1692-M1692)*G1692</f>
        <v/>
      </c>
      <c r="Q1692" s="51">
        <f>IF(K1692="Received",1,0)</f>
        <v/>
      </c>
      <c r="R1692" s="51">
        <f>IF(Q1692=1,F1692-D1692,0)</f>
        <v/>
      </c>
      <c r="S1692" s="51">
        <f>IF(Q1692=1,IF(F1692&lt;=E1692,1,0),0)</f>
        <v/>
      </c>
      <c r="T1692" s="51">
        <f>IF(Q1692=1,IF(H1692&gt;=G1692,1,0),0)</f>
        <v/>
      </c>
      <c r="U1692" s="51">
        <f>S1692*T1692</f>
        <v/>
      </c>
      <c r="V1692" s="51">
        <f>IF(Q1692=1,MAX(0,F1692-E1692),0)</f>
        <v/>
      </c>
    </row>
    <row r="1693">
      <c r="A1693" s="43" t="inlineStr">
        <is>
          <t>PO101328</t>
        </is>
      </c>
      <c r="B1693" s="43" t="inlineStr">
        <is>
          <t>CMD-0065</t>
        </is>
      </c>
      <c r="C1693" s="43" t="inlineStr">
        <is>
          <t>S10</t>
        </is>
      </c>
      <c r="D1693" s="47" t="n">
        <v>46188</v>
      </c>
      <c r="E1693" s="47" t="n">
        <v>46216</v>
      </c>
      <c r="F1693" s="47" t="n">
        <v>46216</v>
      </c>
      <c r="G1693" s="46" t="n">
        <v>121157</v>
      </c>
      <c r="H1693" s="46" t="n">
        <v>121157</v>
      </c>
      <c r="I1693" s="46" t="n">
        <v>113</v>
      </c>
      <c r="J1693" s="44" t="n">
        <v>0.119</v>
      </c>
      <c r="K1693" s="43" t="inlineStr">
        <is>
          <t>Received</t>
        </is>
      </c>
      <c r="L1693" s="17">
        <f>INDEX(Items!$C$2:$C$117,MATCH(B1693,Items!$A$2:$A$117,0))</f>
        <v/>
      </c>
      <c r="M1693" s="49">
        <f>INDEX(Items!$E$2:$E$117,MATCH(B1693,Items!$A$2:$A$117,0))</f>
        <v/>
      </c>
      <c r="N1693" s="17">
        <f>TEXT(D1693,"yyyy-mm")</f>
        <v/>
      </c>
      <c r="O1693" s="50">
        <f>G1693*J1693</f>
        <v/>
      </c>
      <c r="P1693" s="50">
        <f>(J1693-M1693)*G1693</f>
        <v/>
      </c>
      <c r="Q1693" s="51">
        <f>IF(K1693="Received",1,0)</f>
        <v/>
      </c>
      <c r="R1693" s="51">
        <f>IF(Q1693=1,F1693-D1693,0)</f>
        <v/>
      </c>
      <c r="S1693" s="51">
        <f>IF(Q1693=1,IF(F1693&lt;=E1693,1,0),0)</f>
        <v/>
      </c>
      <c r="T1693" s="51">
        <f>IF(Q1693=1,IF(H1693&gt;=G1693,1,0),0)</f>
        <v/>
      </c>
      <c r="U1693" s="51">
        <f>S1693*T1693</f>
        <v/>
      </c>
      <c r="V1693" s="51">
        <f>IF(Q1693=1,MAX(0,F1693-E1693),0)</f>
        <v/>
      </c>
    </row>
    <row r="1694">
      <c r="A1694" s="43" t="inlineStr">
        <is>
          <t>PO101734</t>
        </is>
      </c>
      <c r="B1694" s="43" t="inlineStr">
        <is>
          <t>CMD-0094</t>
        </is>
      </c>
      <c r="C1694" s="43" t="inlineStr">
        <is>
          <t>S08</t>
        </is>
      </c>
      <c r="D1694" s="47" t="n">
        <v>46188</v>
      </c>
      <c r="E1694" s="47" t="n">
        <v>46265</v>
      </c>
      <c r="F1694" s="47" t="n">
        <v>46267</v>
      </c>
      <c r="G1694" s="46" t="n">
        <v>399</v>
      </c>
      <c r="H1694" s="46" t="n">
        <v>399</v>
      </c>
      <c r="I1694" s="46" t="n">
        <v>7</v>
      </c>
      <c r="J1694" s="44" t="n">
        <v>76.31270000000001</v>
      </c>
      <c r="K1694" s="43" t="inlineStr">
        <is>
          <t>Received</t>
        </is>
      </c>
      <c r="L1694" s="17">
        <f>INDEX(Items!$C$2:$C$117,MATCH(B1694,Items!$A$2:$A$117,0))</f>
        <v/>
      </c>
      <c r="M1694" s="49">
        <f>INDEX(Items!$E$2:$E$117,MATCH(B1694,Items!$A$2:$A$117,0))</f>
        <v/>
      </c>
      <c r="N1694" s="17">
        <f>TEXT(D1694,"yyyy-mm")</f>
        <v/>
      </c>
      <c r="O1694" s="50">
        <f>G1694*J1694</f>
        <v/>
      </c>
      <c r="P1694" s="50">
        <f>(J1694-M1694)*G1694</f>
        <v/>
      </c>
      <c r="Q1694" s="51">
        <f>IF(K1694="Received",1,0)</f>
        <v/>
      </c>
      <c r="R1694" s="51">
        <f>IF(Q1694=1,F1694-D1694,0)</f>
        <v/>
      </c>
      <c r="S1694" s="51">
        <f>IF(Q1694=1,IF(F1694&lt;=E1694,1,0),0)</f>
        <v/>
      </c>
      <c r="T1694" s="51">
        <f>IF(Q1694=1,IF(H1694&gt;=G1694,1,0),0)</f>
        <v/>
      </c>
      <c r="U1694" s="51">
        <f>S1694*T1694</f>
        <v/>
      </c>
      <c r="V1694" s="51">
        <f>IF(Q1694=1,MAX(0,F1694-E1694),0)</f>
        <v/>
      </c>
    </row>
    <row r="1695">
      <c r="A1695" s="43" t="inlineStr">
        <is>
          <t>PO100612</t>
        </is>
      </c>
      <c r="B1695" s="43" t="inlineStr">
        <is>
          <t>CMD-0027</t>
        </is>
      </c>
      <c r="C1695" s="43" t="inlineStr">
        <is>
          <t>S04</t>
        </is>
      </c>
      <c r="D1695" s="47" t="n">
        <v>46188</v>
      </c>
      <c r="E1695" s="47" t="n">
        <v>46258</v>
      </c>
      <c r="F1695" s="47" t="n">
        <v>46258</v>
      </c>
      <c r="G1695" s="46" t="n">
        <v>7971</v>
      </c>
      <c r="H1695" s="46" t="n">
        <v>7971</v>
      </c>
      <c r="I1695" s="46" t="n">
        <v>83</v>
      </c>
      <c r="J1695" s="44" t="n">
        <v>9.115500000000001</v>
      </c>
      <c r="K1695" s="43" t="inlineStr">
        <is>
          <t>Received</t>
        </is>
      </c>
      <c r="L1695" s="17">
        <f>INDEX(Items!$C$2:$C$117,MATCH(B1695,Items!$A$2:$A$117,0))</f>
        <v/>
      </c>
      <c r="M1695" s="49">
        <f>INDEX(Items!$E$2:$E$117,MATCH(B1695,Items!$A$2:$A$117,0))</f>
        <v/>
      </c>
      <c r="N1695" s="17">
        <f>TEXT(D1695,"yyyy-mm")</f>
        <v/>
      </c>
      <c r="O1695" s="50">
        <f>G1695*J1695</f>
        <v/>
      </c>
      <c r="P1695" s="50">
        <f>(J1695-M1695)*G1695</f>
        <v/>
      </c>
      <c r="Q1695" s="51">
        <f>IF(K1695="Received",1,0)</f>
        <v/>
      </c>
      <c r="R1695" s="51">
        <f>IF(Q1695=1,F1695-D1695,0)</f>
        <v/>
      </c>
      <c r="S1695" s="51">
        <f>IF(Q1695=1,IF(F1695&lt;=E1695,1,0),0)</f>
        <v/>
      </c>
      <c r="T1695" s="51">
        <f>IF(Q1695=1,IF(H1695&gt;=G1695,1,0),0)</f>
        <v/>
      </c>
      <c r="U1695" s="51">
        <f>S1695*T1695</f>
        <v/>
      </c>
      <c r="V1695" s="51">
        <f>IF(Q1695=1,MAX(0,F1695-E1695),0)</f>
        <v/>
      </c>
    </row>
    <row r="1696">
      <c r="A1696" s="43" t="inlineStr">
        <is>
          <t>PO101296</t>
        </is>
      </c>
      <c r="B1696" s="43" t="inlineStr">
        <is>
          <t>CMD-0062</t>
        </is>
      </c>
      <c r="C1696" s="43" t="inlineStr">
        <is>
          <t>S01</t>
        </is>
      </c>
      <c r="D1696" s="47" t="n">
        <v>46188</v>
      </c>
      <c r="E1696" s="47" t="n">
        <v>46209</v>
      </c>
      <c r="F1696" s="47" t="n">
        <v>46206</v>
      </c>
      <c r="G1696" s="46" t="n">
        <v>83024</v>
      </c>
      <c r="H1696" s="46" t="n">
        <v>83024</v>
      </c>
      <c r="I1696" s="46" t="n">
        <v>179</v>
      </c>
      <c r="J1696" s="44" t="n">
        <v>0.1173</v>
      </c>
      <c r="K1696" s="43" t="inlineStr">
        <is>
          <t>Received</t>
        </is>
      </c>
      <c r="L1696" s="17">
        <f>INDEX(Items!$C$2:$C$117,MATCH(B1696,Items!$A$2:$A$117,0))</f>
        <v/>
      </c>
      <c r="M1696" s="49">
        <f>INDEX(Items!$E$2:$E$117,MATCH(B1696,Items!$A$2:$A$117,0))</f>
        <v/>
      </c>
      <c r="N1696" s="17">
        <f>TEXT(D1696,"yyyy-mm")</f>
        <v/>
      </c>
      <c r="O1696" s="50">
        <f>G1696*J1696</f>
        <v/>
      </c>
      <c r="P1696" s="50">
        <f>(J1696-M1696)*G1696</f>
        <v/>
      </c>
      <c r="Q1696" s="51">
        <f>IF(K1696="Received",1,0)</f>
        <v/>
      </c>
      <c r="R1696" s="51">
        <f>IF(Q1696=1,F1696-D1696,0)</f>
        <v/>
      </c>
      <c r="S1696" s="51">
        <f>IF(Q1696=1,IF(F1696&lt;=E1696,1,0),0)</f>
        <v/>
      </c>
      <c r="T1696" s="51">
        <f>IF(Q1696=1,IF(H1696&gt;=G1696,1,0),0)</f>
        <v/>
      </c>
      <c r="U1696" s="51">
        <f>S1696*T1696</f>
        <v/>
      </c>
      <c r="V1696" s="51">
        <f>IF(Q1696=1,MAX(0,F1696-E1696),0)</f>
        <v/>
      </c>
    </row>
    <row r="1697">
      <c r="A1697" s="43" t="inlineStr">
        <is>
          <t>PO100814</t>
        </is>
      </c>
      <c r="B1697" s="43" t="inlineStr">
        <is>
          <t>CMD-0036</t>
        </is>
      </c>
      <c r="C1697" s="43" t="inlineStr">
        <is>
          <t>S04</t>
        </is>
      </c>
      <c r="D1697" s="47" t="n">
        <v>46188</v>
      </c>
      <c r="E1697" s="47" t="n">
        <v>46230</v>
      </c>
      <c r="F1697" s="47" t="n">
        <v>46229</v>
      </c>
      <c r="G1697" s="46" t="n">
        <v>511</v>
      </c>
      <c r="H1697" s="46" t="n">
        <v>511</v>
      </c>
      <c r="I1697" s="46" t="n">
        <v>7</v>
      </c>
      <c r="J1697" s="44" t="n">
        <v>12.7308</v>
      </c>
      <c r="K1697" s="43" t="inlineStr">
        <is>
          <t>Received</t>
        </is>
      </c>
      <c r="L1697" s="17">
        <f>INDEX(Items!$C$2:$C$117,MATCH(B1697,Items!$A$2:$A$117,0))</f>
        <v/>
      </c>
      <c r="M1697" s="49">
        <f>INDEX(Items!$E$2:$E$117,MATCH(B1697,Items!$A$2:$A$117,0))</f>
        <v/>
      </c>
      <c r="N1697" s="17">
        <f>TEXT(D1697,"yyyy-mm")</f>
        <v/>
      </c>
      <c r="O1697" s="50">
        <f>G1697*J1697</f>
        <v/>
      </c>
      <c r="P1697" s="50">
        <f>(J1697-M1697)*G1697</f>
        <v/>
      </c>
      <c r="Q1697" s="51">
        <f>IF(K1697="Received",1,0)</f>
        <v/>
      </c>
      <c r="R1697" s="51">
        <f>IF(Q1697=1,F1697-D1697,0)</f>
        <v/>
      </c>
      <c r="S1697" s="51">
        <f>IF(Q1697=1,IF(F1697&lt;=E1697,1,0),0)</f>
        <v/>
      </c>
      <c r="T1697" s="51">
        <f>IF(Q1697=1,IF(H1697&gt;=G1697,1,0),0)</f>
        <v/>
      </c>
      <c r="U1697" s="51">
        <f>S1697*T1697</f>
        <v/>
      </c>
      <c r="V1697" s="51">
        <f>IF(Q1697=1,MAX(0,F1697-E1697),0)</f>
        <v/>
      </c>
    </row>
    <row r="1698">
      <c r="A1698" s="43" t="inlineStr">
        <is>
          <t>PO100044</t>
        </is>
      </c>
      <c r="B1698" s="43" t="inlineStr">
        <is>
          <t>CMD-0002</t>
        </is>
      </c>
      <c r="C1698" s="43" t="inlineStr">
        <is>
          <t>S11</t>
        </is>
      </c>
      <c r="D1698" s="47" t="n">
        <v>46188</v>
      </c>
      <c r="E1698" s="47" t="n">
        <v>46307</v>
      </c>
      <c r="F1698" s="47" t="n"/>
      <c r="G1698" s="46" t="n">
        <v>7793</v>
      </c>
      <c r="H1698" s="46" t="n">
        <v>0</v>
      </c>
      <c r="I1698" s="46" t="n">
        <v>0</v>
      </c>
      <c r="J1698" s="44" t="n">
        <v>8.083</v>
      </c>
      <c r="K1698" s="43" t="inlineStr">
        <is>
          <t>Open</t>
        </is>
      </c>
      <c r="L1698" s="17">
        <f>INDEX(Items!$C$2:$C$117,MATCH(B1698,Items!$A$2:$A$117,0))</f>
        <v/>
      </c>
      <c r="M1698" s="49">
        <f>INDEX(Items!$E$2:$E$117,MATCH(B1698,Items!$A$2:$A$117,0))</f>
        <v/>
      </c>
      <c r="N1698" s="17">
        <f>TEXT(D1698,"yyyy-mm")</f>
        <v/>
      </c>
      <c r="O1698" s="50">
        <f>G1698*J1698</f>
        <v/>
      </c>
      <c r="P1698" s="50">
        <f>(J1698-M1698)*G1698</f>
        <v/>
      </c>
      <c r="Q1698" s="51">
        <f>IF(K1698="Received",1,0)</f>
        <v/>
      </c>
      <c r="R1698" s="51">
        <f>IF(Q1698=1,F1698-D1698,0)</f>
        <v/>
      </c>
      <c r="S1698" s="51">
        <f>IF(Q1698=1,IF(F1698&lt;=E1698,1,0),0)</f>
        <v/>
      </c>
      <c r="T1698" s="51">
        <f>IF(Q1698=1,IF(H1698&gt;=G1698,1,0),0)</f>
        <v/>
      </c>
      <c r="U1698" s="51">
        <f>S1698*T1698</f>
        <v/>
      </c>
      <c r="V1698" s="51">
        <f>IF(Q1698=1,MAX(0,F1698-E1698),0)</f>
        <v/>
      </c>
    </row>
    <row r="1699">
      <c r="A1699" s="43" t="inlineStr">
        <is>
          <t>PO101072</t>
        </is>
      </c>
      <c r="B1699" s="43" t="inlineStr">
        <is>
          <t>CMD-0048</t>
        </is>
      </c>
      <c r="C1699" s="43" t="inlineStr">
        <is>
          <t>S10</t>
        </is>
      </c>
      <c r="D1699" s="47" t="n">
        <v>46188</v>
      </c>
      <c r="E1699" s="47" t="n">
        <v>46216</v>
      </c>
      <c r="F1699" s="47" t="n">
        <v>46214</v>
      </c>
      <c r="G1699" s="46" t="n">
        <v>19650</v>
      </c>
      <c r="H1699" s="46" t="n">
        <v>19650</v>
      </c>
      <c r="I1699" s="46" t="n">
        <v>24</v>
      </c>
      <c r="J1699" s="44" t="n">
        <v>0.3328</v>
      </c>
      <c r="K1699" s="43" t="inlineStr">
        <is>
          <t>Received</t>
        </is>
      </c>
      <c r="L1699" s="17">
        <f>INDEX(Items!$C$2:$C$117,MATCH(B1699,Items!$A$2:$A$117,0))</f>
        <v/>
      </c>
      <c r="M1699" s="49">
        <f>INDEX(Items!$E$2:$E$117,MATCH(B1699,Items!$A$2:$A$117,0))</f>
        <v/>
      </c>
      <c r="N1699" s="17">
        <f>TEXT(D1699,"yyyy-mm")</f>
        <v/>
      </c>
      <c r="O1699" s="50">
        <f>G1699*J1699</f>
        <v/>
      </c>
      <c r="P1699" s="50">
        <f>(J1699-M1699)*G1699</f>
        <v/>
      </c>
      <c r="Q1699" s="51">
        <f>IF(K1699="Received",1,0)</f>
        <v/>
      </c>
      <c r="R1699" s="51">
        <f>IF(Q1699=1,F1699-D1699,0)</f>
        <v/>
      </c>
      <c r="S1699" s="51">
        <f>IF(Q1699=1,IF(F1699&lt;=E1699,1,0),0)</f>
        <v/>
      </c>
      <c r="T1699" s="51">
        <f>IF(Q1699=1,IF(H1699&gt;=G1699,1,0),0)</f>
        <v/>
      </c>
      <c r="U1699" s="51">
        <f>S1699*T1699</f>
        <v/>
      </c>
      <c r="V1699" s="51">
        <f>IF(Q1699=1,MAX(0,F1699-E1699),0)</f>
        <v/>
      </c>
    </row>
    <row r="1700">
      <c r="A1700" s="43" t="inlineStr">
        <is>
          <t>PO100636</t>
        </is>
      </c>
      <c r="B1700" s="43" t="inlineStr">
        <is>
          <t>CMD-0028</t>
        </is>
      </c>
      <c r="C1700" s="43" t="inlineStr">
        <is>
          <t>S11</t>
        </is>
      </c>
      <c r="D1700" s="47" t="n">
        <v>46188</v>
      </c>
      <c r="E1700" s="47" t="n">
        <v>46265</v>
      </c>
      <c r="F1700" s="47" t="n">
        <v>46262</v>
      </c>
      <c r="G1700" s="46" t="n">
        <v>3227</v>
      </c>
      <c r="H1700" s="46" t="n">
        <v>3227</v>
      </c>
      <c r="I1700" s="46" t="n">
        <v>4</v>
      </c>
      <c r="J1700" s="44" t="n">
        <v>16.3152</v>
      </c>
      <c r="K1700" s="43" t="inlineStr">
        <is>
          <t>Received</t>
        </is>
      </c>
      <c r="L1700" s="17">
        <f>INDEX(Items!$C$2:$C$117,MATCH(B1700,Items!$A$2:$A$117,0))</f>
        <v/>
      </c>
      <c r="M1700" s="49">
        <f>INDEX(Items!$E$2:$E$117,MATCH(B1700,Items!$A$2:$A$117,0))</f>
        <v/>
      </c>
      <c r="N1700" s="17">
        <f>TEXT(D1700,"yyyy-mm")</f>
        <v/>
      </c>
      <c r="O1700" s="50">
        <f>G1700*J1700</f>
        <v/>
      </c>
      <c r="P1700" s="50">
        <f>(J1700-M1700)*G1700</f>
        <v/>
      </c>
      <c r="Q1700" s="51">
        <f>IF(K1700="Received",1,0)</f>
        <v/>
      </c>
      <c r="R1700" s="51">
        <f>IF(Q1700=1,F1700-D1700,0)</f>
        <v/>
      </c>
      <c r="S1700" s="51">
        <f>IF(Q1700=1,IF(F1700&lt;=E1700,1,0),0)</f>
        <v/>
      </c>
      <c r="T1700" s="51">
        <f>IF(Q1700=1,IF(H1700&gt;=G1700,1,0),0)</f>
        <v/>
      </c>
      <c r="U1700" s="51">
        <f>S1700*T1700</f>
        <v/>
      </c>
      <c r="V1700" s="51">
        <f>IF(Q1700=1,MAX(0,F1700-E1700),0)</f>
        <v/>
      </c>
    </row>
    <row r="1701">
      <c r="A1701" s="43" t="inlineStr">
        <is>
          <t>PO101758</t>
        </is>
      </c>
      <c r="B1701" s="43" t="inlineStr">
        <is>
          <t>CMD-0095</t>
        </is>
      </c>
      <c r="C1701" s="43" t="inlineStr">
        <is>
          <t>S08</t>
        </is>
      </c>
      <c r="D1701" s="47" t="n">
        <v>46188</v>
      </c>
      <c r="E1701" s="47" t="n">
        <v>46265</v>
      </c>
      <c r="F1701" s="47" t="n">
        <v>46262</v>
      </c>
      <c r="G1701" s="46" t="n">
        <v>322</v>
      </c>
      <c r="H1701" s="46" t="n">
        <v>322</v>
      </c>
      <c r="I1701" s="46" t="n">
        <v>1</v>
      </c>
      <c r="J1701" s="44" t="n">
        <v>94.5849</v>
      </c>
      <c r="K1701" s="43" t="inlineStr">
        <is>
          <t>Received</t>
        </is>
      </c>
      <c r="L1701" s="17">
        <f>INDEX(Items!$C$2:$C$117,MATCH(B1701,Items!$A$2:$A$117,0))</f>
        <v/>
      </c>
      <c r="M1701" s="49">
        <f>INDEX(Items!$E$2:$E$117,MATCH(B1701,Items!$A$2:$A$117,0))</f>
        <v/>
      </c>
      <c r="N1701" s="17">
        <f>TEXT(D1701,"yyyy-mm")</f>
        <v/>
      </c>
      <c r="O1701" s="50">
        <f>G1701*J1701</f>
        <v/>
      </c>
      <c r="P1701" s="50">
        <f>(J1701-M1701)*G1701</f>
        <v/>
      </c>
      <c r="Q1701" s="51">
        <f>IF(K1701="Received",1,0)</f>
        <v/>
      </c>
      <c r="R1701" s="51">
        <f>IF(Q1701=1,F1701-D1701,0)</f>
        <v/>
      </c>
      <c r="S1701" s="51">
        <f>IF(Q1701=1,IF(F1701&lt;=E1701,1,0),0)</f>
        <v/>
      </c>
      <c r="T1701" s="51">
        <f>IF(Q1701=1,IF(H1701&gt;=G1701,1,0),0)</f>
        <v/>
      </c>
      <c r="U1701" s="51">
        <f>S1701*T1701</f>
        <v/>
      </c>
      <c r="V1701" s="51">
        <f>IF(Q1701=1,MAX(0,F1701-E1701),0)</f>
        <v/>
      </c>
    </row>
    <row r="1702">
      <c r="A1702" s="43" t="inlineStr">
        <is>
          <t>PO100684</t>
        </is>
      </c>
      <c r="B1702" s="43" t="inlineStr">
        <is>
          <t>CMD-0030</t>
        </is>
      </c>
      <c r="C1702" s="43" t="inlineStr">
        <is>
          <t>S11</t>
        </is>
      </c>
      <c r="D1702" s="47" t="n">
        <v>46189</v>
      </c>
      <c r="E1702" s="47" t="n">
        <v>46266</v>
      </c>
      <c r="F1702" s="47" t="n">
        <v>46263</v>
      </c>
      <c r="G1702" s="46" t="n">
        <v>8141</v>
      </c>
      <c r="H1702" s="46" t="n">
        <v>8141</v>
      </c>
      <c r="I1702" s="46" t="n">
        <v>13</v>
      </c>
      <c r="J1702" s="44" t="n">
        <v>23.8857</v>
      </c>
      <c r="K1702" s="43" t="inlineStr">
        <is>
          <t>Received</t>
        </is>
      </c>
      <c r="L1702" s="17">
        <f>INDEX(Items!$C$2:$C$117,MATCH(B1702,Items!$A$2:$A$117,0))</f>
        <v/>
      </c>
      <c r="M1702" s="49">
        <f>INDEX(Items!$E$2:$E$117,MATCH(B1702,Items!$A$2:$A$117,0))</f>
        <v/>
      </c>
      <c r="N1702" s="17">
        <f>TEXT(D1702,"yyyy-mm")</f>
        <v/>
      </c>
      <c r="O1702" s="50">
        <f>G1702*J1702</f>
        <v/>
      </c>
      <c r="P1702" s="50">
        <f>(J1702-M1702)*G1702</f>
        <v/>
      </c>
      <c r="Q1702" s="51">
        <f>IF(K1702="Received",1,0)</f>
        <v/>
      </c>
      <c r="R1702" s="51">
        <f>IF(Q1702=1,F1702-D1702,0)</f>
        <v/>
      </c>
      <c r="S1702" s="51">
        <f>IF(Q1702=1,IF(F1702&lt;=E1702,1,0),0)</f>
        <v/>
      </c>
      <c r="T1702" s="51">
        <f>IF(Q1702=1,IF(H1702&gt;=G1702,1,0),0)</f>
        <v/>
      </c>
      <c r="U1702" s="51">
        <f>S1702*T1702</f>
        <v/>
      </c>
      <c r="V1702" s="51">
        <f>IF(Q1702=1,MAX(0,F1702-E1702),0)</f>
        <v/>
      </c>
    </row>
    <row r="1703">
      <c r="A1703" s="43" t="inlineStr">
        <is>
          <t>PO100020</t>
        </is>
      </c>
      <c r="B1703" s="43" t="inlineStr">
        <is>
          <t>CMD-0001</t>
        </is>
      </c>
      <c r="C1703" s="43" t="inlineStr">
        <is>
          <t>S07</t>
        </is>
      </c>
      <c r="D1703" s="47" t="n">
        <v>46189</v>
      </c>
      <c r="E1703" s="47" t="n">
        <v>46280</v>
      </c>
      <c r="F1703" s="47" t="n">
        <v>46278</v>
      </c>
      <c r="G1703" s="46" t="n">
        <v>7104</v>
      </c>
      <c r="H1703" s="46" t="n">
        <v>7104</v>
      </c>
      <c r="I1703" s="46" t="n">
        <v>58</v>
      </c>
      <c r="J1703" s="44" t="n">
        <v>16.8268</v>
      </c>
      <c r="K1703" s="43" t="inlineStr">
        <is>
          <t>Received</t>
        </is>
      </c>
      <c r="L1703" s="17">
        <f>INDEX(Items!$C$2:$C$117,MATCH(B1703,Items!$A$2:$A$117,0))</f>
        <v/>
      </c>
      <c r="M1703" s="49">
        <f>INDEX(Items!$E$2:$E$117,MATCH(B1703,Items!$A$2:$A$117,0))</f>
        <v/>
      </c>
      <c r="N1703" s="17">
        <f>TEXT(D1703,"yyyy-mm")</f>
        <v/>
      </c>
      <c r="O1703" s="50">
        <f>G1703*J1703</f>
        <v/>
      </c>
      <c r="P1703" s="50">
        <f>(J1703-M1703)*G1703</f>
        <v/>
      </c>
      <c r="Q1703" s="51">
        <f>IF(K1703="Received",1,0)</f>
        <v/>
      </c>
      <c r="R1703" s="51">
        <f>IF(Q1703=1,F1703-D1703,0)</f>
        <v/>
      </c>
      <c r="S1703" s="51">
        <f>IF(Q1703=1,IF(F1703&lt;=E1703,1,0),0)</f>
        <v/>
      </c>
      <c r="T1703" s="51">
        <f>IF(Q1703=1,IF(H1703&gt;=G1703,1,0),0)</f>
        <v/>
      </c>
      <c r="U1703" s="51">
        <f>S1703*T1703</f>
        <v/>
      </c>
      <c r="V1703" s="51">
        <f>IF(Q1703=1,MAX(0,F1703-E1703),0)</f>
        <v/>
      </c>
    </row>
    <row r="1704">
      <c r="A1704" s="43" t="inlineStr">
        <is>
          <t>PO101524</t>
        </is>
      </c>
      <c r="B1704" s="43" t="inlineStr">
        <is>
          <t>CMD-0080</t>
        </is>
      </c>
      <c r="C1704" s="43" t="inlineStr">
        <is>
          <t>S06</t>
        </is>
      </c>
      <c r="D1704" s="47" t="n">
        <v>46189</v>
      </c>
      <c r="E1704" s="47" t="n">
        <v>46210</v>
      </c>
      <c r="F1704" s="47" t="n">
        <v>46207</v>
      </c>
      <c r="G1704" s="46" t="n">
        <v>4900</v>
      </c>
      <c r="H1704" s="46" t="n">
        <v>4900</v>
      </c>
      <c r="I1704" s="46" t="n">
        <v>27</v>
      </c>
      <c r="J1704" s="44" t="n">
        <v>5.6959</v>
      </c>
      <c r="K1704" s="43" t="inlineStr">
        <is>
          <t>Received</t>
        </is>
      </c>
      <c r="L1704" s="17">
        <f>INDEX(Items!$C$2:$C$117,MATCH(B1704,Items!$A$2:$A$117,0))</f>
        <v/>
      </c>
      <c r="M1704" s="49">
        <f>INDEX(Items!$E$2:$E$117,MATCH(B1704,Items!$A$2:$A$117,0))</f>
        <v/>
      </c>
      <c r="N1704" s="17">
        <f>TEXT(D1704,"yyyy-mm")</f>
        <v/>
      </c>
      <c r="O1704" s="50">
        <f>G1704*J1704</f>
        <v/>
      </c>
      <c r="P1704" s="50">
        <f>(J1704-M1704)*G1704</f>
        <v/>
      </c>
      <c r="Q1704" s="51">
        <f>IF(K1704="Received",1,0)</f>
        <v/>
      </c>
      <c r="R1704" s="51">
        <f>IF(Q1704=1,F1704-D1704,0)</f>
        <v/>
      </c>
      <c r="S1704" s="51">
        <f>IF(Q1704=1,IF(F1704&lt;=E1704,1,0),0)</f>
        <v/>
      </c>
      <c r="T1704" s="51">
        <f>IF(Q1704=1,IF(H1704&gt;=G1704,1,0),0)</f>
        <v/>
      </c>
      <c r="U1704" s="51">
        <f>S1704*T1704</f>
        <v/>
      </c>
      <c r="V1704" s="51">
        <f>IF(Q1704=1,MAX(0,F1704-E1704),0)</f>
        <v/>
      </c>
    </row>
    <row r="1705">
      <c r="A1705" s="43" t="inlineStr">
        <is>
          <t>PO101686</t>
        </is>
      </c>
      <c r="B1705" s="43" t="inlineStr">
        <is>
          <t>CMD-0092</t>
        </is>
      </c>
      <c r="C1705" s="43" t="inlineStr">
        <is>
          <t>S08</t>
        </is>
      </c>
      <c r="D1705" s="47" t="n">
        <v>46189</v>
      </c>
      <c r="E1705" s="47" t="n">
        <v>46266</v>
      </c>
      <c r="F1705" s="47" t="n">
        <v>46265</v>
      </c>
      <c r="G1705" s="46" t="n">
        <v>323</v>
      </c>
      <c r="H1705" s="46" t="n">
        <v>323</v>
      </c>
      <c r="I1705" s="46" t="n">
        <v>2</v>
      </c>
      <c r="J1705" s="44" t="n">
        <v>30.3541</v>
      </c>
      <c r="K1705" s="43" t="inlineStr">
        <is>
          <t>Received</t>
        </is>
      </c>
      <c r="L1705" s="17">
        <f>INDEX(Items!$C$2:$C$117,MATCH(B1705,Items!$A$2:$A$117,0))</f>
        <v/>
      </c>
      <c r="M1705" s="49">
        <f>INDEX(Items!$E$2:$E$117,MATCH(B1705,Items!$A$2:$A$117,0))</f>
        <v/>
      </c>
      <c r="N1705" s="17">
        <f>TEXT(D1705,"yyyy-mm")</f>
        <v/>
      </c>
      <c r="O1705" s="50">
        <f>G1705*J1705</f>
        <v/>
      </c>
      <c r="P1705" s="50">
        <f>(J1705-M1705)*G1705</f>
        <v/>
      </c>
      <c r="Q1705" s="51">
        <f>IF(K1705="Received",1,0)</f>
        <v/>
      </c>
      <c r="R1705" s="51">
        <f>IF(Q1705=1,F1705-D1705,0)</f>
        <v/>
      </c>
      <c r="S1705" s="51">
        <f>IF(Q1705=1,IF(F1705&lt;=E1705,1,0),0)</f>
        <v/>
      </c>
      <c r="T1705" s="51">
        <f>IF(Q1705=1,IF(H1705&gt;=G1705,1,0),0)</f>
        <v/>
      </c>
      <c r="U1705" s="51">
        <f>S1705*T1705</f>
        <v/>
      </c>
      <c r="V1705" s="51">
        <f>IF(Q1705=1,MAX(0,F1705-E1705),0)</f>
        <v/>
      </c>
    </row>
    <row r="1706">
      <c r="A1706" s="43" t="inlineStr">
        <is>
          <t>PO101178</t>
        </is>
      </c>
      <c r="B1706" s="43" t="inlineStr">
        <is>
          <t>CMD-0054</t>
        </is>
      </c>
      <c r="C1706" s="43" t="inlineStr">
        <is>
          <t>S10</t>
        </is>
      </c>
      <c r="D1706" s="47" t="n">
        <v>46189</v>
      </c>
      <c r="E1706" s="47" t="n">
        <v>46217</v>
      </c>
      <c r="F1706" s="47" t="n">
        <v>46216</v>
      </c>
      <c r="G1706" s="46" t="n">
        <v>57291</v>
      </c>
      <c r="H1706" s="46" t="n">
        <v>57291</v>
      </c>
      <c r="I1706" s="46" t="n">
        <v>67</v>
      </c>
      <c r="J1706" s="44" t="n">
        <v>0.1738</v>
      </c>
      <c r="K1706" s="43" t="inlineStr">
        <is>
          <t>Received</t>
        </is>
      </c>
      <c r="L1706" s="17">
        <f>INDEX(Items!$C$2:$C$117,MATCH(B1706,Items!$A$2:$A$117,0))</f>
        <v/>
      </c>
      <c r="M1706" s="49">
        <f>INDEX(Items!$E$2:$E$117,MATCH(B1706,Items!$A$2:$A$117,0))</f>
        <v/>
      </c>
      <c r="N1706" s="17">
        <f>TEXT(D1706,"yyyy-mm")</f>
        <v/>
      </c>
      <c r="O1706" s="50">
        <f>G1706*J1706</f>
        <v/>
      </c>
      <c r="P1706" s="50">
        <f>(J1706-M1706)*G1706</f>
        <v/>
      </c>
      <c r="Q1706" s="51">
        <f>IF(K1706="Received",1,0)</f>
        <v/>
      </c>
      <c r="R1706" s="51">
        <f>IF(Q1706=1,F1706-D1706,0)</f>
        <v/>
      </c>
      <c r="S1706" s="51">
        <f>IF(Q1706=1,IF(F1706&lt;=E1706,1,0),0)</f>
        <v/>
      </c>
      <c r="T1706" s="51">
        <f>IF(Q1706=1,IF(H1706&gt;=G1706,1,0),0)</f>
        <v/>
      </c>
      <c r="U1706" s="51">
        <f>S1706*T1706</f>
        <v/>
      </c>
      <c r="V1706" s="51">
        <f>IF(Q1706=1,MAX(0,F1706-E1706),0)</f>
        <v/>
      </c>
    </row>
    <row r="1707">
      <c r="A1707" s="43" t="inlineStr">
        <is>
          <t>PO100660</t>
        </is>
      </c>
      <c r="B1707" s="43" t="inlineStr">
        <is>
          <t>CMD-0029</t>
        </is>
      </c>
      <c r="C1707" s="43" t="inlineStr">
        <is>
          <t>S11</t>
        </is>
      </c>
      <c r="D1707" s="47" t="n">
        <v>46190</v>
      </c>
      <c r="E1707" s="47" t="n">
        <v>46267</v>
      </c>
      <c r="F1707" s="47" t="n">
        <v>46265</v>
      </c>
      <c r="G1707" s="46" t="n">
        <v>3645</v>
      </c>
      <c r="H1707" s="46" t="n">
        <v>3645</v>
      </c>
      <c r="I1707" s="46" t="n">
        <v>6</v>
      </c>
      <c r="J1707" s="44" t="n">
        <v>7.0761</v>
      </c>
      <c r="K1707" s="43" t="inlineStr">
        <is>
          <t>Received</t>
        </is>
      </c>
      <c r="L1707" s="17">
        <f>INDEX(Items!$C$2:$C$117,MATCH(B1707,Items!$A$2:$A$117,0))</f>
        <v/>
      </c>
      <c r="M1707" s="49">
        <f>INDEX(Items!$E$2:$E$117,MATCH(B1707,Items!$A$2:$A$117,0))</f>
        <v/>
      </c>
      <c r="N1707" s="17">
        <f>TEXT(D1707,"yyyy-mm")</f>
        <v/>
      </c>
      <c r="O1707" s="50">
        <f>G1707*J1707</f>
        <v/>
      </c>
      <c r="P1707" s="50">
        <f>(J1707-M1707)*G1707</f>
        <v/>
      </c>
      <c r="Q1707" s="51">
        <f>IF(K1707="Received",1,0)</f>
        <v/>
      </c>
      <c r="R1707" s="51">
        <f>IF(Q1707=1,F1707-D1707,0)</f>
        <v/>
      </c>
      <c r="S1707" s="51">
        <f>IF(Q1707=1,IF(F1707&lt;=E1707,1,0),0)</f>
        <v/>
      </c>
      <c r="T1707" s="51">
        <f>IF(Q1707=1,IF(H1707&gt;=G1707,1,0),0)</f>
        <v/>
      </c>
      <c r="U1707" s="51">
        <f>S1707*T1707</f>
        <v/>
      </c>
      <c r="V1707" s="51">
        <f>IF(Q1707=1,MAX(0,F1707-E1707),0)</f>
        <v/>
      </c>
    </row>
    <row r="1708">
      <c r="A1708" s="43" t="inlineStr">
        <is>
          <t>PO101905</t>
        </is>
      </c>
      <c r="B1708" s="43" t="inlineStr">
        <is>
          <t>CMD-0103</t>
        </is>
      </c>
      <c r="C1708" s="43" t="inlineStr">
        <is>
          <t>S09</t>
        </is>
      </c>
      <c r="D1708" s="47" t="n">
        <v>46190</v>
      </c>
      <c r="E1708" s="47" t="n">
        <v>46211</v>
      </c>
      <c r="F1708" s="47" t="n">
        <v>46211</v>
      </c>
      <c r="G1708" s="46" t="n">
        <v>1298</v>
      </c>
      <c r="H1708" s="46" t="n">
        <v>1298</v>
      </c>
      <c r="I1708" s="46" t="n">
        <v>7</v>
      </c>
      <c r="J1708" s="44" t="n">
        <v>4.3054</v>
      </c>
      <c r="K1708" s="43" t="inlineStr">
        <is>
          <t>Received</t>
        </is>
      </c>
      <c r="L1708" s="17">
        <f>INDEX(Items!$C$2:$C$117,MATCH(B1708,Items!$A$2:$A$117,0))</f>
        <v/>
      </c>
      <c r="M1708" s="49">
        <f>INDEX(Items!$E$2:$E$117,MATCH(B1708,Items!$A$2:$A$117,0))</f>
        <v/>
      </c>
      <c r="N1708" s="17">
        <f>TEXT(D1708,"yyyy-mm")</f>
        <v/>
      </c>
      <c r="O1708" s="50">
        <f>G1708*J1708</f>
        <v/>
      </c>
      <c r="P1708" s="50">
        <f>(J1708-M1708)*G1708</f>
        <v/>
      </c>
      <c r="Q1708" s="51">
        <f>IF(K1708="Received",1,0)</f>
        <v/>
      </c>
      <c r="R1708" s="51">
        <f>IF(Q1708=1,F1708-D1708,0)</f>
        <v/>
      </c>
      <c r="S1708" s="51">
        <f>IF(Q1708=1,IF(F1708&lt;=E1708,1,0),0)</f>
        <v/>
      </c>
      <c r="T1708" s="51">
        <f>IF(Q1708=1,IF(H1708&gt;=G1708,1,0),0)</f>
        <v/>
      </c>
      <c r="U1708" s="51">
        <f>S1708*T1708</f>
        <v/>
      </c>
      <c r="V1708" s="51">
        <f>IF(Q1708=1,MAX(0,F1708-E1708),0)</f>
        <v/>
      </c>
    </row>
    <row r="1709">
      <c r="A1709" s="43" t="inlineStr">
        <is>
          <t>PO101476</t>
        </is>
      </c>
      <c r="B1709" s="43" t="inlineStr">
        <is>
          <t>CMD-0078</t>
        </is>
      </c>
      <c r="C1709" s="43" t="inlineStr">
        <is>
          <t>S06</t>
        </is>
      </c>
      <c r="D1709" s="47" t="n">
        <v>46190</v>
      </c>
      <c r="E1709" s="47" t="n">
        <v>46211</v>
      </c>
      <c r="F1709" s="47" t="n">
        <v>46210</v>
      </c>
      <c r="G1709" s="46" t="n">
        <v>5047</v>
      </c>
      <c r="H1709" s="46" t="n">
        <v>5047</v>
      </c>
      <c r="I1709" s="46" t="n">
        <v>28</v>
      </c>
      <c r="J1709" s="44" t="n">
        <v>2.678</v>
      </c>
      <c r="K1709" s="43" t="inlineStr">
        <is>
          <t>Received</t>
        </is>
      </c>
      <c r="L1709" s="17">
        <f>INDEX(Items!$C$2:$C$117,MATCH(B1709,Items!$A$2:$A$117,0))</f>
        <v/>
      </c>
      <c r="M1709" s="49">
        <f>INDEX(Items!$E$2:$E$117,MATCH(B1709,Items!$A$2:$A$117,0))</f>
        <v/>
      </c>
      <c r="N1709" s="17">
        <f>TEXT(D1709,"yyyy-mm")</f>
        <v/>
      </c>
      <c r="O1709" s="50">
        <f>G1709*J1709</f>
        <v/>
      </c>
      <c r="P1709" s="50">
        <f>(J1709-M1709)*G1709</f>
        <v/>
      </c>
      <c r="Q1709" s="51">
        <f>IF(K1709="Received",1,0)</f>
        <v/>
      </c>
      <c r="R1709" s="51">
        <f>IF(Q1709=1,F1709-D1709,0)</f>
        <v/>
      </c>
      <c r="S1709" s="51">
        <f>IF(Q1709=1,IF(F1709&lt;=E1709,1,0),0)</f>
        <v/>
      </c>
      <c r="T1709" s="51">
        <f>IF(Q1709=1,IF(H1709&gt;=G1709,1,0),0)</f>
        <v/>
      </c>
      <c r="U1709" s="51">
        <f>S1709*T1709</f>
        <v/>
      </c>
      <c r="V1709" s="51">
        <f>IF(Q1709=1,MAX(0,F1709-E1709),0)</f>
        <v/>
      </c>
    </row>
    <row r="1710">
      <c r="A1710" s="43" t="inlineStr">
        <is>
          <t>PO100790</t>
        </is>
      </c>
      <c r="B1710" s="43" t="inlineStr">
        <is>
          <t>CMD-0035</t>
        </is>
      </c>
      <c r="C1710" s="43" t="inlineStr">
        <is>
          <t>S01</t>
        </is>
      </c>
      <c r="D1710" s="47" t="n">
        <v>46190</v>
      </c>
      <c r="E1710" s="47" t="n">
        <v>46218</v>
      </c>
      <c r="F1710" s="47" t="n">
        <v>46215</v>
      </c>
      <c r="G1710" s="46" t="n">
        <v>609</v>
      </c>
      <c r="H1710" s="46" t="n">
        <v>609</v>
      </c>
      <c r="I1710" s="46" t="n">
        <v>0</v>
      </c>
      <c r="J1710" s="44" t="n">
        <v>9.6511</v>
      </c>
      <c r="K1710" s="43" t="inlineStr">
        <is>
          <t>Received</t>
        </is>
      </c>
      <c r="L1710" s="17">
        <f>INDEX(Items!$C$2:$C$117,MATCH(B1710,Items!$A$2:$A$117,0))</f>
        <v/>
      </c>
      <c r="M1710" s="49">
        <f>INDEX(Items!$E$2:$E$117,MATCH(B1710,Items!$A$2:$A$117,0))</f>
        <v/>
      </c>
      <c r="N1710" s="17">
        <f>TEXT(D1710,"yyyy-mm")</f>
        <v/>
      </c>
      <c r="O1710" s="50">
        <f>G1710*J1710</f>
        <v/>
      </c>
      <c r="P1710" s="50">
        <f>(J1710-M1710)*G1710</f>
        <v/>
      </c>
      <c r="Q1710" s="51">
        <f>IF(K1710="Received",1,0)</f>
        <v/>
      </c>
      <c r="R1710" s="51">
        <f>IF(Q1710=1,F1710-D1710,0)</f>
        <v/>
      </c>
      <c r="S1710" s="51">
        <f>IF(Q1710=1,IF(F1710&lt;=E1710,1,0),0)</f>
        <v/>
      </c>
      <c r="T1710" s="51">
        <f>IF(Q1710=1,IF(H1710&gt;=G1710,1,0),0)</f>
        <v/>
      </c>
      <c r="U1710" s="51">
        <f>S1710*T1710</f>
        <v/>
      </c>
      <c r="V1710" s="51">
        <f>IF(Q1710=1,MAX(0,F1710-E1710),0)</f>
        <v/>
      </c>
    </row>
    <row r="1711">
      <c r="A1711" s="43" t="inlineStr">
        <is>
          <t>PO101500</t>
        </is>
      </c>
      <c r="B1711" s="43" t="inlineStr">
        <is>
          <t>CMD-0079</t>
        </is>
      </c>
      <c r="C1711" s="43" t="inlineStr">
        <is>
          <t>S06</t>
        </is>
      </c>
      <c r="D1711" s="47" t="n">
        <v>46190</v>
      </c>
      <c r="E1711" s="47" t="n">
        <v>46211</v>
      </c>
      <c r="F1711" s="47" t="n">
        <v>46209</v>
      </c>
      <c r="G1711" s="46" t="n">
        <v>2189</v>
      </c>
      <c r="H1711" s="46" t="n">
        <v>2189</v>
      </c>
      <c r="I1711" s="46" t="n">
        <v>13</v>
      </c>
      <c r="J1711" s="44" t="n">
        <v>3.6359</v>
      </c>
      <c r="K1711" s="43" t="inlineStr">
        <is>
          <t>Received</t>
        </is>
      </c>
      <c r="L1711" s="17">
        <f>INDEX(Items!$C$2:$C$117,MATCH(B1711,Items!$A$2:$A$117,0))</f>
        <v/>
      </c>
      <c r="M1711" s="49">
        <f>INDEX(Items!$E$2:$E$117,MATCH(B1711,Items!$A$2:$A$117,0))</f>
        <v/>
      </c>
      <c r="N1711" s="17">
        <f>TEXT(D1711,"yyyy-mm")</f>
        <v/>
      </c>
      <c r="O1711" s="50">
        <f>G1711*J1711</f>
        <v/>
      </c>
      <c r="P1711" s="50">
        <f>(J1711-M1711)*G1711</f>
        <v/>
      </c>
      <c r="Q1711" s="51">
        <f>IF(K1711="Received",1,0)</f>
        <v/>
      </c>
      <c r="R1711" s="51">
        <f>IF(Q1711=1,F1711-D1711,0)</f>
        <v/>
      </c>
      <c r="S1711" s="51">
        <f>IF(Q1711=1,IF(F1711&lt;=E1711,1,0),0)</f>
        <v/>
      </c>
      <c r="T1711" s="51">
        <f>IF(Q1711=1,IF(H1711&gt;=G1711,1,0),0)</f>
        <v/>
      </c>
      <c r="U1711" s="51">
        <f>S1711*T1711</f>
        <v/>
      </c>
      <c r="V1711" s="51">
        <f>IF(Q1711=1,MAX(0,F1711-E1711),0)</f>
        <v/>
      </c>
    </row>
    <row r="1712">
      <c r="A1712" s="43" t="inlineStr">
        <is>
          <t>PO100862</t>
        </is>
      </c>
      <c r="B1712" s="43" t="inlineStr">
        <is>
          <t>CMD-0038</t>
        </is>
      </c>
      <c r="C1712" s="43" t="inlineStr">
        <is>
          <t>S01</t>
        </is>
      </c>
      <c r="D1712" s="47" t="n">
        <v>46190</v>
      </c>
      <c r="E1712" s="47" t="n">
        <v>46218</v>
      </c>
      <c r="F1712" s="47" t="n">
        <v>46216</v>
      </c>
      <c r="G1712" s="46" t="n">
        <v>780</v>
      </c>
      <c r="H1712" s="46" t="n">
        <v>780</v>
      </c>
      <c r="I1712" s="46" t="n">
        <v>1</v>
      </c>
      <c r="J1712" s="44" t="n">
        <v>22.1347</v>
      </c>
      <c r="K1712" s="43" t="inlineStr">
        <is>
          <t>Received</t>
        </is>
      </c>
      <c r="L1712" s="17">
        <f>INDEX(Items!$C$2:$C$117,MATCH(B1712,Items!$A$2:$A$117,0))</f>
        <v/>
      </c>
      <c r="M1712" s="49">
        <f>INDEX(Items!$E$2:$E$117,MATCH(B1712,Items!$A$2:$A$117,0))</f>
        <v/>
      </c>
      <c r="N1712" s="17">
        <f>TEXT(D1712,"yyyy-mm")</f>
        <v/>
      </c>
      <c r="O1712" s="50">
        <f>G1712*J1712</f>
        <v/>
      </c>
      <c r="P1712" s="50">
        <f>(J1712-M1712)*G1712</f>
        <v/>
      </c>
      <c r="Q1712" s="51">
        <f>IF(K1712="Received",1,0)</f>
        <v/>
      </c>
      <c r="R1712" s="51">
        <f>IF(Q1712=1,F1712-D1712,0)</f>
        <v/>
      </c>
      <c r="S1712" s="51">
        <f>IF(Q1712=1,IF(F1712&lt;=E1712,1,0),0)</f>
        <v/>
      </c>
      <c r="T1712" s="51">
        <f>IF(Q1712=1,IF(H1712&gt;=G1712,1,0),0)</f>
        <v/>
      </c>
      <c r="U1712" s="51">
        <f>S1712*T1712</f>
        <v/>
      </c>
      <c r="V1712" s="51">
        <f>IF(Q1712=1,MAX(0,F1712-E1712),0)</f>
        <v/>
      </c>
    </row>
    <row r="1713">
      <c r="A1713" s="43" t="inlineStr">
        <is>
          <t>PO100450</t>
        </is>
      </c>
      <c r="B1713" s="43" t="inlineStr">
        <is>
          <t>CMD-0020</t>
        </is>
      </c>
      <c r="C1713" s="43" t="inlineStr">
        <is>
          <t>S04</t>
        </is>
      </c>
      <c r="D1713" s="47" t="n">
        <v>46190</v>
      </c>
      <c r="E1713" s="47" t="n">
        <v>46260</v>
      </c>
      <c r="F1713" s="47" t="n">
        <v>46258</v>
      </c>
      <c r="G1713" s="46" t="n">
        <v>3295</v>
      </c>
      <c r="H1713" s="46" t="n">
        <v>3295</v>
      </c>
      <c r="I1713" s="46" t="n">
        <v>35</v>
      </c>
      <c r="J1713" s="44" t="n">
        <v>5.1809</v>
      </c>
      <c r="K1713" s="43" t="inlineStr">
        <is>
          <t>Received</t>
        </is>
      </c>
      <c r="L1713" s="17">
        <f>INDEX(Items!$C$2:$C$117,MATCH(B1713,Items!$A$2:$A$117,0))</f>
        <v/>
      </c>
      <c r="M1713" s="49">
        <f>INDEX(Items!$E$2:$E$117,MATCH(B1713,Items!$A$2:$A$117,0))</f>
        <v/>
      </c>
      <c r="N1713" s="17">
        <f>TEXT(D1713,"yyyy-mm")</f>
        <v/>
      </c>
      <c r="O1713" s="50">
        <f>G1713*J1713</f>
        <v/>
      </c>
      <c r="P1713" s="50">
        <f>(J1713-M1713)*G1713</f>
        <v/>
      </c>
      <c r="Q1713" s="51">
        <f>IF(K1713="Received",1,0)</f>
        <v/>
      </c>
      <c r="R1713" s="51">
        <f>IF(Q1713=1,F1713-D1713,0)</f>
        <v/>
      </c>
      <c r="S1713" s="51">
        <f>IF(Q1713=1,IF(F1713&lt;=E1713,1,0),0)</f>
        <v/>
      </c>
      <c r="T1713" s="51">
        <f>IF(Q1713=1,IF(H1713&gt;=G1713,1,0),0)</f>
        <v/>
      </c>
      <c r="U1713" s="51">
        <f>S1713*T1713</f>
        <v/>
      </c>
      <c r="V1713" s="51">
        <f>IF(Q1713=1,MAX(0,F1713-E1713),0)</f>
        <v/>
      </c>
    </row>
    <row r="1714">
      <c r="A1714" s="43" t="inlineStr">
        <is>
          <t>PO100930</t>
        </is>
      </c>
      <c r="B1714" s="43" t="inlineStr">
        <is>
          <t>CMD-0042</t>
        </is>
      </c>
      <c r="C1714" s="43" t="inlineStr">
        <is>
          <t>S05</t>
        </is>
      </c>
      <c r="D1714" s="47" t="n">
        <v>46190</v>
      </c>
      <c r="E1714" s="47" t="n">
        <v>46295</v>
      </c>
      <c r="F1714" s="47" t="n">
        <v>46292</v>
      </c>
      <c r="G1714" s="46" t="n">
        <v>685</v>
      </c>
      <c r="H1714" s="46" t="n">
        <v>685</v>
      </c>
      <c r="I1714" s="46" t="n">
        <v>10</v>
      </c>
      <c r="J1714" s="44" t="n">
        <v>9.177300000000001</v>
      </c>
      <c r="K1714" s="43" t="inlineStr">
        <is>
          <t>Received</t>
        </is>
      </c>
      <c r="L1714" s="17">
        <f>INDEX(Items!$C$2:$C$117,MATCH(B1714,Items!$A$2:$A$117,0))</f>
        <v/>
      </c>
      <c r="M1714" s="49">
        <f>INDEX(Items!$E$2:$E$117,MATCH(B1714,Items!$A$2:$A$117,0))</f>
        <v/>
      </c>
      <c r="N1714" s="17">
        <f>TEXT(D1714,"yyyy-mm")</f>
        <v/>
      </c>
      <c r="O1714" s="50">
        <f>G1714*J1714</f>
        <v/>
      </c>
      <c r="P1714" s="50">
        <f>(J1714-M1714)*G1714</f>
        <v/>
      </c>
      <c r="Q1714" s="51">
        <f>IF(K1714="Received",1,0)</f>
        <v/>
      </c>
      <c r="R1714" s="51">
        <f>IF(Q1714=1,F1714-D1714,0)</f>
        <v/>
      </c>
      <c r="S1714" s="51">
        <f>IF(Q1714=1,IF(F1714&lt;=E1714,1,0),0)</f>
        <v/>
      </c>
      <c r="T1714" s="51">
        <f>IF(Q1714=1,IF(H1714&gt;=G1714,1,0),0)</f>
        <v/>
      </c>
      <c r="U1714" s="51">
        <f>S1714*T1714</f>
        <v/>
      </c>
      <c r="V1714" s="51">
        <f>IF(Q1714=1,MAX(0,F1714-E1714),0)</f>
        <v/>
      </c>
    </row>
    <row r="1715">
      <c r="A1715" s="43" t="inlineStr">
        <is>
          <t>PO100492</t>
        </is>
      </c>
      <c r="B1715" s="43" t="inlineStr">
        <is>
          <t>CMD-0022</t>
        </is>
      </c>
      <c r="C1715" s="43" t="inlineStr">
        <is>
          <t>S02</t>
        </is>
      </c>
      <c r="D1715" s="47" t="n">
        <v>46191</v>
      </c>
      <c r="E1715" s="47" t="n">
        <v>46247</v>
      </c>
      <c r="F1715" s="47" t="n">
        <v>46245</v>
      </c>
      <c r="G1715" s="46" t="n">
        <v>4309</v>
      </c>
      <c r="H1715" s="46" t="n">
        <v>3145</v>
      </c>
      <c r="I1715" s="46" t="n">
        <v>16</v>
      </c>
      <c r="J1715" s="44" t="n">
        <v>17.6954</v>
      </c>
      <c r="K1715" s="43" t="inlineStr">
        <is>
          <t>Received</t>
        </is>
      </c>
      <c r="L1715" s="17">
        <f>INDEX(Items!$C$2:$C$117,MATCH(B1715,Items!$A$2:$A$117,0))</f>
        <v/>
      </c>
      <c r="M1715" s="49">
        <f>INDEX(Items!$E$2:$E$117,MATCH(B1715,Items!$A$2:$A$117,0))</f>
        <v/>
      </c>
      <c r="N1715" s="17">
        <f>TEXT(D1715,"yyyy-mm")</f>
        <v/>
      </c>
      <c r="O1715" s="50">
        <f>G1715*J1715</f>
        <v/>
      </c>
      <c r="P1715" s="50">
        <f>(J1715-M1715)*G1715</f>
        <v/>
      </c>
      <c r="Q1715" s="51">
        <f>IF(K1715="Received",1,0)</f>
        <v/>
      </c>
      <c r="R1715" s="51">
        <f>IF(Q1715=1,F1715-D1715,0)</f>
        <v/>
      </c>
      <c r="S1715" s="51">
        <f>IF(Q1715=1,IF(F1715&lt;=E1715,1,0),0)</f>
        <v/>
      </c>
      <c r="T1715" s="51">
        <f>IF(Q1715=1,IF(H1715&gt;=G1715,1,0),0)</f>
        <v/>
      </c>
      <c r="U1715" s="51">
        <f>S1715*T1715</f>
        <v/>
      </c>
      <c r="V1715" s="51">
        <f>IF(Q1715=1,MAX(0,F1715-E1715),0)</f>
        <v/>
      </c>
    </row>
    <row r="1716">
      <c r="A1716" s="43" t="inlineStr">
        <is>
          <t>PO100516</t>
        </is>
      </c>
      <c r="B1716" s="43" t="inlineStr">
        <is>
          <t>CMD-0023</t>
        </is>
      </c>
      <c r="C1716" s="43" t="inlineStr">
        <is>
          <t>S04</t>
        </is>
      </c>
      <c r="D1716" s="47" t="n">
        <v>46191</v>
      </c>
      <c r="E1716" s="47" t="n">
        <v>46261</v>
      </c>
      <c r="F1716" s="47" t="n">
        <v>46258</v>
      </c>
      <c r="G1716" s="46" t="n">
        <v>5086</v>
      </c>
      <c r="H1716" s="46" t="n">
        <v>5086</v>
      </c>
      <c r="I1716" s="46" t="n">
        <v>40</v>
      </c>
      <c r="J1716" s="44" t="n">
        <v>9.064</v>
      </c>
      <c r="K1716" s="43" t="inlineStr">
        <is>
          <t>Received</t>
        </is>
      </c>
      <c r="L1716" s="17">
        <f>INDEX(Items!$C$2:$C$117,MATCH(B1716,Items!$A$2:$A$117,0))</f>
        <v/>
      </c>
      <c r="M1716" s="49">
        <f>INDEX(Items!$E$2:$E$117,MATCH(B1716,Items!$A$2:$A$117,0))</f>
        <v/>
      </c>
      <c r="N1716" s="17">
        <f>TEXT(D1716,"yyyy-mm")</f>
        <v/>
      </c>
      <c r="O1716" s="50">
        <f>G1716*J1716</f>
        <v/>
      </c>
      <c r="P1716" s="50">
        <f>(J1716-M1716)*G1716</f>
        <v/>
      </c>
      <c r="Q1716" s="51">
        <f>IF(K1716="Received",1,0)</f>
        <v/>
      </c>
      <c r="R1716" s="51">
        <f>IF(Q1716=1,F1716-D1716,0)</f>
        <v/>
      </c>
      <c r="S1716" s="51">
        <f>IF(Q1716=1,IF(F1716&lt;=E1716,1,0),0)</f>
        <v/>
      </c>
      <c r="T1716" s="51">
        <f>IF(Q1716=1,IF(H1716&gt;=G1716,1,0),0)</f>
        <v/>
      </c>
      <c r="U1716" s="51">
        <f>S1716*T1716</f>
        <v/>
      </c>
      <c r="V1716" s="51">
        <f>IF(Q1716=1,MAX(0,F1716-E1716),0)</f>
        <v/>
      </c>
    </row>
    <row r="1717">
      <c r="A1717" s="43" t="inlineStr">
        <is>
          <t>PO100140</t>
        </is>
      </c>
      <c r="B1717" s="43" t="inlineStr">
        <is>
          <t>CMD-0006</t>
        </is>
      </c>
      <c r="C1717" s="43" t="inlineStr">
        <is>
          <t>S03</t>
        </is>
      </c>
      <c r="D1717" s="47" t="n">
        <v>46191</v>
      </c>
      <c r="E1717" s="47" t="n">
        <v>46324</v>
      </c>
      <c r="F1717" s="47" t="n"/>
      <c r="G1717" s="46" t="n">
        <v>745</v>
      </c>
      <c r="H1717" s="46" t="n">
        <v>0</v>
      </c>
      <c r="I1717" s="46" t="n">
        <v>0</v>
      </c>
      <c r="J1717" s="44" t="n">
        <v>36.049</v>
      </c>
      <c r="K1717" s="43" t="inlineStr">
        <is>
          <t>Open</t>
        </is>
      </c>
      <c r="L1717" s="17">
        <f>INDEX(Items!$C$2:$C$117,MATCH(B1717,Items!$A$2:$A$117,0))</f>
        <v/>
      </c>
      <c r="M1717" s="49">
        <f>INDEX(Items!$E$2:$E$117,MATCH(B1717,Items!$A$2:$A$117,0))</f>
        <v/>
      </c>
      <c r="N1717" s="17">
        <f>TEXT(D1717,"yyyy-mm")</f>
        <v/>
      </c>
      <c r="O1717" s="50">
        <f>G1717*J1717</f>
        <v/>
      </c>
      <c r="P1717" s="50">
        <f>(J1717-M1717)*G1717</f>
        <v/>
      </c>
      <c r="Q1717" s="51">
        <f>IF(K1717="Received",1,0)</f>
        <v/>
      </c>
      <c r="R1717" s="51">
        <f>IF(Q1717=1,F1717-D1717,0)</f>
        <v/>
      </c>
      <c r="S1717" s="51">
        <f>IF(Q1717=1,IF(F1717&lt;=E1717,1,0),0)</f>
        <v/>
      </c>
      <c r="T1717" s="51">
        <f>IF(Q1717=1,IF(H1717&gt;=G1717,1,0),0)</f>
        <v/>
      </c>
      <c r="U1717" s="51">
        <f>S1717*T1717</f>
        <v/>
      </c>
      <c r="V1717" s="51">
        <f>IF(Q1717=1,MAX(0,F1717-E1717),0)</f>
        <v/>
      </c>
    </row>
    <row r="1718">
      <c r="A1718" s="43" t="inlineStr">
        <is>
          <t>PO101584</t>
        </is>
      </c>
      <c r="B1718" s="43" t="inlineStr">
        <is>
          <t>CMD-0085</t>
        </is>
      </c>
      <c r="C1718" s="43" t="inlineStr">
        <is>
          <t>S06</t>
        </is>
      </c>
      <c r="D1718" s="47" t="n">
        <v>46191</v>
      </c>
      <c r="E1718" s="47" t="n">
        <v>46212</v>
      </c>
      <c r="F1718" s="47" t="n">
        <v>46209</v>
      </c>
      <c r="G1718" s="46" t="n">
        <v>899</v>
      </c>
      <c r="H1718" s="46" t="n">
        <v>899</v>
      </c>
      <c r="I1718" s="46" t="n">
        <v>6</v>
      </c>
      <c r="J1718" s="44" t="n">
        <v>10.8768</v>
      </c>
      <c r="K1718" s="43" t="inlineStr">
        <is>
          <t>Received</t>
        </is>
      </c>
      <c r="L1718" s="17">
        <f>INDEX(Items!$C$2:$C$117,MATCH(B1718,Items!$A$2:$A$117,0))</f>
        <v/>
      </c>
      <c r="M1718" s="49">
        <f>INDEX(Items!$E$2:$E$117,MATCH(B1718,Items!$A$2:$A$117,0))</f>
        <v/>
      </c>
      <c r="N1718" s="17">
        <f>TEXT(D1718,"yyyy-mm")</f>
        <v/>
      </c>
      <c r="O1718" s="50">
        <f>G1718*J1718</f>
        <v/>
      </c>
      <c r="P1718" s="50">
        <f>(J1718-M1718)*G1718</f>
        <v/>
      </c>
      <c r="Q1718" s="51">
        <f>IF(K1718="Received",1,0)</f>
        <v/>
      </c>
      <c r="R1718" s="51">
        <f>IF(Q1718=1,F1718-D1718,0)</f>
        <v/>
      </c>
      <c r="S1718" s="51">
        <f>IF(Q1718=1,IF(F1718&lt;=E1718,1,0),0)</f>
        <v/>
      </c>
      <c r="T1718" s="51">
        <f>IF(Q1718=1,IF(H1718&gt;=G1718,1,0),0)</f>
        <v/>
      </c>
      <c r="U1718" s="51">
        <f>S1718*T1718</f>
        <v/>
      </c>
      <c r="V1718" s="51">
        <f>IF(Q1718=1,MAX(0,F1718-E1718),0)</f>
        <v/>
      </c>
    </row>
    <row r="1719">
      <c r="A1719" s="43" t="inlineStr">
        <is>
          <t>PO101980</t>
        </is>
      </c>
      <c r="B1719" s="43" t="inlineStr">
        <is>
          <t>CMD-0109</t>
        </is>
      </c>
      <c r="C1719" s="43" t="inlineStr">
        <is>
          <t>S12</t>
        </is>
      </c>
      <c r="D1719" s="47" t="n">
        <v>46191</v>
      </c>
      <c r="E1719" s="47" t="n">
        <v>46198</v>
      </c>
      <c r="F1719" s="47" t="n">
        <v>46203</v>
      </c>
      <c r="G1719" s="46" t="n">
        <v>6781</v>
      </c>
      <c r="H1719" s="46" t="n">
        <v>6781</v>
      </c>
      <c r="I1719" s="46" t="n">
        <v>6</v>
      </c>
      <c r="J1719" s="44" t="n">
        <v>1.751</v>
      </c>
      <c r="K1719" s="43" t="inlineStr">
        <is>
          <t>Received</t>
        </is>
      </c>
      <c r="L1719" s="17">
        <f>INDEX(Items!$C$2:$C$117,MATCH(B1719,Items!$A$2:$A$117,0))</f>
        <v/>
      </c>
      <c r="M1719" s="49">
        <f>INDEX(Items!$E$2:$E$117,MATCH(B1719,Items!$A$2:$A$117,0))</f>
        <v/>
      </c>
      <c r="N1719" s="17">
        <f>TEXT(D1719,"yyyy-mm")</f>
        <v/>
      </c>
      <c r="O1719" s="50">
        <f>G1719*J1719</f>
        <v/>
      </c>
      <c r="P1719" s="50">
        <f>(J1719-M1719)*G1719</f>
        <v/>
      </c>
      <c r="Q1719" s="51">
        <f>IF(K1719="Received",1,0)</f>
        <v/>
      </c>
      <c r="R1719" s="51">
        <f>IF(Q1719=1,F1719-D1719,0)</f>
        <v/>
      </c>
      <c r="S1719" s="51">
        <f>IF(Q1719=1,IF(F1719&lt;=E1719,1,0),0)</f>
        <v/>
      </c>
      <c r="T1719" s="51">
        <f>IF(Q1719=1,IF(H1719&gt;=G1719,1,0),0)</f>
        <v/>
      </c>
      <c r="U1719" s="51">
        <f>S1719*T1719</f>
        <v/>
      </c>
      <c r="V1719" s="51">
        <f>IF(Q1719=1,MAX(0,F1719-E1719),0)</f>
        <v/>
      </c>
    </row>
    <row r="1720">
      <c r="A1720" s="43" t="inlineStr">
        <is>
          <t>PO100384</t>
        </is>
      </c>
      <c r="B1720" s="43" t="inlineStr">
        <is>
          <t>CMD-0017</t>
        </is>
      </c>
      <c r="C1720" s="43" t="inlineStr">
        <is>
          <t>S11</t>
        </is>
      </c>
      <c r="D1720" s="47" t="n">
        <v>46191</v>
      </c>
      <c r="E1720" s="47" t="n">
        <v>46268</v>
      </c>
      <c r="F1720" s="47" t="n">
        <v>46267</v>
      </c>
      <c r="G1720" s="46" t="n">
        <v>6071</v>
      </c>
      <c r="H1720" s="46" t="n">
        <v>6071</v>
      </c>
      <c r="I1720" s="46" t="n">
        <v>8</v>
      </c>
      <c r="J1720" s="44" t="n">
        <v>13.0707</v>
      </c>
      <c r="K1720" s="43" t="inlineStr">
        <is>
          <t>Received</t>
        </is>
      </c>
      <c r="L1720" s="17">
        <f>INDEX(Items!$C$2:$C$117,MATCH(B1720,Items!$A$2:$A$117,0))</f>
        <v/>
      </c>
      <c r="M1720" s="49">
        <f>INDEX(Items!$E$2:$E$117,MATCH(B1720,Items!$A$2:$A$117,0))</f>
        <v/>
      </c>
      <c r="N1720" s="17">
        <f>TEXT(D1720,"yyyy-mm")</f>
        <v/>
      </c>
      <c r="O1720" s="50">
        <f>G1720*J1720</f>
        <v/>
      </c>
      <c r="P1720" s="50">
        <f>(J1720-M1720)*G1720</f>
        <v/>
      </c>
      <c r="Q1720" s="51">
        <f>IF(K1720="Received",1,0)</f>
        <v/>
      </c>
      <c r="R1720" s="51">
        <f>IF(Q1720=1,F1720-D1720,0)</f>
        <v/>
      </c>
      <c r="S1720" s="51">
        <f>IF(Q1720=1,IF(F1720&lt;=E1720,1,0),0)</f>
        <v/>
      </c>
      <c r="T1720" s="51">
        <f>IF(Q1720=1,IF(H1720&gt;=G1720,1,0),0)</f>
        <v/>
      </c>
      <c r="U1720" s="51">
        <f>S1720*T1720</f>
        <v/>
      </c>
      <c r="V1720" s="51">
        <f>IF(Q1720=1,MAX(0,F1720-E1720),0)</f>
        <v/>
      </c>
    </row>
    <row r="1721">
      <c r="A1721" s="43" t="inlineStr">
        <is>
          <t>PO100742</t>
        </is>
      </c>
      <c r="B1721" s="43" t="inlineStr">
        <is>
          <t>CMD-0033</t>
        </is>
      </c>
      <c r="C1721" s="43" t="inlineStr">
        <is>
          <t>S07</t>
        </is>
      </c>
      <c r="D1721" s="47" t="n">
        <v>46191</v>
      </c>
      <c r="E1721" s="47" t="n">
        <v>46233</v>
      </c>
      <c r="F1721" s="47" t="n">
        <v>46231</v>
      </c>
      <c r="G1721" s="46" t="n">
        <v>4444</v>
      </c>
      <c r="H1721" s="46" t="n">
        <v>4444</v>
      </c>
      <c r="I1721" s="46" t="n">
        <v>36</v>
      </c>
      <c r="J1721" s="44" t="n">
        <v>60.1108</v>
      </c>
      <c r="K1721" s="43" t="inlineStr">
        <is>
          <t>Received</t>
        </is>
      </c>
      <c r="L1721" s="17">
        <f>INDEX(Items!$C$2:$C$117,MATCH(B1721,Items!$A$2:$A$117,0))</f>
        <v/>
      </c>
      <c r="M1721" s="49">
        <f>INDEX(Items!$E$2:$E$117,MATCH(B1721,Items!$A$2:$A$117,0))</f>
        <v/>
      </c>
      <c r="N1721" s="17">
        <f>TEXT(D1721,"yyyy-mm")</f>
        <v/>
      </c>
      <c r="O1721" s="50">
        <f>G1721*J1721</f>
        <v/>
      </c>
      <c r="P1721" s="50">
        <f>(J1721-M1721)*G1721</f>
        <v/>
      </c>
      <c r="Q1721" s="51">
        <f>IF(K1721="Received",1,0)</f>
        <v/>
      </c>
      <c r="R1721" s="51">
        <f>IF(Q1721=1,F1721-D1721,0)</f>
        <v/>
      </c>
      <c r="S1721" s="51">
        <f>IF(Q1721=1,IF(F1721&lt;=E1721,1,0),0)</f>
        <v/>
      </c>
      <c r="T1721" s="51">
        <f>IF(Q1721=1,IF(H1721&gt;=G1721,1,0),0)</f>
        <v/>
      </c>
      <c r="U1721" s="51">
        <f>S1721*T1721</f>
        <v/>
      </c>
      <c r="V1721" s="51">
        <f>IF(Q1721=1,MAX(0,F1721-E1721),0)</f>
        <v/>
      </c>
    </row>
    <row r="1722">
      <c r="A1722" s="43" t="inlineStr">
        <is>
          <t>PO100212</t>
        </is>
      </c>
      <c r="B1722" s="43" t="inlineStr">
        <is>
          <t>CMD-0009</t>
        </is>
      </c>
      <c r="C1722" s="43" t="inlineStr">
        <is>
          <t>S11</t>
        </is>
      </c>
      <c r="D1722" s="47" t="n">
        <v>46191</v>
      </c>
      <c r="E1722" s="47" t="n">
        <v>46310</v>
      </c>
      <c r="F1722" s="47" t="n"/>
      <c r="G1722" s="46" t="n">
        <v>7168</v>
      </c>
      <c r="H1722" s="46" t="n">
        <v>0</v>
      </c>
      <c r="I1722" s="46" t="n">
        <v>0</v>
      </c>
      <c r="J1722" s="44" t="n">
        <v>7.4222</v>
      </c>
      <c r="K1722" s="43" t="inlineStr">
        <is>
          <t>Open</t>
        </is>
      </c>
      <c r="L1722" s="17">
        <f>INDEX(Items!$C$2:$C$117,MATCH(B1722,Items!$A$2:$A$117,0))</f>
        <v/>
      </c>
      <c r="M1722" s="49">
        <f>INDEX(Items!$E$2:$E$117,MATCH(B1722,Items!$A$2:$A$117,0))</f>
        <v/>
      </c>
      <c r="N1722" s="17">
        <f>TEXT(D1722,"yyyy-mm")</f>
        <v/>
      </c>
      <c r="O1722" s="50">
        <f>G1722*J1722</f>
        <v/>
      </c>
      <c r="P1722" s="50">
        <f>(J1722-M1722)*G1722</f>
        <v/>
      </c>
      <c r="Q1722" s="51">
        <f>IF(K1722="Received",1,0)</f>
        <v/>
      </c>
      <c r="R1722" s="51">
        <f>IF(Q1722=1,F1722-D1722,0)</f>
        <v/>
      </c>
      <c r="S1722" s="51">
        <f>IF(Q1722=1,IF(F1722&lt;=E1722,1,0),0)</f>
        <v/>
      </c>
      <c r="T1722" s="51">
        <f>IF(Q1722=1,IF(H1722&gt;=G1722,1,0),0)</f>
        <v/>
      </c>
      <c r="U1722" s="51">
        <f>S1722*T1722</f>
        <v/>
      </c>
      <c r="V1722" s="51">
        <f>IF(Q1722=1,MAX(0,F1722-E1722),0)</f>
        <v/>
      </c>
    </row>
    <row r="1723">
      <c r="A1723" s="43" t="inlineStr">
        <is>
          <t>PO101638</t>
        </is>
      </c>
      <c r="B1723" s="43" t="inlineStr">
        <is>
          <t>CMD-0090</t>
        </is>
      </c>
      <c r="C1723" s="43" t="inlineStr">
        <is>
          <t>S01</t>
        </is>
      </c>
      <c r="D1723" s="47" t="n">
        <v>46191</v>
      </c>
      <c r="E1723" s="47" t="n">
        <v>46205</v>
      </c>
      <c r="F1723" s="47" t="n">
        <v>46203</v>
      </c>
      <c r="G1723" s="46" t="n">
        <v>4010</v>
      </c>
      <c r="H1723" s="46" t="n">
        <v>4010</v>
      </c>
      <c r="I1723" s="46" t="n">
        <v>11</v>
      </c>
      <c r="J1723" s="44" t="n">
        <v>7.1997</v>
      </c>
      <c r="K1723" s="43" t="inlineStr">
        <is>
          <t>Received</t>
        </is>
      </c>
      <c r="L1723" s="17">
        <f>INDEX(Items!$C$2:$C$117,MATCH(B1723,Items!$A$2:$A$117,0))</f>
        <v/>
      </c>
      <c r="M1723" s="49">
        <f>INDEX(Items!$E$2:$E$117,MATCH(B1723,Items!$A$2:$A$117,0))</f>
        <v/>
      </c>
      <c r="N1723" s="17">
        <f>TEXT(D1723,"yyyy-mm")</f>
        <v/>
      </c>
      <c r="O1723" s="50">
        <f>G1723*J1723</f>
        <v/>
      </c>
      <c r="P1723" s="50">
        <f>(J1723-M1723)*G1723</f>
        <v/>
      </c>
      <c r="Q1723" s="51">
        <f>IF(K1723="Received",1,0)</f>
        <v/>
      </c>
      <c r="R1723" s="51">
        <f>IF(Q1723=1,F1723-D1723,0)</f>
        <v/>
      </c>
      <c r="S1723" s="51">
        <f>IF(Q1723=1,IF(F1723&lt;=E1723,1,0),0)</f>
        <v/>
      </c>
      <c r="T1723" s="51">
        <f>IF(Q1723=1,IF(H1723&gt;=G1723,1,0),0)</f>
        <v/>
      </c>
      <c r="U1723" s="51">
        <f>S1723*T1723</f>
        <v/>
      </c>
      <c r="V1723" s="51">
        <f>IF(Q1723=1,MAX(0,F1723-E1723),0)</f>
        <v/>
      </c>
    </row>
    <row r="1724">
      <c r="A1724" s="43" t="inlineStr">
        <is>
          <t>PO100886</t>
        </is>
      </c>
      <c r="B1724" s="43" t="inlineStr">
        <is>
          <t>CMD-0039</t>
        </is>
      </c>
      <c r="C1724" s="43" t="inlineStr">
        <is>
          <t>S07</t>
        </is>
      </c>
      <c r="D1724" s="47" t="n">
        <v>46192</v>
      </c>
      <c r="E1724" s="47" t="n">
        <v>46234</v>
      </c>
      <c r="F1724" s="47" t="n">
        <v>46232</v>
      </c>
      <c r="G1724" s="46" t="n">
        <v>411</v>
      </c>
      <c r="H1724" s="46" t="n">
        <v>411</v>
      </c>
      <c r="I1724" s="46" t="n">
        <v>2</v>
      </c>
      <c r="J1724" s="44" t="n">
        <v>53.5497</v>
      </c>
      <c r="K1724" s="43" t="inlineStr">
        <is>
          <t>Received</t>
        </is>
      </c>
      <c r="L1724" s="17">
        <f>INDEX(Items!$C$2:$C$117,MATCH(B1724,Items!$A$2:$A$117,0))</f>
        <v/>
      </c>
      <c r="M1724" s="49">
        <f>INDEX(Items!$E$2:$E$117,MATCH(B1724,Items!$A$2:$A$117,0))</f>
        <v/>
      </c>
      <c r="N1724" s="17">
        <f>TEXT(D1724,"yyyy-mm")</f>
        <v/>
      </c>
      <c r="O1724" s="50">
        <f>G1724*J1724</f>
        <v/>
      </c>
      <c r="P1724" s="50">
        <f>(J1724-M1724)*G1724</f>
        <v/>
      </c>
      <c r="Q1724" s="51">
        <f>IF(K1724="Received",1,0)</f>
        <v/>
      </c>
      <c r="R1724" s="51">
        <f>IF(Q1724=1,F1724-D1724,0)</f>
        <v/>
      </c>
      <c r="S1724" s="51">
        <f>IF(Q1724=1,IF(F1724&lt;=E1724,1,0),0)</f>
        <v/>
      </c>
      <c r="T1724" s="51">
        <f>IF(Q1724=1,IF(H1724&gt;=G1724,1,0),0)</f>
        <v/>
      </c>
      <c r="U1724" s="51">
        <f>S1724*T1724</f>
        <v/>
      </c>
      <c r="V1724" s="51">
        <f>IF(Q1724=1,MAX(0,F1724-E1724),0)</f>
        <v/>
      </c>
    </row>
    <row r="1725">
      <c r="A1725" s="43" t="inlineStr">
        <is>
          <t>PO100954</t>
        </is>
      </c>
      <c r="B1725" s="43" t="inlineStr">
        <is>
          <t>CMD-0043</t>
        </is>
      </c>
      <c r="C1725" s="43" t="inlineStr">
        <is>
          <t>S05</t>
        </is>
      </c>
      <c r="D1725" s="47" t="n">
        <v>46192</v>
      </c>
      <c r="E1725" s="47" t="n">
        <v>46297</v>
      </c>
      <c r="F1725" s="47" t="n"/>
      <c r="G1725" s="46" t="n">
        <v>6259</v>
      </c>
      <c r="H1725" s="46" t="n">
        <v>0</v>
      </c>
      <c r="I1725" s="46" t="n">
        <v>0</v>
      </c>
      <c r="J1725" s="44" t="n">
        <v>3.8007</v>
      </c>
      <c r="K1725" s="43" t="inlineStr">
        <is>
          <t>Open</t>
        </is>
      </c>
      <c r="L1725" s="17">
        <f>INDEX(Items!$C$2:$C$117,MATCH(B1725,Items!$A$2:$A$117,0))</f>
        <v/>
      </c>
      <c r="M1725" s="49">
        <f>INDEX(Items!$E$2:$E$117,MATCH(B1725,Items!$A$2:$A$117,0))</f>
        <v/>
      </c>
      <c r="N1725" s="17">
        <f>TEXT(D1725,"yyyy-mm")</f>
        <v/>
      </c>
      <c r="O1725" s="50">
        <f>G1725*J1725</f>
        <v/>
      </c>
      <c r="P1725" s="50">
        <f>(J1725-M1725)*G1725</f>
        <v/>
      </c>
      <c r="Q1725" s="51">
        <f>IF(K1725="Received",1,0)</f>
        <v/>
      </c>
      <c r="R1725" s="51">
        <f>IF(Q1725=1,F1725-D1725,0)</f>
        <v/>
      </c>
      <c r="S1725" s="51">
        <f>IF(Q1725=1,IF(F1725&lt;=E1725,1,0),0)</f>
        <v/>
      </c>
      <c r="T1725" s="51">
        <f>IF(Q1725=1,IF(H1725&gt;=G1725,1,0),0)</f>
        <v/>
      </c>
      <c r="U1725" s="51">
        <f>S1725*T1725</f>
        <v/>
      </c>
      <c r="V1725" s="51">
        <f>IF(Q1725=1,MAX(0,F1725-E1725),0)</f>
        <v/>
      </c>
    </row>
    <row r="1726">
      <c r="A1726" s="43" t="inlineStr">
        <is>
          <t>PO101002</t>
        </is>
      </c>
      <c r="B1726" s="43" t="inlineStr">
        <is>
          <t>CMD-0045</t>
        </is>
      </c>
      <c r="C1726" s="43" t="inlineStr">
        <is>
          <t>S05</t>
        </is>
      </c>
      <c r="D1726" s="47" t="n">
        <v>46192</v>
      </c>
      <c r="E1726" s="47" t="n">
        <v>46297</v>
      </c>
      <c r="F1726" s="47" t="n"/>
      <c r="G1726" s="46" t="n">
        <v>3821</v>
      </c>
      <c r="H1726" s="46" t="n">
        <v>0</v>
      </c>
      <c r="I1726" s="46" t="n">
        <v>0</v>
      </c>
      <c r="J1726" s="44" t="n">
        <v>9.2597</v>
      </c>
      <c r="K1726" s="43" t="inlineStr">
        <is>
          <t>Open</t>
        </is>
      </c>
      <c r="L1726" s="17">
        <f>INDEX(Items!$C$2:$C$117,MATCH(B1726,Items!$A$2:$A$117,0))</f>
        <v/>
      </c>
      <c r="M1726" s="49">
        <f>INDEX(Items!$E$2:$E$117,MATCH(B1726,Items!$A$2:$A$117,0))</f>
        <v/>
      </c>
      <c r="N1726" s="17">
        <f>TEXT(D1726,"yyyy-mm")</f>
        <v/>
      </c>
      <c r="O1726" s="50">
        <f>G1726*J1726</f>
        <v/>
      </c>
      <c r="P1726" s="50">
        <f>(J1726-M1726)*G1726</f>
        <v/>
      </c>
      <c r="Q1726" s="51">
        <f>IF(K1726="Received",1,0)</f>
        <v/>
      </c>
      <c r="R1726" s="51">
        <f>IF(Q1726=1,F1726-D1726,0)</f>
        <v/>
      </c>
      <c r="S1726" s="51">
        <f>IF(Q1726=1,IF(F1726&lt;=E1726,1,0),0)</f>
        <v/>
      </c>
      <c r="T1726" s="51">
        <f>IF(Q1726=1,IF(H1726&gt;=G1726,1,0),0)</f>
        <v/>
      </c>
      <c r="U1726" s="51">
        <f>S1726*T1726</f>
        <v/>
      </c>
      <c r="V1726" s="51">
        <f>IF(Q1726=1,MAX(0,F1726-E1726),0)</f>
        <v/>
      </c>
    </row>
    <row r="1727">
      <c r="A1727" s="43" t="inlineStr">
        <is>
          <t>PO101840</t>
        </is>
      </c>
      <c r="B1727" s="43" t="inlineStr">
        <is>
          <t>CMD-0100</t>
        </is>
      </c>
      <c r="C1727" s="43" t="inlineStr">
        <is>
          <t>S09</t>
        </is>
      </c>
      <c r="D1727" s="47" t="n">
        <v>46192</v>
      </c>
      <c r="E1727" s="47" t="n">
        <v>46213</v>
      </c>
      <c r="F1727" s="47" t="n">
        <v>46233</v>
      </c>
      <c r="G1727" s="46" t="n">
        <v>6896</v>
      </c>
      <c r="H1727" s="46" t="n">
        <v>6896</v>
      </c>
      <c r="I1727" s="46" t="n">
        <v>14</v>
      </c>
      <c r="J1727" s="44" t="n">
        <v>5.0882</v>
      </c>
      <c r="K1727" s="43" t="inlineStr">
        <is>
          <t>Received</t>
        </is>
      </c>
      <c r="L1727" s="17">
        <f>INDEX(Items!$C$2:$C$117,MATCH(B1727,Items!$A$2:$A$117,0))</f>
        <v/>
      </c>
      <c r="M1727" s="49">
        <f>INDEX(Items!$E$2:$E$117,MATCH(B1727,Items!$A$2:$A$117,0))</f>
        <v/>
      </c>
      <c r="N1727" s="17">
        <f>TEXT(D1727,"yyyy-mm")</f>
        <v/>
      </c>
      <c r="O1727" s="50">
        <f>G1727*J1727</f>
        <v/>
      </c>
      <c r="P1727" s="50">
        <f>(J1727-M1727)*G1727</f>
        <v/>
      </c>
      <c r="Q1727" s="51">
        <f>IF(K1727="Received",1,0)</f>
        <v/>
      </c>
      <c r="R1727" s="51">
        <f>IF(Q1727=1,F1727-D1727,0)</f>
        <v/>
      </c>
      <c r="S1727" s="51">
        <f>IF(Q1727=1,IF(F1727&lt;=E1727,1,0),0)</f>
        <v/>
      </c>
      <c r="T1727" s="51">
        <f>IF(Q1727=1,IF(H1727&gt;=G1727,1,0),0)</f>
        <v/>
      </c>
      <c r="U1727" s="51">
        <f>S1727*T1727</f>
        <v/>
      </c>
      <c r="V1727" s="51">
        <f>IF(Q1727=1,MAX(0,F1727-E1727),0)</f>
        <v/>
      </c>
    </row>
    <row r="1728">
      <c r="A1728" s="43" t="inlineStr">
        <is>
          <t>PO100236</t>
        </is>
      </c>
      <c r="B1728" s="43" t="inlineStr">
        <is>
          <t>CMD-0010</t>
        </is>
      </c>
      <c r="C1728" s="43" t="inlineStr">
        <is>
          <t>S03</t>
        </is>
      </c>
      <c r="D1728" s="47" t="n">
        <v>46192</v>
      </c>
      <c r="E1728" s="47" t="n">
        <v>46325</v>
      </c>
      <c r="F1728" s="47" t="n"/>
      <c r="G1728" s="46" t="n">
        <v>4964</v>
      </c>
      <c r="H1728" s="46" t="n">
        <v>0</v>
      </c>
      <c r="I1728" s="46" t="n">
        <v>0</v>
      </c>
      <c r="J1728" s="44" t="n">
        <v>5.4634</v>
      </c>
      <c r="K1728" s="43" t="inlineStr">
        <is>
          <t>Open</t>
        </is>
      </c>
      <c r="L1728" s="17">
        <f>INDEX(Items!$C$2:$C$117,MATCH(B1728,Items!$A$2:$A$117,0))</f>
        <v/>
      </c>
      <c r="M1728" s="49">
        <f>INDEX(Items!$E$2:$E$117,MATCH(B1728,Items!$A$2:$A$117,0))</f>
        <v/>
      </c>
      <c r="N1728" s="17">
        <f>TEXT(D1728,"yyyy-mm")</f>
        <v/>
      </c>
      <c r="O1728" s="50">
        <f>G1728*J1728</f>
        <v/>
      </c>
      <c r="P1728" s="50">
        <f>(J1728-M1728)*G1728</f>
        <v/>
      </c>
      <c r="Q1728" s="51">
        <f>IF(K1728="Received",1,0)</f>
        <v/>
      </c>
      <c r="R1728" s="51">
        <f>IF(Q1728=1,F1728-D1728,0)</f>
        <v/>
      </c>
      <c r="S1728" s="51">
        <f>IF(Q1728=1,IF(F1728&lt;=E1728,1,0),0)</f>
        <v/>
      </c>
      <c r="T1728" s="51">
        <f>IF(Q1728=1,IF(H1728&gt;=G1728,1,0),0)</f>
        <v/>
      </c>
      <c r="U1728" s="51">
        <f>S1728*T1728</f>
        <v/>
      </c>
      <c r="V1728" s="51">
        <f>IF(Q1728=1,MAX(0,F1728-E1728),0)</f>
        <v/>
      </c>
    </row>
    <row r="1729">
      <c r="A1729" s="43" t="inlineStr">
        <is>
          <t>PO100336</t>
        </is>
      </c>
      <c r="B1729" s="43" t="inlineStr">
        <is>
          <t>CMD-0015</t>
        </is>
      </c>
      <c r="C1729" s="43" t="inlineStr">
        <is>
          <t>S03</t>
        </is>
      </c>
      <c r="D1729" s="47" t="n">
        <v>46192</v>
      </c>
      <c r="E1729" s="47" t="n">
        <v>46325</v>
      </c>
      <c r="F1729" s="47" t="n"/>
      <c r="G1729" s="46" t="n">
        <v>4102</v>
      </c>
      <c r="H1729" s="46" t="n">
        <v>0</v>
      </c>
      <c r="I1729" s="46" t="n">
        <v>0</v>
      </c>
      <c r="J1729" s="44" t="n">
        <v>6.6788</v>
      </c>
      <c r="K1729" s="43" t="inlineStr">
        <is>
          <t>Open</t>
        </is>
      </c>
      <c r="L1729" s="17">
        <f>INDEX(Items!$C$2:$C$117,MATCH(B1729,Items!$A$2:$A$117,0))</f>
        <v/>
      </c>
      <c r="M1729" s="49">
        <f>INDEX(Items!$E$2:$E$117,MATCH(B1729,Items!$A$2:$A$117,0))</f>
        <v/>
      </c>
      <c r="N1729" s="17">
        <f>TEXT(D1729,"yyyy-mm")</f>
        <v/>
      </c>
      <c r="O1729" s="50">
        <f>G1729*J1729</f>
        <v/>
      </c>
      <c r="P1729" s="50">
        <f>(J1729-M1729)*G1729</f>
        <v/>
      </c>
      <c r="Q1729" s="51">
        <f>IF(K1729="Received",1,0)</f>
        <v/>
      </c>
      <c r="R1729" s="51">
        <f>IF(Q1729=1,F1729-D1729,0)</f>
        <v/>
      </c>
      <c r="S1729" s="51">
        <f>IF(Q1729=1,IF(F1729&lt;=E1729,1,0),0)</f>
        <v/>
      </c>
      <c r="T1729" s="51">
        <f>IF(Q1729=1,IF(H1729&gt;=G1729,1,0),0)</f>
        <v/>
      </c>
      <c r="U1729" s="51">
        <f>S1729*T1729</f>
        <v/>
      </c>
      <c r="V1729" s="51">
        <f>IF(Q1729=1,MAX(0,F1729-E1729),0)</f>
        <v/>
      </c>
    </row>
    <row r="1730">
      <c r="A1730" s="43" t="inlineStr">
        <is>
          <t>PO100719</t>
        </is>
      </c>
      <c r="B1730" s="43" t="inlineStr">
        <is>
          <t>CMD-0032</t>
        </is>
      </c>
      <c r="C1730" s="43" t="inlineStr">
        <is>
          <t>S01</t>
        </is>
      </c>
      <c r="D1730" s="47" t="n">
        <v>46192</v>
      </c>
      <c r="E1730" s="47" t="n">
        <v>46220</v>
      </c>
      <c r="F1730" s="47" t="n">
        <v>46217</v>
      </c>
      <c r="G1730" s="46" t="n">
        <v>1228</v>
      </c>
      <c r="H1730" s="46" t="n">
        <v>1228</v>
      </c>
      <c r="I1730" s="46" t="n">
        <v>2</v>
      </c>
      <c r="J1730" s="44" t="n">
        <v>5.3045</v>
      </c>
      <c r="K1730" s="43" t="inlineStr">
        <is>
          <t>Received</t>
        </is>
      </c>
      <c r="L1730" s="17">
        <f>INDEX(Items!$C$2:$C$117,MATCH(B1730,Items!$A$2:$A$117,0))</f>
        <v/>
      </c>
      <c r="M1730" s="49">
        <f>INDEX(Items!$E$2:$E$117,MATCH(B1730,Items!$A$2:$A$117,0))</f>
        <v/>
      </c>
      <c r="N1730" s="17">
        <f>TEXT(D1730,"yyyy-mm")</f>
        <v/>
      </c>
      <c r="O1730" s="50">
        <f>G1730*J1730</f>
        <v/>
      </c>
      <c r="P1730" s="50">
        <f>(J1730-M1730)*G1730</f>
        <v/>
      </c>
      <c r="Q1730" s="51">
        <f>IF(K1730="Received",1,0)</f>
        <v/>
      </c>
      <c r="R1730" s="51">
        <f>IF(Q1730=1,F1730-D1730,0)</f>
        <v/>
      </c>
      <c r="S1730" s="51">
        <f>IF(Q1730=1,IF(F1730&lt;=E1730,1,0),0)</f>
        <v/>
      </c>
      <c r="T1730" s="51">
        <f>IF(Q1730=1,IF(H1730&gt;=G1730,1,0),0)</f>
        <v/>
      </c>
      <c r="U1730" s="51">
        <f>S1730*T1730</f>
        <v/>
      </c>
      <c r="V1730" s="51">
        <f>IF(Q1730=1,MAX(0,F1730-E1730),0)</f>
        <v/>
      </c>
    </row>
    <row r="1731">
      <c r="A1731" s="43" t="inlineStr">
        <is>
          <t>PO100164</t>
        </is>
      </c>
      <c r="B1731" s="43" t="inlineStr">
        <is>
          <t>CMD-0007</t>
        </is>
      </c>
      <c r="C1731" s="43" t="inlineStr">
        <is>
          <t>S03</t>
        </is>
      </c>
      <c r="D1731" s="47" t="n">
        <v>46192</v>
      </c>
      <c r="E1731" s="47" t="n">
        <v>46325</v>
      </c>
      <c r="F1731" s="47" t="n"/>
      <c r="G1731" s="46" t="n">
        <v>4193</v>
      </c>
      <c r="H1731" s="46" t="n">
        <v>0</v>
      </c>
      <c r="I1731" s="46" t="n">
        <v>0</v>
      </c>
      <c r="J1731" s="44" t="n">
        <v>22.8802</v>
      </c>
      <c r="K1731" s="43" t="inlineStr">
        <is>
          <t>Open</t>
        </is>
      </c>
      <c r="L1731" s="17">
        <f>INDEX(Items!$C$2:$C$117,MATCH(B1731,Items!$A$2:$A$117,0))</f>
        <v/>
      </c>
      <c r="M1731" s="49">
        <f>INDEX(Items!$E$2:$E$117,MATCH(B1731,Items!$A$2:$A$117,0))</f>
        <v/>
      </c>
      <c r="N1731" s="17">
        <f>TEXT(D1731,"yyyy-mm")</f>
        <v/>
      </c>
      <c r="O1731" s="50">
        <f>G1731*J1731</f>
        <v/>
      </c>
      <c r="P1731" s="50">
        <f>(J1731-M1731)*G1731</f>
        <v/>
      </c>
      <c r="Q1731" s="51">
        <f>IF(K1731="Received",1,0)</f>
        <v/>
      </c>
      <c r="R1731" s="51">
        <f>IF(Q1731=1,F1731-D1731,0)</f>
        <v/>
      </c>
      <c r="S1731" s="51">
        <f>IF(Q1731=1,IF(F1731&lt;=E1731,1,0),0)</f>
        <v/>
      </c>
      <c r="T1731" s="51">
        <f>IF(Q1731=1,IF(H1731&gt;=G1731,1,0),0)</f>
        <v/>
      </c>
      <c r="U1731" s="51">
        <f>S1731*T1731</f>
        <v/>
      </c>
      <c r="V1731" s="51">
        <f>IF(Q1731=1,MAX(0,F1731-E1731),0)</f>
        <v/>
      </c>
    </row>
    <row r="1732">
      <c r="A1732" s="43" t="inlineStr">
        <is>
          <t>PO100540</t>
        </is>
      </c>
      <c r="B1732" s="43" t="inlineStr">
        <is>
          <t>CMD-0024</t>
        </is>
      </c>
      <c r="C1732" s="43" t="inlineStr">
        <is>
          <t>S04</t>
        </is>
      </c>
      <c r="D1732" s="47" t="n">
        <v>46193</v>
      </c>
      <c r="E1732" s="47" t="n">
        <v>46263</v>
      </c>
      <c r="F1732" s="47" t="n">
        <v>46263</v>
      </c>
      <c r="G1732" s="46" t="n">
        <v>4444</v>
      </c>
      <c r="H1732" s="46" t="n">
        <v>4444</v>
      </c>
      <c r="I1732" s="46" t="n">
        <v>40</v>
      </c>
      <c r="J1732" s="44" t="n">
        <v>3.4093</v>
      </c>
      <c r="K1732" s="43" t="inlineStr">
        <is>
          <t>Received</t>
        </is>
      </c>
      <c r="L1732" s="17">
        <f>INDEX(Items!$C$2:$C$117,MATCH(B1732,Items!$A$2:$A$117,0))</f>
        <v/>
      </c>
      <c r="M1732" s="49">
        <f>INDEX(Items!$E$2:$E$117,MATCH(B1732,Items!$A$2:$A$117,0))</f>
        <v/>
      </c>
      <c r="N1732" s="17">
        <f>TEXT(D1732,"yyyy-mm")</f>
        <v/>
      </c>
      <c r="O1732" s="50">
        <f>G1732*J1732</f>
        <v/>
      </c>
      <c r="P1732" s="50">
        <f>(J1732-M1732)*G1732</f>
        <v/>
      </c>
      <c r="Q1732" s="51">
        <f>IF(K1732="Received",1,0)</f>
        <v/>
      </c>
      <c r="R1732" s="51">
        <f>IF(Q1732=1,F1732-D1732,0)</f>
        <v/>
      </c>
      <c r="S1732" s="51">
        <f>IF(Q1732=1,IF(F1732&lt;=E1732,1,0),0)</f>
        <v/>
      </c>
      <c r="T1732" s="51">
        <f>IF(Q1732=1,IF(H1732&gt;=G1732,1,0),0)</f>
        <v/>
      </c>
      <c r="U1732" s="51">
        <f>S1732*T1732</f>
        <v/>
      </c>
      <c r="V1732" s="51">
        <f>IF(Q1732=1,MAX(0,F1732-E1732),0)</f>
        <v/>
      </c>
    </row>
    <row r="1733">
      <c r="A1733" s="43" t="inlineStr">
        <is>
          <t>PO100068</t>
        </is>
      </c>
      <c r="B1733" s="43" t="inlineStr">
        <is>
          <t>CMD-0003</t>
        </is>
      </c>
      <c r="C1733" s="43" t="inlineStr">
        <is>
          <t>S11</t>
        </is>
      </c>
      <c r="D1733" s="47" t="n">
        <v>46193</v>
      </c>
      <c r="E1733" s="47" t="n">
        <v>46312</v>
      </c>
      <c r="F1733" s="47" t="n"/>
      <c r="G1733" s="46" t="n">
        <v>7210</v>
      </c>
      <c r="H1733" s="46" t="n">
        <v>0</v>
      </c>
      <c r="I1733" s="46" t="n">
        <v>0</v>
      </c>
      <c r="J1733" s="44" t="n">
        <v>25.3582</v>
      </c>
      <c r="K1733" s="43" t="inlineStr">
        <is>
          <t>Open</t>
        </is>
      </c>
      <c r="L1733" s="17">
        <f>INDEX(Items!$C$2:$C$117,MATCH(B1733,Items!$A$2:$A$117,0))</f>
        <v/>
      </c>
      <c r="M1733" s="49">
        <f>INDEX(Items!$E$2:$E$117,MATCH(B1733,Items!$A$2:$A$117,0))</f>
        <v/>
      </c>
      <c r="N1733" s="17">
        <f>TEXT(D1733,"yyyy-mm")</f>
        <v/>
      </c>
      <c r="O1733" s="50">
        <f>G1733*J1733</f>
        <v/>
      </c>
      <c r="P1733" s="50">
        <f>(J1733-M1733)*G1733</f>
        <v/>
      </c>
      <c r="Q1733" s="51">
        <f>IF(K1733="Received",1,0)</f>
        <v/>
      </c>
      <c r="R1733" s="51">
        <f>IF(Q1733=1,F1733-D1733,0)</f>
        <v/>
      </c>
      <c r="S1733" s="51">
        <f>IF(Q1733=1,IF(F1733&lt;=E1733,1,0),0)</f>
        <v/>
      </c>
      <c r="T1733" s="51">
        <f>IF(Q1733=1,IF(H1733&gt;=G1733,1,0),0)</f>
        <v/>
      </c>
      <c r="U1733" s="51">
        <f>S1733*T1733</f>
        <v/>
      </c>
      <c r="V1733" s="51">
        <f>IF(Q1733=1,MAX(0,F1733-E1733),0)</f>
        <v/>
      </c>
    </row>
    <row r="1734">
      <c r="A1734" s="43" t="inlineStr">
        <is>
          <t>PO100588</t>
        </is>
      </c>
      <c r="B1734" s="43" t="inlineStr">
        <is>
          <t>CMD-0026</t>
        </is>
      </c>
      <c r="C1734" s="43" t="inlineStr">
        <is>
          <t>S04</t>
        </is>
      </c>
      <c r="D1734" s="47" t="n">
        <v>46193</v>
      </c>
      <c r="E1734" s="47" t="n">
        <v>46263</v>
      </c>
      <c r="F1734" s="47" t="n">
        <v>46284</v>
      </c>
      <c r="G1734" s="46" t="n">
        <v>7407</v>
      </c>
      <c r="H1734" s="46" t="n">
        <v>7407</v>
      </c>
      <c r="I1734" s="46" t="n">
        <v>64</v>
      </c>
      <c r="J1734" s="44" t="n">
        <v>6.1388</v>
      </c>
      <c r="K1734" s="43" t="inlineStr">
        <is>
          <t>Received</t>
        </is>
      </c>
      <c r="L1734" s="17">
        <f>INDEX(Items!$C$2:$C$117,MATCH(B1734,Items!$A$2:$A$117,0))</f>
        <v/>
      </c>
      <c r="M1734" s="49">
        <f>INDEX(Items!$E$2:$E$117,MATCH(B1734,Items!$A$2:$A$117,0))</f>
        <v/>
      </c>
      <c r="N1734" s="17">
        <f>TEXT(D1734,"yyyy-mm")</f>
        <v/>
      </c>
      <c r="O1734" s="50">
        <f>G1734*J1734</f>
        <v/>
      </c>
      <c r="P1734" s="50">
        <f>(J1734-M1734)*G1734</f>
        <v/>
      </c>
      <c r="Q1734" s="51">
        <f>IF(K1734="Received",1,0)</f>
        <v/>
      </c>
      <c r="R1734" s="51">
        <f>IF(Q1734=1,F1734-D1734,0)</f>
        <v/>
      </c>
      <c r="S1734" s="51">
        <f>IF(Q1734=1,IF(F1734&lt;=E1734,1,0),0)</f>
        <v/>
      </c>
      <c r="T1734" s="51">
        <f>IF(Q1734=1,IF(H1734&gt;=G1734,1,0),0)</f>
        <v/>
      </c>
      <c r="U1734" s="51">
        <f>S1734*T1734</f>
        <v/>
      </c>
      <c r="V1734" s="51">
        <f>IF(Q1734=1,MAX(0,F1734-E1734),0)</f>
        <v/>
      </c>
    </row>
    <row r="1735">
      <c r="A1735" s="43" t="inlineStr">
        <is>
          <t>PO101026</t>
        </is>
      </c>
      <c r="B1735" s="43" t="inlineStr">
        <is>
          <t>CMD-0046</t>
        </is>
      </c>
      <c r="C1735" s="43" t="inlineStr">
        <is>
          <t>S05</t>
        </is>
      </c>
      <c r="D1735" s="47" t="n">
        <v>46193</v>
      </c>
      <c r="E1735" s="47" t="n">
        <v>46298</v>
      </c>
      <c r="F1735" s="47" t="n"/>
      <c r="G1735" s="46" t="n">
        <v>8569</v>
      </c>
      <c r="H1735" s="46" t="n">
        <v>0</v>
      </c>
      <c r="I1735" s="46" t="n">
        <v>0</v>
      </c>
      <c r="J1735" s="44" t="n">
        <v>10.8871</v>
      </c>
      <c r="K1735" s="43" t="inlineStr">
        <is>
          <t>Open</t>
        </is>
      </c>
      <c r="L1735" s="17">
        <f>INDEX(Items!$C$2:$C$117,MATCH(B1735,Items!$A$2:$A$117,0))</f>
        <v/>
      </c>
      <c r="M1735" s="49">
        <f>INDEX(Items!$E$2:$E$117,MATCH(B1735,Items!$A$2:$A$117,0))</f>
        <v/>
      </c>
      <c r="N1735" s="17">
        <f>TEXT(D1735,"yyyy-mm")</f>
        <v/>
      </c>
      <c r="O1735" s="50">
        <f>G1735*J1735</f>
        <v/>
      </c>
      <c r="P1735" s="50">
        <f>(J1735-M1735)*G1735</f>
        <v/>
      </c>
      <c r="Q1735" s="51">
        <f>IF(K1735="Received",1,0)</f>
        <v/>
      </c>
      <c r="R1735" s="51">
        <f>IF(Q1735=1,F1735-D1735,0)</f>
        <v/>
      </c>
      <c r="S1735" s="51">
        <f>IF(Q1735=1,IF(F1735&lt;=E1735,1,0),0)</f>
        <v/>
      </c>
      <c r="T1735" s="51">
        <f>IF(Q1735=1,IF(H1735&gt;=G1735,1,0),0)</f>
        <v/>
      </c>
      <c r="U1735" s="51">
        <f>S1735*T1735</f>
        <v/>
      </c>
      <c r="V1735" s="51">
        <f>IF(Q1735=1,MAX(0,F1735-E1735),0)</f>
        <v/>
      </c>
    </row>
    <row r="1736">
      <c r="A1736" s="43" t="inlineStr">
        <is>
          <t>PO100260</t>
        </is>
      </c>
      <c r="B1736" s="43" t="inlineStr">
        <is>
          <t>CMD-0011</t>
        </is>
      </c>
      <c r="C1736" s="43" t="inlineStr">
        <is>
          <t>S07</t>
        </is>
      </c>
      <c r="D1736" s="47" t="n">
        <v>46193</v>
      </c>
      <c r="E1736" s="47" t="n">
        <v>46284</v>
      </c>
      <c r="F1736" s="47" t="n">
        <v>46284</v>
      </c>
      <c r="G1736" s="46" t="n">
        <v>3817</v>
      </c>
      <c r="H1736" s="46" t="n">
        <v>3817</v>
      </c>
      <c r="I1736" s="46" t="n">
        <v>37</v>
      </c>
      <c r="J1736" s="44" t="n">
        <v>9.5344</v>
      </c>
      <c r="K1736" s="43" t="inlineStr">
        <is>
          <t>Received</t>
        </is>
      </c>
      <c r="L1736" s="17">
        <f>INDEX(Items!$C$2:$C$117,MATCH(B1736,Items!$A$2:$A$117,0))</f>
        <v/>
      </c>
      <c r="M1736" s="49">
        <f>INDEX(Items!$E$2:$E$117,MATCH(B1736,Items!$A$2:$A$117,0))</f>
        <v/>
      </c>
      <c r="N1736" s="17">
        <f>TEXT(D1736,"yyyy-mm")</f>
        <v/>
      </c>
      <c r="O1736" s="50">
        <f>G1736*J1736</f>
        <v/>
      </c>
      <c r="P1736" s="50">
        <f>(J1736-M1736)*G1736</f>
        <v/>
      </c>
      <c r="Q1736" s="51">
        <f>IF(K1736="Received",1,0)</f>
        <v/>
      </c>
      <c r="R1736" s="51">
        <f>IF(Q1736=1,F1736-D1736,0)</f>
        <v/>
      </c>
      <c r="S1736" s="51">
        <f>IF(Q1736=1,IF(F1736&lt;=E1736,1,0),0)</f>
        <v/>
      </c>
      <c r="T1736" s="51">
        <f>IF(Q1736=1,IF(H1736&gt;=G1736,1,0),0)</f>
        <v/>
      </c>
      <c r="U1736" s="51">
        <f>S1736*T1736</f>
        <v/>
      </c>
      <c r="V1736" s="51">
        <f>IF(Q1736=1,MAX(0,F1736-E1736),0)</f>
        <v/>
      </c>
    </row>
    <row r="1737">
      <c r="A1737" s="43" t="inlineStr">
        <is>
          <t>PO101416</t>
        </is>
      </c>
      <c r="B1737" s="43" t="inlineStr">
        <is>
          <t>CMD-0074</t>
        </is>
      </c>
      <c r="C1737" s="43" t="inlineStr">
        <is>
          <t>S10</t>
        </is>
      </c>
      <c r="D1737" s="47" t="n">
        <v>46193</v>
      </c>
      <c r="E1737" s="47" t="n">
        <v>46221</v>
      </c>
      <c r="F1737" s="47" t="n">
        <v>46221</v>
      </c>
      <c r="G1737" s="46" t="n">
        <v>47647</v>
      </c>
      <c r="H1737" s="46" t="n">
        <v>47647</v>
      </c>
      <c r="I1737" s="46" t="n">
        <v>49</v>
      </c>
      <c r="J1737" s="44" t="n">
        <v>0.3601</v>
      </c>
      <c r="K1737" s="43" t="inlineStr">
        <is>
          <t>Received</t>
        </is>
      </c>
      <c r="L1737" s="17">
        <f>INDEX(Items!$C$2:$C$117,MATCH(B1737,Items!$A$2:$A$117,0))</f>
        <v/>
      </c>
      <c r="M1737" s="49">
        <f>INDEX(Items!$E$2:$E$117,MATCH(B1737,Items!$A$2:$A$117,0))</f>
        <v/>
      </c>
      <c r="N1737" s="17">
        <f>TEXT(D1737,"yyyy-mm")</f>
        <v/>
      </c>
      <c r="O1737" s="50">
        <f>G1737*J1737</f>
        <v/>
      </c>
      <c r="P1737" s="50">
        <f>(J1737-M1737)*G1737</f>
        <v/>
      </c>
      <c r="Q1737" s="51">
        <f>IF(K1737="Received",1,0)</f>
        <v/>
      </c>
      <c r="R1737" s="51">
        <f>IF(Q1737=1,F1737-D1737,0)</f>
        <v/>
      </c>
      <c r="S1737" s="51">
        <f>IF(Q1737=1,IF(F1737&lt;=E1737,1,0),0)</f>
        <v/>
      </c>
      <c r="T1737" s="51">
        <f>IF(Q1737=1,IF(H1737&gt;=G1737,1,0),0)</f>
        <v/>
      </c>
      <c r="U1737" s="51">
        <f>S1737*T1737</f>
        <v/>
      </c>
      <c r="V1737" s="51">
        <f>IF(Q1737=1,MAX(0,F1737-E1737),0)</f>
        <v/>
      </c>
    </row>
    <row r="1738">
      <c r="A1738" s="43" t="inlineStr">
        <is>
          <t>PO101552</t>
        </is>
      </c>
      <c r="B1738" s="43" t="inlineStr">
        <is>
          <t>CMD-0082</t>
        </is>
      </c>
      <c r="C1738" s="43" t="inlineStr">
        <is>
          <t>S01</t>
        </is>
      </c>
      <c r="D1738" s="47" t="n">
        <v>46193</v>
      </c>
      <c r="E1738" s="47" t="n">
        <v>46207</v>
      </c>
      <c r="F1738" s="47" t="n">
        <v>46207</v>
      </c>
      <c r="G1738" s="46" t="n">
        <v>10170</v>
      </c>
      <c r="H1738" s="46" t="n">
        <v>10170</v>
      </c>
      <c r="I1738" s="46" t="n">
        <v>24</v>
      </c>
      <c r="J1738" s="44" t="n">
        <v>2.3896</v>
      </c>
      <c r="K1738" s="43" t="inlineStr">
        <is>
          <t>Received</t>
        </is>
      </c>
      <c r="L1738" s="17">
        <f>INDEX(Items!$C$2:$C$117,MATCH(B1738,Items!$A$2:$A$117,0))</f>
        <v/>
      </c>
      <c r="M1738" s="49">
        <f>INDEX(Items!$E$2:$E$117,MATCH(B1738,Items!$A$2:$A$117,0))</f>
        <v/>
      </c>
      <c r="N1738" s="17">
        <f>TEXT(D1738,"yyyy-mm")</f>
        <v/>
      </c>
      <c r="O1738" s="50">
        <f>G1738*J1738</f>
        <v/>
      </c>
      <c r="P1738" s="50">
        <f>(J1738-M1738)*G1738</f>
        <v/>
      </c>
      <c r="Q1738" s="51">
        <f>IF(K1738="Received",1,0)</f>
        <v/>
      </c>
      <c r="R1738" s="51">
        <f>IF(Q1738=1,F1738-D1738,0)</f>
        <v/>
      </c>
      <c r="S1738" s="51">
        <f>IF(Q1738=1,IF(F1738&lt;=E1738,1,0),0)</f>
        <v/>
      </c>
      <c r="T1738" s="51">
        <f>IF(Q1738=1,IF(H1738&gt;=G1738,1,0),0)</f>
        <v/>
      </c>
      <c r="U1738" s="51">
        <f>S1738*T1738</f>
        <v/>
      </c>
      <c r="V1738" s="51">
        <f>IF(Q1738=1,MAX(0,F1738-E1738),0)</f>
        <v/>
      </c>
    </row>
    <row r="1739">
      <c r="A1739" s="43" t="inlineStr">
        <is>
          <t>PO100092</t>
        </is>
      </c>
      <c r="B1739" s="43" t="inlineStr">
        <is>
          <t>CMD-0004</t>
        </is>
      </c>
      <c r="C1739" s="43" t="inlineStr">
        <is>
          <t>S07</t>
        </is>
      </c>
      <c r="D1739" s="47" t="n">
        <v>46193</v>
      </c>
      <c r="E1739" s="47" t="n">
        <v>46284</v>
      </c>
      <c r="F1739" s="47" t="n">
        <v>46281</v>
      </c>
      <c r="G1739" s="46" t="n">
        <v>3901</v>
      </c>
      <c r="H1739" s="46" t="n">
        <v>3901</v>
      </c>
      <c r="I1739" s="46" t="n">
        <v>30</v>
      </c>
      <c r="J1739" s="44" t="n">
        <v>4.779</v>
      </c>
      <c r="K1739" s="43" t="inlineStr">
        <is>
          <t>Received</t>
        </is>
      </c>
      <c r="L1739" s="17">
        <f>INDEX(Items!$C$2:$C$117,MATCH(B1739,Items!$A$2:$A$117,0))</f>
        <v/>
      </c>
      <c r="M1739" s="49">
        <f>INDEX(Items!$E$2:$E$117,MATCH(B1739,Items!$A$2:$A$117,0))</f>
        <v/>
      </c>
      <c r="N1739" s="17">
        <f>TEXT(D1739,"yyyy-mm")</f>
        <v/>
      </c>
      <c r="O1739" s="50">
        <f>G1739*J1739</f>
        <v/>
      </c>
      <c r="P1739" s="50">
        <f>(J1739-M1739)*G1739</f>
        <v/>
      </c>
      <c r="Q1739" s="51">
        <f>IF(K1739="Received",1,0)</f>
        <v/>
      </c>
      <c r="R1739" s="51">
        <f>IF(Q1739=1,F1739-D1739,0)</f>
        <v/>
      </c>
      <c r="S1739" s="51">
        <f>IF(Q1739=1,IF(F1739&lt;=E1739,1,0),0)</f>
        <v/>
      </c>
      <c r="T1739" s="51">
        <f>IF(Q1739=1,IF(H1739&gt;=G1739,1,0),0)</f>
        <v/>
      </c>
      <c r="U1739" s="51">
        <f>S1739*T1739</f>
        <v/>
      </c>
      <c r="V1739" s="51">
        <f>IF(Q1739=1,MAX(0,F1739-E1739),0)</f>
        <v/>
      </c>
    </row>
    <row r="1740">
      <c r="A1740" s="43" t="inlineStr">
        <is>
          <t>PO100978</t>
        </is>
      </c>
      <c r="B1740" s="43" t="inlineStr">
        <is>
          <t>CMD-0044</t>
        </is>
      </c>
      <c r="C1740" s="43" t="inlineStr">
        <is>
          <t>S05</t>
        </is>
      </c>
      <c r="D1740" s="47" t="n">
        <v>46194</v>
      </c>
      <c r="E1740" s="47" t="n">
        <v>46299</v>
      </c>
      <c r="F1740" s="47" t="n"/>
      <c r="G1740" s="46" t="n">
        <v>8479</v>
      </c>
      <c r="H1740" s="46" t="n">
        <v>0</v>
      </c>
      <c r="I1740" s="46" t="n">
        <v>0</v>
      </c>
      <c r="J1740" s="44" t="n">
        <v>11.9171</v>
      </c>
      <c r="K1740" s="43" t="inlineStr">
        <is>
          <t>Open</t>
        </is>
      </c>
      <c r="L1740" s="17">
        <f>INDEX(Items!$C$2:$C$117,MATCH(B1740,Items!$A$2:$A$117,0))</f>
        <v/>
      </c>
      <c r="M1740" s="49">
        <f>INDEX(Items!$E$2:$E$117,MATCH(B1740,Items!$A$2:$A$117,0))</f>
        <v/>
      </c>
      <c r="N1740" s="17">
        <f>TEXT(D1740,"yyyy-mm")</f>
        <v/>
      </c>
      <c r="O1740" s="50">
        <f>G1740*J1740</f>
        <v/>
      </c>
      <c r="P1740" s="50">
        <f>(J1740-M1740)*G1740</f>
        <v/>
      </c>
      <c r="Q1740" s="51">
        <f>IF(K1740="Received",1,0)</f>
        <v/>
      </c>
      <c r="R1740" s="51">
        <f>IF(Q1740=1,F1740-D1740,0)</f>
        <v/>
      </c>
      <c r="S1740" s="51">
        <f>IF(Q1740=1,IF(F1740&lt;=E1740,1,0),0)</f>
        <v/>
      </c>
      <c r="T1740" s="51">
        <f>IF(Q1740=1,IF(H1740&gt;=G1740,1,0),0)</f>
        <v/>
      </c>
      <c r="U1740" s="51">
        <f>S1740*T1740</f>
        <v/>
      </c>
      <c r="V1740" s="51">
        <f>IF(Q1740=1,MAX(0,F1740-E1740),0)</f>
        <v/>
      </c>
    </row>
    <row r="1741">
      <c r="A1741" s="43" t="inlineStr">
        <is>
          <t>PO100312</t>
        </is>
      </c>
      <c r="B1741" s="43" t="inlineStr">
        <is>
          <t>CMD-0014</t>
        </is>
      </c>
      <c r="C1741" s="43" t="inlineStr">
        <is>
          <t>S03</t>
        </is>
      </c>
      <c r="D1741" s="47" t="n">
        <v>46194</v>
      </c>
      <c r="E1741" s="47" t="n">
        <v>46327</v>
      </c>
      <c r="F1741" s="47" t="n"/>
      <c r="G1741" s="46" t="n">
        <v>4934</v>
      </c>
      <c r="H1741" s="46" t="n">
        <v>0</v>
      </c>
      <c r="I1741" s="46" t="n">
        <v>0</v>
      </c>
      <c r="J1741" s="44" t="n">
        <v>14.8916</v>
      </c>
      <c r="K1741" s="43" t="inlineStr">
        <is>
          <t>Open</t>
        </is>
      </c>
      <c r="L1741" s="17">
        <f>INDEX(Items!$C$2:$C$117,MATCH(B1741,Items!$A$2:$A$117,0))</f>
        <v/>
      </c>
      <c r="M1741" s="49">
        <f>INDEX(Items!$E$2:$E$117,MATCH(B1741,Items!$A$2:$A$117,0))</f>
        <v/>
      </c>
      <c r="N1741" s="17">
        <f>TEXT(D1741,"yyyy-mm")</f>
        <v/>
      </c>
      <c r="O1741" s="50">
        <f>G1741*J1741</f>
        <v/>
      </c>
      <c r="P1741" s="50">
        <f>(J1741-M1741)*G1741</f>
        <v/>
      </c>
      <c r="Q1741" s="51">
        <f>IF(K1741="Received",1,0)</f>
        <v/>
      </c>
      <c r="R1741" s="51">
        <f>IF(Q1741=1,F1741-D1741,0)</f>
        <v/>
      </c>
      <c r="S1741" s="51">
        <f>IF(Q1741=1,IF(F1741&lt;=E1741,1,0),0)</f>
        <v/>
      </c>
      <c r="T1741" s="51">
        <f>IF(Q1741=1,IF(H1741&gt;=G1741,1,0),0)</f>
        <v/>
      </c>
      <c r="U1741" s="51">
        <f>S1741*T1741</f>
        <v/>
      </c>
      <c r="V1741" s="51">
        <f>IF(Q1741=1,MAX(0,F1741-E1741),0)</f>
        <v/>
      </c>
    </row>
    <row r="1742">
      <c r="A1742" s="43" t="inlineStr">
        <is>
          <t>PO100116</t>
        </is>
      </c>
      <c r="B1742" s="43" t="inlineStr">
        <is>
          <t>CMD-0005</t>
        </is>
      </c>
      <c r="C1742" s="43" t="inlineStr">
        <is>
          <t>S07</t>
        </is>
      </c>
      <c r="D1742" s="47" t="n">
        <v>46194</v>
      </c>
      <c r="E1742" s="47" t="n">
        <v>46285</v>
      </c>
      <c r="F1742" s="47" t="n">
        <v>46285</v>
      </c>
      <c r="G1742" s="46" t="n">
        <v>4634</v>
      </c>
      <c r="H1742" s="46" t="n">
        <v>4634</v>
      </c>
      <c r="I1742" s="46" t="n">
        <v>32</v>
      </c>
      <c r="J1742" s="44" t="n">
        <v>6.6434</v>
      </c>
      <c r="K1742" s="43" t="inlineStr">
        <is>
          <t>Received</t>
        </is>
      </c>
      <c r="L1742" s="17">
        <f>INDEX(Items!$C$2:$C$117,MATCH(B1742,Items!$A$2:$A$117,0))</f>
        <v/>
      </c>
      <c r="M1742" s="49">
        <f>INDEX(Items!$E$2:$E$117,MATCH(B1742,Items!$A$2:$A$117,0))</f>
        <v/>
      </c>
      <c r="N1742" s="17">
        <f>TEXT(D1742,"yyyy-mm")</f>
        <v/>
      </c>
      <c r="O1742" s="50">
        <f>G1742*J1742</f>
        <v/>
      </c>
      <c r="P1742" s="50">
        <f>(J1742-M1742)*G1742</f>
        <v/>
      </c>
      <c r="Q1742" s="51">
        <f>IF(K1742="Received",1,0)</f>
        <v/>
      </c>
      <c r="R1742" s="51">
        <f>IF(Q1742=1,F1742-D1742,0)</f>
        <v/>
      </c>
      <c r="S1742" s="51">
        <f>IF(Q1742=1,IF(F1742&lt;=E1742,1,0),0)</f>
        <v/>
      </c>
      <c r="T1742" s="51">
        <f>IF(Q1742=1,IF(H1742&gt;=G1742,1,0),0)</f>
        <v/>
      </c>
      <c r="U1742" s="51">
        <f>S1742*T1742</f>
        <v/>
      </c>
      <c r="V1742" s="51">
        <f>IF(Q1742=1,MAX(0,F1742-E1742),0)</f>
        <v/>
      </c>
    </row>
    <row r="1743">
      <c r="A1743" s="43" t="inlineStr">
        <is>
          <t>PO101102</t>
        </is>
      </c>
      <c r="B1743" s="43" t="inlineStr">
        <is>
          <t>CMD-0050</t>
        </is>
      </c>
      <c r="C1743" s="43" t="inlineStr">
        <is>
          <t>S10</t>
        </is>
      </c>
      <c r="D1743" s="47" t="n">
        <v>46194</v>
      </c>
      <c r="E1743" s="47" t="n">
        <v>46222</v>
      </c>
      <c r="F1743" s="47" t="n">
        <v>46231</v>
      </c>
      <c r="G1743" s="46" t="n">
        <v>91857</v>
      </c>
      <c r="H1743" s="46" t="n">
        <v>91857</v>
      </c>
      <c r="I1743" s="46" t="n">
        <v>85</v>
      </c>
      <c r="J1743" s="44" t="n">
        <v>0.0772</v>
      </c>
      <c r="K1743" s="43" t="inlineStr">
        <is>
          <t>Received</t>
        </is>
      </c>
      <c r="L1743" s="17">
        <f>INDEX(Items!$C$2:$C$117,MATCH(B1743,Items!$A$2:$A$117,0))</f>
        <v/>
      </c>
      <c r="M1743" s="49">
        <f>INDEX(Items!$E$2:$E$117,MATCH(B1743,Items!$A$2:$A$117,0))</f>
        <v/>
      </c>
      <c r="N1743" s="17">
        <f>TEXT(D1743,"yyyy-mm")</f>
        <v/>
      </c>
      <c r="O1743" s="50">
        <f>G1743*J1743</f>
        <v/>
      </c>
      <c r="P1743" s="50">
        <f>(J1743-M1743)*G1743</f>
        <v/>
      </c>
      <c r="Q1743" s="51">
        <f>IF(K1743="Received",1,0)</f>
        <v/>
      </c>
      <c r="R1743" s="51">
        <f>IF(Q1743=1,F1743-D1743,0)</f>
        <v/>
      </c>
      <c r="S1743" s="51">
        <f>IF(Q1743=1,IF(F1743&lt;=E1743,1,0),0)</f>
        <v/>
      </c>
      <c r="T1743" s="51">
        <f>IF(Q1743=1,IF(H1743&gt;=G1743,1,0),0)</f>
        <v/>
      </c>
      <c r="U1743" s="51">
        <f>S1743*T1743</f>
        <v/>
      </c>
      <c r="V1743" s="51">
        <f>IF(Q1743=1,MAX(0,F1743-E1743),0)</f>
        <v/>
      </c>
    </row>
    <row r="1744">
      <c r="A1744" s="43" t="inlineStr">
        <is>
          <t>PO101140</t>
        </is>
      </c>
      <c r="B1744" s="43" t="inlineStr">
        <is>
          <t>CMD-0052</t>
        </is>
      </c>
      <c r="C1744" s="43" t="inlineStr">
        <is>
          <t>S01</t>
        </is>
      </c>
      <c r="D1744" s="47" t="n">
        <v>46194</v>
      </c>
      <c r="E1744" s="47" t="n">
        <v>46215</v>
      </c>
      <c r="F1744" s="47" t="n">
        <v>46214</v>
      </c>
      <c r="G1744" s="46" t="n">
        <v>126954</v>
      </c>
      <c r="H1744" s="46" t="n">
        <v>126954</v>
      </c>
      <c r="I1744" s="46" t="n">
        <v>261</v>
      </c>
      <c r="J1744" s="44" t="n">
        <v>0.2076</v>
      </c>
      <c r="K1744" s="43" t="inlineStr">
        <is>
          <t>Received</t>
        </is>
      </c>
      <c r="L1744" s="17">
        <f>INDEX(Items!$C$2:$C$117,MATCH(B1744,Items!$A$2:$A$117,0))</f>
        <v/>
      </c>
      <c r="M1744" s="49">
        <f>INDEX(Items!$E$2:$E$117,MATCH(B1744,Items!$A$2:$A$117,0))</f>
        <v/>
      </c>
      <c r="N1744" s="17">
        <f>TEXT(D1744,"yyyy-mm")</f>
        <v/>
      </c>
      <c r="O1744" s="50">
        <f>G1744*J1744</f>
        <v/>
      </c>
      <c r="P1744" s="50">
        <f>(J1744-M1744)*G1744</f>
        <v/>
      </c>
      <c r="Q1744" s="51">
        <f>IF(K1744="Received",1,0)</f>
        <v/>
      </c>
      <c r="R1744" s="51">
        <f>IF(Q1744=1,F1744-D1744,0)</f>
        <v/>
      </c>
      <c r="S1744" s="51">
        <f>IF(Q1744=1,IF(F1744&lt;=E1744,1,0),0)</f>
        <v/>
      </c>
      <c r="T1744" s="51">
        <f>IF(Q1744=1,IF(H1744&gt;=G1744,1,0),0)</f>
        <v/>
      </c>
      <c r="U1744" s="51">
        <f>S1744*T1744</f>
        <v/>
      </c>
      <c r="V1744" s="51">
        <f>IF(Q1744=1,MAX(0,F1744-E1744),0)</f>
        <v/>
      </c>
    </row>
    <row r="1745">
      <c r="A1745" s="43" t="inlineStr">
        <is>
          <t>PO101452</t>
        </is>
      </c>
      <c r="B1745" s="43" t="inlineStr">
        <is>
          <t>CMD-0077</t>
        </is>
      </c>
      <c r="C1745" s="43" t="inlineStr">
        <is>
          <t>S01</t>
        </is>
      </c>
      <c r="D1745" s="47" t="n">
        <v>46194</v>
      </c>
      <c r="E1745" s="47" t="n">
        <v>46208</v>
      </c>
      <c r="F1745" s="47" t="n">
        <v>46207</v>
      </c>
      <c r="G1745" s="46" t="n">
        <v>4540</v>
      </c>
      <c r="H1745" s="46" t="n">
        <v>4540</v>
      </c>
      <c r="I1745" s="46" t="n">
        <v>6</v>
      </c>
      <c r="J1745" s="44" t="n">
        <v>9.012499999999999</v>
      </c>
      <c r="K1745" s="43" t="inlineStr">
        <is>
          <t>Received</t>
        </is>
      </c>
      <c r="L1745" s="17">
        <f>INDEX(Items!$C$2:$C$117,MATCH(B1745,Items!$A$2:$A$117,0))</f>
        <v/>
      </c>
      <c r="M1745" s="49">
        <f>INDEX(Items!$E$2:$E$117,MATCH(B1745,Items!$A$2:$A$117,0))</f>
        <v/>
      </c>
      <c r="N1745" s="17">
        <f>TEXT(D1745,"yyyy-mm")</f>
        <v/>
      </c>
      <c r="O1745" s="50">
        <f>G1745*J1745</f>
        <v/>
      </c>
      <c r="P1745" s="50">
        <f>(J1745-M1745)*G1745</f>
        <v/>
      </c>
      <c r="Q1745" s="51">
        <f>IF(K1745="Received",1,0)</f>
        <v/>
      </c>
      <c r="R1745" s="51">
        <f>IF(Q1745=1,F1745-D1745,0)</f>
        <v/>
      </c>
      <c r="S1745" s="51">
        <f>IF(Q1745=1,IF(F1745&lt;=E1745,1,0),0)</f>
        <v/>
      </c>
      <c r="T1745" s="51">
        <f>IF(Q1745=1,IF(H1745&gt;=G1745,1,0),0)</f>
        <v/>
      </c>
      <c r="U1745" s="51">
        <f>S1745*T1745</f>
        <v/>
      </c>
      <c r="V1745" s="51">
        <f>IF(Q1745=1,MAX(0,F1745-E1745),0)</f>
        <v/>
      </c>
    </row>
    <row r="1746">
      <c r="A1746" s="43" t="inlineStr">
        <is>
          <t>PO101710</t>
        </is>
      </c>
      <c r="B1746" s="43" t="inlineStr">
        <is>
          <t>CMD-0093</t>
        </is>
      </c>
      <c r="C1746" s="43" t="inlineStr">
        <is>
          <t>S08</t>
        </is>
      </c>
      <c r="D1746" s="47" t="n">
        <v>46194</v>
      </c>
      <c r="E1746" s="47" t="n">
        <v>46271</v>
      </c>
      <c r="F1746" s="47" t="n">
        <v>46271</v>
      </c>
      <c r="G1746" s="46" t="n">
        <v>717</v>
      </c>
      <c r="H1746" s="46" t="n">
        <v>717</v>
      </c>
      <c r="I1746" s="46" t="n">
        <v>11</v>
      </c>
      <c r="J1746" s="44" t="n">
        <v>61.1923</v>
      </c>
      <c r="K1746" s="43" t="inlineStr">
        <is>
          <t>Received</t>
        </is>
      </c>
      <c r="L1746" s="17">
        <f>INDEX(Items!$C$2:$C$117,MATCH(B1746,Items!$A$2:$A$117,0))</f>
        <v/>
      </c>
      <c r="M1746" s="49">
        <f>INDEX(Items!$E$2:$E$117,MATCH(B1746,Items!$A$2:$A$117,0))</f>
        <v/>
      </c>
      <c r="N1746" s="17">
        <f>TEXT(D1746,"yyyy-mm")</f>
        <v/>
      </c>
      <c r="O1746" s="50">
        <f>G1746*J1746</f>
        <v/>
      </c>
      <c r="P1746" s="50">
        <f>(J1746-M1746)*G1746</f>
        <v/>
      </c>
      <c r="Q1746" s="51">
        <f>IF(K1746="Received",1,0)</f>
        <v/>
      </c>
      <c r="R1746" s="51">
        <f>IF(Q1746=1,F1746-D1746,0)</f>
        <v/>
      </c>
      <c r="S1746" s="51">
        <f>IF(Q1746=1,IF(F1746&lt;=E1746,1,0),0)</f>
        <v/>
      </c>
      <c r="T1746" s="51">
        <f>IF(Q1746=1,IF(H1746&gt;=G1746,1,0),0)</f>
        <v/>
      </c>
      <c r="U1746" s="51">
        <f>S1746*T1746</f>
        <v/>
      </c>
      <c r="V1746" s="51">
        <f>IF(Q1746=1,MAX(0,F1746-E1746),0)</f>
        <v/>
      </c>
    </row>
    <row r="1747">
      <c r="A1747" s="43" t="inlineStr">
        <is>
          <t>PO101952</t>
        </is>
      </c>
      <c r="B1747" s="43" t="inlineStr">
        <is>
          <t>CMD-0107</t>
        </is>
      </c>
      <c r="C1747" s="43" t="inlineStr">
        <is>
          <t>S09</t>
        </is>
      </c>
      <c r="D1747" s="47" t="n">
        <v>46195</v>
      </c>
      <c r="E1747" s="47" t="n">
        <v>46216</v>
      </c>
      <c r="F1747" s="47" t="n">
        <v>46215</v>
      </c>
      <c r="G1747" s="46" t="n">
        <v>1165</v>
      </c>
      <c r="H1747" s="46" t="n">
        <v>1165</v>
      </c>
      <c r="I1747" s="46" t="n">
        <v>6</v>
      </c>
      <c r="J1747" s="44" t="n">
        <v>7.1585</v>
      </c>
      <c r="K1747" s="43" t="inlineStr">
        <is>
          <t>Received</t>
        </is>
      </c>
      <c r="L1747" s="17">
        <f>INDEX(Items!$C$2:$C$117,MATCH(B1747,Items!$A$2:$A$117,0))</f>
        <v/>
      </c>
      <c r="M1747" s="49">
        <f>INDEX(Items!$E$2:$E$117,MATCH(B1747,Items!$A$2:$A$117,0))</f>
        <v/>
      </c>
      <c r="N1747" s="17">
        <f>TEXT(D1747,"yyyy-mm")</f>
        <v/>
      </c>
      <c r="O1747" s="50">
        <f>G1747*J1747</f>
        <v/>
      </c>
      <c r="P1747" s="50">
        <f>(J1747-M1747)*G1747</f>
        <v/>
      </c>
      <c r="Q1747" s="51">
        <f>IF(K1747="Received",1,0)</f>
        <v/>
      </c>
      <c r="R1747" s="51">
        <f>IF(Q1747=1,F1747-D1747,0)</f>
        <v/>
      </c>
      <c r="S1747" s="51">
        <f>IF(Q1747=1,IF(F1747&lt;=E1747,1,0),0)</f>
        <v/>
      </c>
      <c r="T1747" s="51">
        <f>IF(Q1747=1,IF(H1747&gt;=G1747,1,0),0)</f>
        <v/>
      </c>
      <c r="U1747" s="51">
        <f>S1747*T1747</f>
        <v/>
      </c>
      <c r="V1747" s="51">
        <f>IF(Q1747=1,MAX(0,F1747-E1747),0)</f>
        <v/>
      </c>
    </row>
    <row r="1748">
      <c r="A1748" s="43" t="inlineStr">
        <is>
          <t>PO100564</t>
        </is>
      </c>
      <c r="B1748" s="43" t="inlineStr">
        <is>
          <t>CMD-0025</t>
        </is>
      </c>
      <c r="C1748" s="43" t="inlineStr">
        <is>
          <t>S02</t>
        </is>
      </c>
      <c r="D1748" s="47" t="n">
        <v>46195</v>
      </c>
      <c r="E1748" s="47" t="n">
        <v>46251</v>
      </c>
      <c r="F1748" s="47" t="n">
        <v>46250</v>
      </c>
      <c r="G1748" s="46" t="n">
        <v>1017</v>
      </c>
      <c r="H1748" s="46" t="n">
        <v>1017</v>
      </c>
      <c r="I1748" s="46" t="n">
        <v>4</v>
      </c>
      <c r="J1748" s="44" t="n">
        <v>10.8356</v>
      </c>
      <c r="K1748" s="43" t="inlineStr">
        <is>
          <t>Received</t>
        </is>
      </c>
      <c r="L1748" s="17">
        <f>INDEX(Items!$C$2:$C$117,MATCH(B1748,Items!$A$2:$A$117,0))</f>
        <v/>
      </c>
      <c r="M1748" s="49">
        <f>INDEX(Items!$E$2:$E$117,MATCH(B1748,Items!$A$2:$A$117,0))</f>
        <v/>
      </c>
      <c r="N1748" s="17">
        <f>TEXT(D1748,"yyyy-mm")</f>
        <v/>
      </c>
      <c r="O1748" s="50">
        <f>G1748*J1748</f>
        <v/>
      </c>
      <c r="P1748" s="50">
        <f>(J1748-M1748)*G1748</f>
        <v/>
      </c>
      <c r="Q1748" s="51">
        <f>IF(K1748="Received",1,0)</f>
        <v/>
      </c>
      <c r="R1748" s="51">
        <f>IF(Q1748=1,F1748-D1748,0)</f>
        <v/>
      </c>
      <c r="S1748" s="51">
        <f>IF(Q1748=1,IF(F1748&lt;=E1748,1,0),0)</f>
        <v/>
      </c>
      <c r="T1748" s="51">
        <f>IF(Q1748=1,IF(H1748&gt;=G1748,1,0),0)</f>
        <v/>
      </c>
      <c r="U1748" s="51">
        <f>S1748*T1748</f>
        <v/>
      </c>
      <c r="V1748" s="51">
        <f>IF(Q1748=1,MAX(0,F1748-E1748),0)</f>
        <v/>
      </c>
    </row>
    <row r="1749">
      <c r="A1749" s="43" t="inlineStr">
        <is>
          <t>PO101782</t>
        </is>
      </c>
      <c r="B1749" s="43" t="inlineStr">
        <is>
          <t>CMD-0096</t>
        </is>
      </c>
      <c r="C1749" s="43" t="inlineStr">
        <is>
          <t>S09</t>
        </is>
      </c>
      <c r="D1749" s="47" t="n">
        <v>46195</v>
      </c>
      <c r="E1749" s="47" t="n">
        <v>46216</v>
      </c>
      <c r="F1749" s="47" t="n">
        <v>46215</v>
      </c>
      <c r="G1749" s="46" t="n">
        <v>874</v>
      </c>
      <c r="H1749" s="46" t="n">
        <v>874</v>
      </c>
      <c r="I1749" s="46" t="n">
        <v>2</v>
      </c>
      <c r="J1749" s="44" t="n">
        <v>6.6126</v>
      </c>
      <c r="K1749" s="43" t="inlineStr">
        <is>
          <t>Received</t>
        </is>
      </c>
      <c r="L1749" s="17">
        <f>INDEX(Items!$C$2:$C$117,MATCH(B1749,Items!$A$2:$A$117,0))</f>
        <v/>
      </c>
      <c r="M1749" s="49">
        <f>INDEX(Items!$E$2:$E$117,MATCH(B1749,Items!$A$2:$A$117,0))</f>
        <v/>
      </c>
      <c r="N1749" s="17">
        <f>TEXT(D1749,"yyyy-mm")</f>
        <v/>
      </c>
      <c r="O1749" s="50">
        <f>G1749*J1749</f>
        <v/>
      </c>
      <c r="P1749" s="50">
        <f>(J1749-M1749)*G1749</f>
        <v/>
      </c>
      <c r="Q1749" s="51">
        <f>IF(K1749="Received",1,0)</f>
        <v/>
      </c>
      <c r="R1749" s="51">
        <f>IF(Q1749=1,F1749-D1749,0)</f>
        <v/>
      </c>
      <c r="S1749" s="51">
        <f>IF(Q1749=1,IF(F1749&lt;=E1749,1,0),0)</f>
        <v/>
      </c>
      <c r="T1749" s="51">
        <f>IF(Q1749=1,IF(H1749&gt;=G1749,1,0),0)</f>
        <v/>
      </c>
      <c r="U1749" s="51">
        <f>S1749*T1749</f>
        <v/>
      </c>
      <c r="V1749" s="51">
        <f>IF(Q1749=1,MAX(0,F1749-E1749),0)</f>
        <v/>
      </c>
    </row>
    <row r="1750">
      <c r="A1750" s="43" t="inlineStr">
        <is>
          <t>PO101864</t>
        </is>
      </c>
      <c r="B1750" s="43" t="inlineStr">
        <is>
          <t>CMD-0101</t>
        </is>
      </c>
      <c r="C1750" s="43" t="inlineStr">
        <is>
          <t>S09</t>
        </is>
      </c>
      <c r="D1750" s="47" t="n">
        <v>46195</v>
      </c>
      <c r="E1750" s="47" t="n">
        <v>46216</v>
      </c>
      <c r="F1750" s="47" t="n">
        <v>46215</v>
      </c>
      <c r="G1750" s="46" t="n">
        <v>4459</v>
      </c>
      <c r="H1750" s="46" t="n">
        <v>4459</v>
      </c>
      <c r="I1750" s="46" t="n">
        <v>16</v>
      </c>
      <c r="J1750" s="44" t="n">
        <v>3.811</v>
      </c>
      <c r="K1750" s="43" t="inlineStr">
        <is>
          <t>Received</t>
        </is>
      </c>
      <c r="L1750" s="17">
        <f>INDEX(Items!$C$2:$C$117,MATCH(B1750,Items!$A$2:$A$117,0))</f>
        <v/>
      </c>
      <c r="M1750" s="49">
        <f>INDEX(Items!$E$2:$E$117,MATCH(B1750,Items!$A$2:$A$117,0))</f>
        <v/>
      </c>
      <c r="N1750" s="17">
        <f>TEXT(D1750,"yyyy-mm")</f>
        <v/>
      </c>
      <c r="O1750" s="50">
        <f>G1750*J1750</f>
        <v/>
      </c>
      <c r="P1750" s="50">
        <f>(J1750-M1750)*G1750</f>
        <v/>
      </c>
      <c r="Q1750" s="51">
        <f>IF(K1750="Received",1,0)</f>
        <v/>
      </c>
      <c r="R1750" s="51">
        <f>IF(Q1750=1,F1750-D1750,0)</f>
        <v/>
      </c>
      <c r="S1750" s="51">
        <f>IF(Q1750=1,IF(F1750&lt;=E1750,1,0),0)</f>
        <v/>
      </c>
      <c r="T1750" s="51">
        <f>IF(Q1750=1,IF(H1750&gt;=G1750,1,0),0)</f>
        <v/>
      </c>
      <c r="U1750" s="51">
        <f>S1750*T1750</f>
        <v/>
      </c>
      <c r="V1750" s="51">
        <f>IF(Q1750=1,MAX(0,F1750-E1750),0)</f>
        <v/>
      </c>
    </row>
    <row r="1751">
      <c r="A1751" s="43" t="inlineStr">
        <is>
          <t>PO101801</t>
        </is>
      </c>
      <c r="B1751" s="43" t="inlineStr">
        <is>
          <t>CMD-0097</t>
        </is>
      </c>
      <c r="C1751" s="43" t="inlineStr">
        <is>
          <t>S09</t>
        </is>
      </c>
      <c r="D1751" s="47" t="n">
        <v>46196</v>
      </c>
      <c r="E1751" s="47" t="n">
        <v>46217</v>
      </c>
      <c r="F1751" s="47" t="n">
        <v>46216</v>
      </c>
      <c r="G1751" s="46" t="n">
        <v>571</v>
      </c>
      <c r="H1751" s="46" t="n">
        <v>571</v>
      </c>
      <c r="I1751" s="46" t="n">
        <v>4</v>
      </c>
      <c r="J1751" s="44" t="n">
        <v>9.5481</v>
      </c>
      <c r="K1751" s="43" t="inlineStr">
        <is>
          <t>Received</t>
        </is>
      </c>
      <c r="L1751" s="17">
        <f>INDEX(Items!$C$2:$C$117,MATCH(B1751,Items!$A$2:$A$117,0))</f>
        <v/>
      </c>
      <c r="M1751" s="49">
        <f>INDEX(Items!$E$2:$E$117,MATCH(B1751,Items!$A$2:$A$117,0))</f>
        <v/>
      </c>
      <c r="N1751" s="17">
        <f>TEXT(D1751,"yyyy-mm")</f>
        <v/>
      </c>
      <c r="O1751" s="50">
        <f>G1751*J1751</f>
        <v/>
      </c>
      <c r="P1751" s="50">
        <f>(J1751-M1751)*G1751</f>
        <v/>
      </c>
      <c r="Q1751" s="51">
        <f>IF(K1751="Received",1,0)</f>
        <v/>
      </c>
      <c r="R1751" s="51">
        <f>IF(Q1751=1,F1751-D1751,0)</f>
        <v/>
      </c>
      <c r="S1751" s="51">
        <f>IF(Q1751=1,IF(F1751&lt;=E1751,1,0),0)</f>
        <v/>
      </c>
      <c r="T1751" s="51">
        <f>IF(Q1751=1,IF(H1751&gt;=G1751,1,0),0)</f>
        <v/>
      </c>
      <c r="U1751" s="51">
        <f>S1751*T1751</f>
        <v/>
      </c>
      <c r="V1751" s="51">
        <f>IF(Q1751=1,MAX(0,F1751-E1751),0)</f>
        <v/>
      </c>
    </row>
    <row r="1752">
      <c r="A1752" s="43" t="inlineStr">
        <is>
          <t>PO101615</t>
        </is>
      </c>
      <c r="B1752" s="43" t="inlineStr">
        <is>
          <t>CMD-0089</t>
        </is>
      </c>
      <c r="C1752" s="43" t="inlineStr">
        <is>
          <t>S01</t>
        </is>
      </c>
      <c r="D1752" s="47" t="n">
        <v>46197</v>
      </c>
      <c r="E1752" s="47" t="n">
        <v>46211</v>
      </c>
      <c r="F1752" s="47" t="n">
        <v>46211</v>
      </c>
      <c r="G1752" s="46" t="n">
        <v>580</v>
      </c>
      <c r="H1752" s="46" t="n">
        <v>580</v>
      </c>
      <c r="I1752" s="46" t="n">
        <v>3</v>
      </c>
      <c r="J1752" s="44" t="n">
        <v>9.774699999999999</v>
      </c>
      <c r="K1752" s="43" t="inlineStr">
        <is>
          <t>Received</t>
        </is>
      </c>
      <c r="L1752" s="17">
        <f>INDEX(Items!$C$2:$C$117,MATCH(B1752,Items!$A$2:$A$117,0))</f>
        <v/>
      </c>
      <c r="M1752" s="49">
        <f>INDEX(Items!$E$2:$E$117,MATCH(B1752,Items!$A$2:$A$117,0))</f>
        <v/>
      </c>
      <c r="N1752" s="17">
        <f>TEXT(D1752,"yyyy-mm")</f>
        <v/>
      </c>
      <c r="O1752" s="50">
        <f>G1752*J1752</f>
        <v/>
      </c>
      <c r="P1752" s="50">
        <f>(J1752-M1752)*G1752</f>
        <v/>
      </c>
      <c r="Q1752" s="51">
        <f>IF(K1752="Received",1,0)</f>
        <v/>
      </c>
      <c r="R1752" s="51">
        <f>IF(Q1752=1,F1752-D1752,0)</f>
        <v/>
      </c>
      <c r="S1752" s="51">
        <f>IF(Q1752=1,IF(F1752&lt;=E1752,1,0),0)</f>
        <v/>
      </c>
      <c r="T1752" s="51">
        <f>IF(Q1752=1,IF(H1752&gt;=G1752,1,0),0)</f>
        <v/>
      </c>
      <c r="U1752" s="51">
        <f>S1752*T1752</f>
        <v/>
      </c>
      <c r="V1752" s="51">
        <f>IF(Q1752=1,MAX(0,F1752-E1752),0)</f>
        <v/>
      </c>
    </row>
    <row r="1753">
      <c r="A1753" s="43" t="inlineStr">
        <is>
          <t>PO100703</t>
        </is>
      </c>
      <c r="B1753" s="43" t="inlineStr">
        <is>
          <t>CMD-0031</t>
        </is>
      </c>
      <c r="C1753" s="43" t="inlineStr">
        <is>
          <t>S01</t>
        </is>
      </c>
      <c r="D1753" s="47" t="n">
        <v>46197</v>
      </c>
      <c r="E1753" s="47" t="n">
        <v>46225</v>
      </c>
      <c r="F1753" s="47" t="n">
        <v>46222</v>
      </c>
      <c r="G1753" s="46" t="n">
        <v>533</v>
      </c>
      <c r="H1753" s="46" t="n">
        <v>533</v>
      </c>
      <c r="I1753" s="46" t="n">
        <v>1</v>
      </c>
      <c r="J1753" s="44" t="n">
        <v>9.980700000000001</v>
      </c>
      <c r="K1753" s="43" t="inlineStr">
        <is>
          <t>Received</t>
        </is>
      </c>
      <c r="L1753" s="17">
        <f>INDEX(Items!$C$2:$C$117,MATCH(B1753,Items!$A$2:$A$117,0))</f>
        <v/>
      </c>
      <c r="M1753" s="49">
        <f>INDEX(Items!$E$2:$E$117,MATCH(B1753,Items!$A$2:$A$117,0))</f>
        <v/>
      </c>
      <c r="N1753" s="17">
        <f>TEXT(D1753,"yyyy-mm")</f>
        <v/>
      </c>
      <c r="O1753" s="50">
        <f>G1753*J1753</f>
        <v/>
      </c>
      <c r="P1753" s="50">
        <f>(J1753-M1753)*G1753</f>
        <v/>
      </c>
      <c r="Q1753" s="51">
        <f>IF(K1753="Received",1,0)</f>
        <v/>
      </c>
      <c r="R1753" s="51">
        <f>IF(Q1753=1,F1753-D1753,0)</f>
        <v/>
      </c>
      <c r="S1753" s="51">
        <f>IF(Q1753=1,IF(F1753&lt;=E1753,1,0),0)</f>
        <v/>
      </c>
      <c r="T1753" s="51">
        <f>IF(Q1753=1,IF(H1753&gt;=G1753,1,0),0)</f>
        <v/>
      </c>
      <c r="U1753" s="51">
        <f>S1753*T1753</f>
        <v/>
      </c>
      <c r="V1753" s="51">
        <f>IF(Q1753=1,MAX(0,F1753-E1753),0)</f>
        <v/>
      </c>
    </row>
    <row r="1754">
      <c r="A1754" s="43" t="inlineStr">
        <is>
          <t>PO101381</t>
        </is>
      </c>
      <c r="B1754" s="43" t="inlineStr">
        <is>
          <t>CMD-0070</t>
        </is>
      </c>
      <c r="C1754" s="43" t="inlineStr">
        <is>
          <t>S04</t>
        </is>
      </c>
      <c r="D1754" s="47" t="n">
        <v>46201</v>
      </c>
      <c r="E1754" s="47" t="n">
        <v>46236</v>
      </c>
      <c r="F1754" s="47" t="n">
        <v>46233</v>
      </c>
      <c r="G1754" s="46" t="n">
        <v>43665</v>
      </c>
      <c r="H1754" s="46" t="n">
        <v>43665</v>
      </c>
      <c r="I1754" s="46" t="n">
        <v>419</v>
      </c>
      <c r="J1754" s="44" t="n">
        <v>0.1452</v>
      </c>
      <c r="K1754" s="43" t="inlineStr">
        <is>
          <t>Received</t>
        </is>
      </c>
      <c r="L1754" s="17">
        <f>INDEX(Items!$C$2:$C$117,MATCH(B1754,Items!$A$2:$A$117,0))</f>
        <v/>
      </c>
      <c r="M1754" s="49">
        <f>INDEX(Items!$E$2:$E$117,MATCH(B1754,Items!$A$2:$A$117,0))</f>
        <v/>
      </c>
      <c r="N1754" s="17">
        <f>TEXT(D1754,"yyyy-mm")</f>
        <v/>
      </c>
      <c r="O1754" s="50">
        <f>G1754*J1754</f>
        <v/>
      </c>
      <c r="P1754" s="50">
        <f>(J1754-M1754)*G1754</f>
        <v/>
      </c>
      <c r="Q1754" s="51">
        <f>IF(K1754="Received",1,0)</f>
        <v/>
      </c>
      <c r="R1754" s="51">
        <f>IF(Q1754=1,F1754-D1754,0)</f>
        <v/>
      </c>
      <c r="S1754" s="51">
        <f>IF(Q1754=1,IF(F1754&lt;=E1754,1,0),0)</f>
        <v/>
      </c>
      <c r="T1754" s="51">
        <f>IF(Q1754=1,IF(H1754&gt;=G1754,1,0),0)</f>
        <v/>
      </c>
      <c r="U1754" s="51">
        <f>S1754*T1754</f>
        <v/>
      </c>
      <c r="V1754" s="51">
        <f>IF(Q1754=1,MAX(0,F1754-E1754),0)</f>
        <v/>
      </c>
    </row>
    <row r="1755">
      <c r="A1755" s="43" t="inlineStr">
        <is>
          <t>PO100469</t>
        </is>
      </c>
      <c r="B1755" s="43" t="inlineStr">
        <is>
          <t>CMD-0021</t>
        </is>
      </c>
      <c r="C1755" s="43" t="inlineStr">
        <is>
          <t>S04</t>
        </is>
      </c>
      <c r="D1755" s="47" t="n">
        <v>46203</v>
      </c>
      <c r="E1755" s="47" t="n">
        <v>46273</v>
      </c>
      <c r="F1755" s="47" t="n">
        <v>46273</v>
      </c>
      <c r="G1755" s="46" t="n">
        <v>1361</v>
      </c>
      <c r="H1755" s="46" t="n">
        <v>1361</v>
      </c>
      <c r="I1755" s="46" t="n">
        <v>9</v>
      </c>
      <c r="J1755" s="44" t="n">
        <v>5.0882</v>
      </c>
      <c r="K1755" s="43" t="inlineStr">
        <is>
          <t>Received</t>
        </is>
      </c>
      <c r="L1755" s="17">
        <f>INDEX(Items!$C$2:$C$117,MATCH(B1755,Items!$A$2:$A$117,0))</f>
        <v/>
      </c>
      <c r="M1755" s="49">
        <f>INDEX(Items!$E$2:$E$117,MATCH(B1755,Items!$A$2:$A$117,0))</f>
        <v/>
      </c>
      <c r="N1755" s="17">
        <f>TEXT(D1755,"yyyy-mm")</f>
        <v/>
      </c>
      <c r="O1755" s="50">
        <f>G1755*J1755</f>
        <v/>
      </c>
      <c r="P1755" s="50">
        <f>(J1755-M1755)*G1755</f>
        <v/>
      </c>
      <c r="Q1755" s="51">
        <f>IF(K1755="Received",1,0)</f>
        <v/>
      </c>
      <c r="R1755" s="51">
        <f>IF(Q1755=1,F1755-D1755,0)</f>
        <v/>
      </c>
      <c r="S1755" s="51">
        <f>IF(Q1755=1,IF(F1755&lt;=E1755,1,0),0)</f>
        <v/>
      </c>
      <c r="T1755" s="51">
        <f>IF(Q1755=1,IF(H1755&gt;=G1755,1,0),0)</f>
        <v/>
      </c>
      <c r="U1755" s="51">
        <f>S1755*T1755</f>
        <v/>
      </c>
      <c r="V1755" s="51">
        <f>IF(Q1755=1,MAX(0,F1755-E1755),0)</f>
        <v/>
      </c>
    </row>
    <row r="1756">
      <c r="A1756" s="43" t="inlineStr">
        <is>
          <t>PO100898</t>
        </is>
      </c>
      <c r="B1756" s="43" t="inlineStr">
        <is>
          <t>CMD-0040</t>
        </is>
      </c>
      <c r="C1756" s="43" t="inlineStr">
        <is>
          <t>S07</t>
        </is>
      </c>
      <c r="D1756" s="47" t="n">
        <v>46204</v>
      </c>
      <c r="E1756" s="47" t="n">
        <v>46246</v>
      </c>
      <c r="F1756" s="47" t="n">
        <v>46255</v>
      </c>
      <c r="G1756" s="46" t="n">
        <v>837</v>
      </c>
      <c r="H1756" s="46" t="n">
        <v>837</v>
      </c>
      <c r="I1756" s="46" t="n">
        <v>7</v>
      </c>
      <c r="J1756" s="44" t="n">
        <v>9.2288</v>
      </c>
      <c r="K1756" s="43" t="inlineStr">
        <is>
          <t>Received</t>
        </is>
      </c>
      <c r="L1756" s="17">
        <f>INDEX(Items!$C$2:$C$117,MATCH(B1756,Items!$A$2:$A$117,0))</f>
        <v/>
      </c>
      <c r="M1756" s="49">
        <f>INDEX(Items!$E$2:$E$117,MATCH(B1756,Items!$A$2:$A$117,0))</f>
        <v/>
      </c>
      <c r="N1756" s="17">
        <f>TEXT(D1756,"yyyy-mm")</f>
        <v/>
      </c>
      <c r="O1756" s="50">
        <f>G1756*J1756</f>
        <v/>
      </c>
      <c r="P1756" s="50">
        <f>(J1756-M1756)*G1756</f>
        <v/>
      </c>
      <c r="Q1756" s="51">
        <f>IF(K1756="Received",1,0)</f>
        <v/>
      </c>
      <c r="R1756" s="51">
        <f>IF(Q1756=1,F1756-D1756,0)</f>
        <v/>
      </c>
      <c r="S1756" s="51">
        <f>IF(Q1756=1,IF(F1756&lt;=E1756,1,0),0)</f>
        <v/>
      </c>
      <c r="T1756" s="51">
        <f>IF(Q1756=1,IF(H1756&gt;=G1756,1,0),0)</f>
        <v/>
      </c>
      <c r="U1756" s="51">
        <f>S1756*T1756</f>
        <v/>
      </c>
      <c r="V1756" s="51">
        <f>IF(Q1756=1,MAX(0,F1756-E1756),0)</f>
        <v/>
      </c>
    </row>
    <row r="1757">
      <c r="A1757" s="43" t="inlineStr">
        <is>
          <t>PO100427</t>
        </is>
      </c>
      <c r="B1757" s="43" t="inlineStr">
        <is>
          <t>CMD-0019</t>
        </is>
      </c>
      <c r="C1757" s="43" t="inlineStr">
        <is>
          <t>S11</t>
        </is>
      </c>
      <c r="D1757" s="47" t="n">
        <v>46204</v>
      </c>
      <c r="E1757" s="47" t="n">
        <v>46281</v>
      </c>
      <c r="F1757" s="47" t="n">
        <v>46280</v>
      </c>
      <c r="G1757" s="46" t="n">
        <v>758</v>
      </c>
      <c r="H1757" s="46" t="n">
        <v>758</v>
      </c>
      <c r="I1757" s="46" t="n">
        <v>1</v>
      </c>
      <c r="J1757" s="44" t="n">
        <v>7.4675</v>
      </c>
      <c r="K1757" s="43" t="inlineStr">
        <is>
          <t>Received</t>
        </is>
      </c>
      <c r="L1757" s="17">
        <f>INDEX(Items!$C$2:$C$117,MATCH(B1757,Items!$A$2:$A$117,0))</f>
        <v/>
      </c>
      <c r="M1757" s="49">
        <f>INDEX(Items!$E$2:$E$117,MATCH(B1757,Items!$A$2:$A$117,0))</f>
        <v/>
      </c>
      <c r="N1757" s="17">
        <f>TEXT(D1757,"yyyy-mm")</f>
        <v/>
      </c>
      <c r="O1757" s="50">
        <f>G1757*J1757</f>
        <v/>
      </c>
      <c r="P1757" s="50">
        <f>(J1757-M1757)*G1757</f>
        <v/>
      </c>
      <c r="Q1757" s="51">
        <f>IF(K1757="Received",1,0)</f>
        <v/>
      </c>
      <c r="R1757" s="51">
        <f>IF(Q1757=1,F1757-D1757,0)</f>
        <v/>
      </c>
      <c r="S1757" s="51">
        <f>IF(Q1757=1,IF(F1757&lt;=E1757,1,0),0)</f>
        <v/>
      </c>
      <c r="T1757" s="51">
        <f>IF(Q1757=1,IF(H1757&gt;=G1757,1,0),0)</f>
        <v/>
      </c>
      <c r="U1757" s="51">
        <f>S1757*T1757</f>
        <v/>
      </c>
      <c r="V1757" s="51">
        <f>IF(Q1757=1,MAX(0,F1757-E1757),0)</f>
        <v/>
      </c>
    </row>
    <row r="1758">
      <c r="A1758" s="43" t="inlineStr">
        <is>
          <t>PO101812</t>
        </is>
      </c>
      <c r="B1758" s="43" t="inlineStr">
        <is>
          <t>CMD-0098</t>
        </is>
      </c>
      <c r="C1758" s="43" t="inlineStr">
        <is>
          <t>S09</t>
        </is>
      </c>
      <c r="D1758" s="47" t="n">
        <v>46205</v>
      </c>
      <c r="E1758" s="47" t="n">
        <v>46226</v>
      </c>
      <c r="F1758" s="47" t="n">
        <v>46223</v>
      </c>
      <c r="G1758" s="46" t="n">
        <v>781</v>
      </c>
      <c r="H1758" s="46" t="n">
        <v>781</v>
      </c>
      <c r="I1758" s="46" t="n">
        <v>2</v>
      </c>
      <c r="J1758" s="44" t="n">
        <v>7.416</v>
      </c>
      <c r="K1758" s="43" t="inlineStr">
        <is>
          <t>Received</t>
        </is>
      </c>
      <c r="L1758" s="17">
        <f>INDEX(Items!$C$2:$C$117,MATCH(B1758,Items!$A$2:$A$117,0))</f>
        <v/>
      </c>
      <c r="M1758" s="49">
        <f>INDEX(Items!$E$2:$E$117,MATCH(B1758,Items!$A$2:$A$117,0))</f>
        <v/>
      </c>
      <c r="N1758" s="17">
        <f>TEXT(D1758,"yyyy-mm")</f>
        <v/>
      </c>
      <c r="O1758" s="50">
        <f>G1758*J1758</f>
        <v/>
      </c>
      <c r="P1758" s="50">
        <f>(J1758-M1758)*G1758</f>
        <v/>
      </c>
      <c r="Q1758" s="51">
        <f>IF(K1758="Received",1,0)</f>
        <v/>
      </c>
      <c r="R1758" s="51">
        <f>IF(Q1758=1,F1758-D1758,0)</f>
        <v/>
      </c>
      <c r="S1758" s="51">
        <f>IF(Q1758=1,IF(F1758&lt;=E1758,1,0),0)</f>
        <v/>
      </c>
      <c r="T1758" s="51">
        <f>IF(Q1758=1,IF(H1758&gt;=G1758,1,0),0)</f>
        <v/>
      </c>
      <c r="U1758" s="51">
        <f>S1758*T1758</f>
        <v/>
      </c>
      <c r="V1758" s="51">
        <f>IF(Q1758=1,MAX(0,F1758-E1758),0)</f>
        <v/>
      </c>
    </row>
    <row r="1759">
      <c r="A1759" s="43" t="inlineStr">
        <is>
          <t>PO100908</t>
        </is>
      </c>
      <c r="B1759" s="43" t="inlineStr">
        <is>
          <t>CMD-0041</t>
        </is>
      </c>
      <c r="C1759" s="43" t="inlineStr">
        <is>
          <t>S05</t>
        </is>
      </c>
      <c r="D1759" s="47" t="n">
        <v>46207</v>
      </c>
      <c r="E1759" s="47" t="n">
        <v>46312</v>
      </c>
      <c r="F1759" s="47" t="n"/>
      <c r="G1759" s="46" t="n">
        <v>1137</v>
      </c>
      <c r="H1759" s="46" t="n">
        <v>0</v>
      </c>
      <c r="I1759" s="46" t="n">
        <v>0</v>
      </c>
      <c r="J1759" s="44" t="n">
        <v>5.7989</v>
      </c>
      <c r="K1759" s="43" t="inlineStr">
        <is>
          <t>Open</t>
        </is>
      </c>
      <c r="L1759" s="17">
        <f>INDEX(Items!$C$2:$C$117,MATCH(B1759,Items!$A$2:$A$117,0))</f>
        <v/>
      </c>
      <c r="M1759" s="49">
        <f>INDEX(Items!$E$2:$E$117,MATCH(B1759,Items!$A$2:$A$117,0))</f>
        <v/>
      </c>
      <c r="N1759" s="17">
        <f>TEXT(D1759,"yyyy-mm")</f>
        <v/>
      </c>
      <c r="O1759" s="50">
        <f>G1759*J1759</f>
        <v/>
      </c>
      <c r="P1759" s="50">
        <f>(J1759-M1759)*G1759</f>
        <v/>
      </c>
      <c r="Q1759" s="51">
        <f>IF(K1759="Received",1,0)</f>
        <v/>
      </c>
      <c r="R1759" s="51">
        <f>IF(Q1759=1,F1759-D1759,0)</f>
        <v/>
      </c>
      <c r="S1759" s="51">
        <f>IF(Q1759=1,IF(F1759&lt;=E1759,1,0),0)</f>
        <v/>
      </c>
      <c r="T1759" s="51">
        <f>IF(Q1759=1,IF(H1759&gt;=G1759,1,0),0)</f>
        <v/>
      </c>
      <c r="U1759" s="51">
        <f>S1759*T1759</f>
        <v/>
      </c>
      <c r="V1759" s="51">
        <f>IF(Q1759=1,MAX(0,F1759-E1759),0)</f>
        <v/>
      </c>
    </row>
    <row r="1760">
      <c r="A1760" s="43" t="inlineStr">
        <is>
          <t>PO101359</t>
        </is>
      </c>
      <c r="B1760" s="43" t="inlineStr">
        <is>
          <t>CMD-0068</t>
        </is>
      </c>
      <c r="C1760" s="43" t="inlineStr">
        <is>
          <t>S01</t>
        </is>
      </c>
      <c r="D1760" s="47" t="n">
        <v>46210</v>
      </c>
      <c r="E1760" s="47" t="n">
        <v>46231</v>
      </c>
      <c r="F1760" s="47" t="n">
        <v>46231</v>
      </c>
      <c r="G1760" s="46" t="n">
        <v>38226</v>
      </c>
      <c r="H1760" s="46" t="n">
        <v>38226</v>
      </c>
      <c r="I1760" s="46" t="n">
        <v>77</v>
      </c>
      <c r="J1760" s="44" t="n">
        <v>0.1609</v>
      </c>
      <c r="K1760" s="43" t="inlineStr">
        <is>
          <t>Received</t>
        </is>
      </c>
      <c r="L1760" s="17">
        <f>INDEX(Items!$C$2:$C$117,MATCH(B1760,Items!$A$2:$A$117,0))</f>
        <v/>
      </c>
      <c r="M1760" s="49">
        <f>INDEX(Items!$E$2:$E$117,MATCH(B1760,Items!$A$2:$A$117,0))</f>
        <v/>
      </c>
      <c r="N1760" s="17">
        <f>TEXT(D1760,"yyyy-mm")</f>
        <v/>
      </c>
      <c r="O1760" s="50">
        <f>G1760*J1760</f>
        <v/>
      </c>
      <c r="P1760" s="50">
        <f>(J1760-M1760)*G1760</f>
        <v/>
      </c>
      <c r="Q1760" s="51">
        <f>IF(K1760="Received",1,0)</f>
        <v/>
      </c>
      <c r="R1760" s="51">
        <f>IF(Q1760=1,F1760-D1760,0)</f>
        <v/>
      </c>
      <c r="S1760" s="51">
        <f>IF(Q1760=1,IF(F1760&lt;=E1760,1,0),0)</f>
        <v/>
      </c>
      <c r="T1760" s="51">
        <f>IF(Q1760=1,IF(H1760&gt;=G1760,1,0),0)</f>
        <v/>
      </c>
      <c r="U1760" s="51">
        <f>S1760*T1760</f>
        <v/>
      </c>
      <c r="V1760" s="51">
        <f>IF(Q1760=1,MAX(0,F1760-E1760),0)</f>
        <v/>
      </c>
    </row>
    <row r="1761">
      <c r="A1761" s="43" t="inlineStr">
        <is>
          <t>PO102014</t>
        </is>
      </c>
      <c r="B1761" s="43" t="inlineStr">
        <is>
          <t>CMD-0114</t>
        </is>
      </c>
      <c r="C1761" s="43" t="inlineStr">
        <is>
          <t>S12</t>
        </is>
      </c>
      <c r="D1761" s="47" t="n">
        <v>46217</v>
      </c>
      <c r="E1761" s="47" t="n">
        <v>46224</v>
      </c>
      <c r="F1761" s="47" t="n">
        <v>46224</v>
      </c>
      <c r="G1761" s="46" t="n">
        <v>15210</v>
      </c>
      <c r="H1761" s="46" t="n">
        <v>15210</v>
      </c>
      <c r="I1761" s="46" t="n">
        <v>13</v>
      </c>
      <c r="J1761" s="44" t="n">
        <v>0.3534</v>
      </c>
      <c r="K1761" s="43" t="inlineStr">
        <is>
          <t>Received</t>
        </is>
      </c>
      <c r="L1761" s="17">
        <f>INDEX(Items!$C$2:$C$117,MATCH(B1761,Items!$A$2:$A$117,0))</f>
        <v/>
      </c>
      <c r="M1761" s="49">
        <f>INDEX(Items!$E$2:$E$117,MATCH(B1761,Items!$A$2:$A$117,0))</f>
        <v/>
      </c>
      <c r="N1761" s="17">
        <f>TEXT(D1761,"yyyy-mm")</f>
        <v/>
      </c>
      <c r="O1761" s="50">
        <f>G1761*J1761</f>
        <v/>
      </c>
      <c r="P1761" s="50">
        <f>(J1761-M1761)*G1761</f>
        <v/>
      </c>
      <c r="Q1761" s="51">
        <f>IF(K1761="Received",1,0)</f>
        <v/>
      </c>
      <c r="R1761" s="51">
        <f>IF(Q1761=1,F1761-D1761,0)</f>
        <v/>
      </c>
      <c r="S1761" s="51">
        <f>IF(Q1761=1,IF(F1761&lt;=E1761,1,0),0)</f>
        <v/>
      </c>
      <c r="T1761" s="51">
        <f>IF(Q1761=1,IF(H1761&gt;=G1761,1,0),0)</f>
        <v/>
      </c>
      <c r="U1761" s="51">
        <f>S1761*T1761</f>
        <v/>
      </c>
      <c r="V1761" s="51">
        <f>IF(Q1761=1,MAX(0,F1761-E1761),0)</f>
        <v/>
      </c>
    </row>
    <row r="1762">
      <c r="A1762" s="43" t="inlineStr">
        <is>
          <t>PO101639</t>
        </is>
      </c>
      <c r="B1762" s="43" t="inlineStr">
        <is>
          <t>CMD-0090</t>
        </is>
      </c>
      <c r="C1762" s="43" t="inlineStr">
        <is>
          <t>S01</t>
        </is>
      </c>
      <c r="D1762" s="47" t="n">
        <v>46218</v>
      </c>
      <c r="E1762" s="47" t="n">
        <v>46232</v>
      </c>
      <c r="F1762" s="47" t="n">
        <v>46229</v>
      </c>
      <c r="G1762" s="46" t="n">
        <v>4687</v>
      </c>
      <c r="H1762" s="46" t="n">
        <v>4687</v>
      </c>
      <c r="I1762" s="46" t="n">
        <v>12</v>
      </c>
      <c r="J1762" s="44" t="n">
        <v>7.1997</v>
      </c>
      <c r="K1762" s="43" t="inlineStr">
        <is>
          <t>Received</t>
        </is>
      </c>
      <c r="L1762" s="17">
        <f>INDEX(Items!$C$2:$C$117,MATCH(B1762,Items!$A$2:$A$117,0))</f>
        <v/>
      </c>
      <c r="M1762" s="49">
        <f>INDEX(Items!$E$2:$E$117,MATCH(B1762,Items!$A$2:$A$117,0))</f>
        <v/>
      </c>
      <c r="N1762" s="17">
        <f>TEXT(D1762,"yyyy-mm")</f>
        <v/>
      </c>
      <c r="O1762" s="50">
        <f>G1762*J1762</f>
        <v/>
      </c>
      <c r="P1762" s="50">
        <f>(J1762-M1762)*G1762</f>
        <v/>
      </c>
      <c r="Q1762" s="51">
        <f>IF(K1762="Received",1,0)</f>
        <v/>
      </c>
      <c r="R1762" s="51">
        <f>IF(Q1762=1,F1762-D1762,0)</f>
        <v/>
      </c>
      <c r="S1762" s="51">
        <f>IF(Q1762=1,IF(F1762&lt;=E1762,1,0),0)</f>
        <v/>
      </c>
      <c r="T1762" s="51">
        <f>IF(Q1762=1,IF(H1762&gt;=G1762,1,0),0)</f>
        <v/>
      </c>
      <c r="U1762" s="51">
        <f>S1762*T1762</f>
        <v/>
      </c>
      <c r="V1762" s="51">
        <f>IF(Q1762=1,MAX(0,F1762-E1762),0)</f>
        <v/>
      </c>
    </row>
    <row r="1763">
      <c r="A1763" s="43" t="inlineStr">
        <is>
          <t>PO100517</t>
        </is>
      </c>
      <c r="B1763" s="43" t="inlineStr">
        <is>
          <t>CMD-0023</t>
        </is>
      </c>
      <c r="C1763" s="43" t="inlineStr">
        <is>
          <t>S04</t>
        </is>
      </c>
      <c r="D1763" s="47" t="n">
        <v>46218</v>
      </c>
      <c r="E1763" s="47" t="n">
        <v>46288</v>
      </c>
      <c r="F1763" s="47" t="n">
        <v>46287</v>
      </c>
      <c r="G1763" s="46" t="n">
        <v>3796</v>
      </c>
      <c r="H1763" s="46" t="n">
        <v>3796</v>
      </c>
      <c r="I1763" s="46" t="n">
        <v>34</v>
      </c>
      <c r="J1763" s="44" t="n">
        <v>9.064</v>
      </c>
      <c r="K1763" s="43" t="inlineStr">
        <is>
          <t>Received</t>
        </is>
      </c>
      <c r="L1763" s="17">
        <f>INDEX(Items!$C$2:$C$117,MATCH(B1763,Items!$A$2:$A$117,0))</f>
        <v/>
      </c>
      <c r="M1763" s="49">
        <f>INDEX(Items!$E$2:$E$117,MATCH(B1763,Items!$A$2:$A$117,0))</f>
        <v/>
      </c>
      <c r="N1763" s="17">
        <f>TEXT(D1763,"yyyy-mm")</f>
        <v/>
      </c>
      <c r="O1763" s="50">
        <f>G1763*J1763</f>
        <v/>
      </c>
      <c r="P1763" s="50">
        <f>(J1763-M1763)*G1763</f>
        <v/>
      </c>
      <c r="Q1763" s="51">
        <f>IF(K1763="Received",1,0)</f>
        <v/>
      </c>
      <c r="R1763" s="51">
        <f>IF(Q1763=1,F1763-D1763,0)</f>
        <v/>
      </c>
      <c r="S1763" s="51">
        <f>IF(Q1763=1,IF(F1763&lt;=E1763,1,0),0)</f>
        <v/>
      </c>
      <c r="T1763" s="51">
        <f>IF(Q1763=1,IF(H1763&gt;=G1763,1,0),0)</f>
        <v/>
      </c>
      <c r="U1763" s="51">
        <f>S1763*T1763</f>
        <v/>
      </c>
      <c r="V1763" s="51">
        <f>IF(Q1763=1,MAX(0,F1763-E1763),0)</f>
        <v/>
      </c>
    </row>
    <row r="1764">
      <c r="A1764" s="43" t="inlineStr">
        <is>
          <t>PO100189</t>
        </is>
      </c>
      <c r="B1764" s="43" t="inlineStr">
        <is>
          <t>CMD-0008</t>
        </is>
      </c>
      <c r="C1764" s="43" t="inlineStr">
        <is>
          <t>S03</t>
        </is>
      </c>
      <c r="D1764" s="47" t="n">
        <v>46218</v>
      </c>
      <c r="E1764" s="47" t="n">
        <v>46351</v>
      </c>
      <c r="F1764" s="47" t="n"/>
      <c r="G1764" s="46" t="n">
        <v>1551</v>
      </c>
      <c r="H1764" s="46" t="n">
        <v>0</v>
      </c>
      <c r="I1764" s="46" t="n">
        <v>0</v>
      </c>
      <c r="J1764" s="44" t="n">
        <v>27.9188</v>
      </c>
      <c r="K1764" s="43" t="inlineStr">
        <is>
          <t>Open</t>
        </is>
      </c>
      <c r="L1764" s="17">
        <f>INDEX(Items!$C$2:$C$117,MATCH(B1764,Items!$A$2:$A$117,0))</f>
        <v/>
      </c>
      <c r="M1764" s="49">
        <f>INDEX(Items!$E$2:$E$117,MATCH(B1764,Items!$A$2:$A$117,0))</f>
        <v/>
      </c>
      <c r="N1764" s="17">
        <f>TEXT(D1764,"yyyy-mm")</f>
        <v/>
      </c>
      <c r="O1764" s="50">
        <f>G1764*J1764</f>
        <v/>
      </c>
      <c r="P1764" s="50">
        <f>(J1764-M1764)*G1764</f>
        <v/>
      </c>
      <c r="Q1764" s="51">
        <f>IF(K1764="Received",1,0)</f>
        <v/>
      </c>
      <c r="R1764" s="51">
        <f>IF(Q1764=1,F1764-D1764,0)</f>
        <v/>
      </c>
      <c r="S1764" s="51">
        <f>IF(Q1764=1,IF(F1764&lt;=E1764,1,0),0)</f>
        <v/>
      </c>
      <c r="T1764" s="51">
        <f>IF(Q1764=1,IF(H1764&gt;=G1764,1,0),0)</f>
        <v/>
      </c>
      <c r="U1764" s="51">
        <f>S1764*T1764</f>
        <v/>
      </c>
      <c r="V1764" s="51">
        <f>IF(Q1764=1,MAX(0,F1764-E1764),0)</f>
        <v/>
      </c>
    </row>
    <row r="1765">
      <c r="A1765" s="43" t="inlineStr">
        <is>
          <t>PO101711</t>
        </is>
      </c>
      <c r="B1765" s="43" t="inlineStr">
        <is>
          <t>CMD-0093</t>
        </is>
      </c>
      <c r="C1765" s="43" t="inlineStr">
        <is>
          <t>S08</t>
        </is>
      </c>
      <c r="D1765" s="47" t="n">
        <v>46218</v>
      </c>
      <c r="E1765" s="47" t="n">
        <v>46295</v>
      </c>
      <c r="F1765" s="47" t="n"/>
      <c r="G1765" s="46" t="n">
        <v>555</v>
      </c>
      <c r="H1765" s="46" t="n">
        <v>0</v>
      </c>
      <c r="I1765" s="46" t="n">
        <v>0</v>
      </c>
      <c r="J1765" s="44" t="n">
        <v>61.1923</v>
      </c>
      <c r="K1765" s="43" t="inlineStr">
        <is>
          <t>Open</t>
        </is>
      </c>
      <c r="L1765" s="17">
        <f>INDEX(Items!$C$2:$C$117,MATCH(B1765,Items!$A$2:$A$117,0))</f>
        <v/>
      </c>
      <c r="M1765" s="49">
        <f>INDEX(Items!$E$2:$E$117,MATCH(B1765,Items!$A$2:$A$117,0))</f>
        <v/>
      </c>
      <c r="N1765" s="17">
        <f>TEXT(D1765,"yyyy-mm")</f>
        <v/>
      </c>
      <c r="O1765" s="50">
        <f>G1765*J1765</f>
        <v/>
      </c>
      <c r="P1765" s="50">
        <f>(J1765-M1765)*G1765</f>
        <v/>
      </c>
      <c r="Q1765" s="51">
        <f>IF(K1765="Received",1,0)</f>
        <v/>
      </c>
      <c r="R1765" s="51">
        <f>IF(Q1765=1,F1765-D1765,0)</f>
        <v/>
      </c>
      <c r="S1765" s="51">
        <f>IF(Q1765=1,IF(F1765&lt;=E1765,1,0),0)</f>
        <v/>
      </c>
      <c r="T1765" s="51">
        <f>IF(Q1765=1,IF(H1765&gt;=G1765,1,0),0)</f>
        <v/>
      </c>
      <c r="U1765" s="51">
        <f>S1765*T1765</f>
        <v/>
      </c>
      <c r="V1765" s="51">
        <f>IF(Q1765=1,MAX(0,F1765-E1765),0)</f>
        <v/>
      </c>
    </row>
    <row r="1766">
      <c r="A1766" s="43" t="inlineStr">
        <is>
          <t>PO101841</t>
        </is>
      </c>
      <c r="B1766" s="43" t="inlineStr">
        <is>
          <t>CMD-0100</t>
        </is>
      </c>
      <c r="C1766" s="43" t="inlineStr">
        <is>
          <t>S09</t>
        </is>
      </c>
      <c r="D1766" s="47" t="n">
        <v>46218</v>
      </c>
      <c r="E1766" s="47" t="n">
        <v>46239</v>
      </c>
      <c r="F1766" s="47" t="n">
        <v>46238</v>
      </c>
      <c r="G1766" s="46" t="n">
        <v>6931</v>
      </c>
      <c r="H1766" s="46" t="n">
        <v>6931</v>
      </c>
      <c r="I1766" s="46" t="n">
        <v>19</v>
      </c>
      <c r="J1766" s="44" t="n">
        <v>5.0882</v>
      </c>
      <c r="K1766" s="43" t="inlineStr">
        <is>
          <t>Received</t>
        </is>
      </c>
      <c r="L1766" s="17">
        <f>INDEX(Items!$C$2:$C$117,MATCH(B1766,Items!$A$2:$A$117,0))</f>
        <v/>
      </c>
      <c r="M1766" s="49">
        <f>INDEX(Items!$E$2:$E$117,MATCH(B1766,Items!$A$2:$A$117,0))</f>
        <v/>
      </c>
      <c r="N1766" s="17">
        <f>TEXT(D1766,"yyyy-mm")</f>
        <v/>
      </c>
      <c r="O1766" s="50">
        <f>G1766*J1766</f>
        <v/>
      </c>
      <c r="P1766" s="50">
        <f>(J1766-M1766)*G1766</f>
        <v/>
      </c>
      <c r="Q1766" s="51">
        <f>IF(K1766="Received",1,0)</f>
        <v/>
      </c>
      <c r="R1766" s="51">
        <f>IF(Q1766=1,F1766-D1766,0)</f>
        <v/>
      </c>
      <c r="S1766" s="51">
        <f>IF(Q1766=1,IF(F1766&lt;=E1766,1,0),0)</f>
        <v/>
      </c>
      <c r="T1766" s="51">
        <f>IF(Q1766=1,IF(H1766&gt;=G1766,1,0),0)</f>
        <v/>
      </c>
      <c r="U1766" s="51">
        <f>S1766*T1766</f>
        <v/>
      </c>
      <c r="V1766" s="51">
        <f>IF(Q1766=1,MAX(0,F1766-E1766),0)</f>
        <v/>
      </c>
    </row>
    <row r="1767">
      <c r="A1767" s="43" t="inlineStr">
        <is>
          <t>PO100815</t>
        </is>
      </c>
      <c r="B1767" s="43" t="inlineStr">
        <is>
          <t>CMD-0036</t>
        </is>
      </c>
      <c r="C1767" s="43" t="inlineStr">
        <is>
          <t>S04</t>
        </is>
      </c>
      <c r="D1767" s="47" t="n">
        <v>46219</v>
      </c>
      <c r="E1767" s="47" t="n">
        <v>46261</v>
      </c>
      <c r="F1767" s="47" t="n">
        <v>46260</v>
      </c>
      <c r="G1767" s="46" t="n">
        <v>411</v>
      </c>
      <c r="H1767" s="46" t="n">
        <v>275</v>
      </c>
      <c r="I1767" s="46" t="n">
        <v>0</v>
      </c>
      <c r="J1767" s="44" t="n">
        <v>12.7308</v>
      </c>
      <c r="K1767" s="43" t="inlineStr">
        <is>
          <t>Received</t>
        </is>
      </c>
      <c r="L1767" s="17">
        <f>INDEX(Items!$C$2:$C$117,MATCH(B1767,Items!$A$2:$A$117,0))</f>
        <v/>
      </c>
      <c r="M1767" s="49">
        <f>INDEX(Items!$E$2:$E$117,MATCH(B1767,Items!$A$2:$A$117,0))</f>
        <v/>
      </c>
      <c r="N1767" s="17">
        <f>TEXT(D1767,"yyyy-mm")</f>
        <v/>
      </c>
      <c r="O1767" s="50">
        <f>G1767*J1767</f>
        <v/>
      </c>
      <c r="P1767" s="50">
        <f>(J1767-M1767)*G1767</f>
        <v/>
      </c>
      <c r="Q1767" s="51">
        <f>IF(K1767="Received",1,0)</f>
        <v/>
      </c>
      <c r="R1767" s="51">
        <f>IF(Q1767=1,F1767-D1767,0)</f>
        <v/>
      </c>
      <c r="S1767" s="51">
        <f>IF(Q1767=1,IF(F1767&lt;=E1767,1,0),0)</f>
        <v/>
      </c>
      <c r="T1767" s="51">
        <f>IF(Q1767=1,IF(H1767&gt;=G1767,1,0),0)</f>
        <v/>
      </c>
      <c r="U1767" s="51">
        <f>S1767*T1767</f>
        <v/>
      </c>
      <c r="V1767" s="51">
        <f>IF(Q1767=1,MAX(0,F1767-E1767),0)</f>
        <v/>
      </c>
    </row>
    <row r="1768">
      <c r="A1768" s="43" t="inlineStr">
        <is>
          <t>PO101417</t>
        </is>
      </c>
      <c r="B1768" s="43" t="inlineStr">
        <is>
          <t>CMD-0074</t>
        </is>
      </c>
      <c r="C1768" s="43" t="inlineStr">
        <is>
          <t>S10</t>
        </is>
      </c>
      <c r="D1768" s="47" t="n">
        <v>46219</v>
      </c>
      <c r="E1768" s="47" t="n">
        <v>46247</v>
      </c>
      <c r="F1768" s="47" t="n">
        <v>46251</v>
      </c>
      <c r="G1768" s="46" t="n">
        <v>61135</v>
      </c>
      <c r="H1768" s="46" t="n">
        <v>61135</v>
      </c>
      <c r="I1768" s="46" t="n">
        <v>57</v>
      </c>
      <c r="J1768" s="44" t="n">
        <v>0.3601</v>
      </c>
      <c r="K1768" s="43" t="inlineStr">
        <is>
          <t>Received</t>
        </is>
      </c>
      <c r="L1768" s="17">
        <f>INDEX(Items!$C$2:$C$117,MATCH(B1768,Items!$A$2:$A$117,0))</f>
        <v/>
      </c>
      <c r="M1768" s="49">
        <f>INDEX(Items!$E$2:$E$117,MATCH(B1768,Items!$A$2:$A$117,0))</f>
        <v/>
      </c>
      <c r="N1768" s="17">
        <f>TEXT(D1768,"yyyy-mm")</f>
        <v/>
      </c>
      <c r="O1768" s="50">
        <f>G1768*J1768</f>
        <v/>
      </c>
      <c r="P1768" s="50">
        <f>(J1768-M1768)*G1768</f>
        <v/>
      </c>
      <c r="Q1768" s="51">
        <f>IF(K1768="Received",1,0)</f>
        <v/>
      </c>
      <c r="R1768" s="51">
        <f>IF(Q1768=1,F1768-D1768,0)</f>
        <v/>
      </c>
      <c r="S1768" s="51">
        <f>IF(Q1768=1,IF(F1768&lt;=E1768,1,0),0)</f>
        <v/>
      </c>
      <c r="T1768" s="51">
        <f>IF(Q1768=1,IF(H1768&gt;=G1768,1,0),0)</f>
        <v/>
      </c>
      <c r="U1768" s="51">
        <f>S1768*T1768</f>
        <v/>
      </c>
      <c r="V1768" s="51">
        <f>IF(Q1768=1,MAX(0,F1768-E1768),0)</f>
        <v/>
      </c>
    </row>
    <row r="1769">
      <c r="A1769" s="43" t="inlineStr">
        <is>
          <t>PO101553</t>
        </is>
      </c>
      <c r="B1769" s="43" t="inlineStr">
        <is>
          <t>CMD-0082</t>
        </is>
      </c>
      <c r="C1769" s="43" t="inlineStr">
        <is>
          <t>S01</t>
        </is>
      </c>
      <c r="D1769" s="47" t="n">
        <v>46219</v>
      </c>
      <c r="E1769" s="47" t="n">
        <v>46233</v>
      </c>
      <c r="F1769" s="47" t="n">
        <v>46230</v>
      </c>
      <c r="G1769" s="46" t="n">
        <v>7879</v>
      </c>
      <c r="H1769" s="46" t="n">
        <v>7879</v>
      </c>
      <c r="I1769" s="46" t="n">
        <v>12</v>
      </c>
      <c r="J1769" s="44" t="n">
        <v>2.3896</v>
      </c>
      <c r="K1769" s="43" t="inlineStr">
        <is>
          <t>Received</t>
        </is>
      </c>
      <c r="L1769" s="17">
        <f>INDEX(Items!$C$2:$C$117,MATCH(B1769,Items!$A$2:$A$117,0))</f>
        <v/>
      </c>
      <c r="M1769" s="49">
        <f>INDEX(Items!$E$2:$E$117,MATCH(B1769,Items!$A$2:$A$117,0))</f>
        <v/>
      </c>
      <c r="N1769" s="17">
        <f>TEXT(D1769,"yyyy-mm")</f>
        <v/>
      </c>
      <c r="O1769" s="50">
        <f>G1769*J1769</f>
        <v/>
      </c>
      <c r="P1769" s="50">
        <f>(J1769-M1769)*G1769</f>
        <v/>
      </c>
      <c r="Q1769" s="51">
        <f>IF(K1769="Received",1,0)</f>
        <v/>
      </c>
      <c r="R1769" s="51">
        <f>IF(Q1769=1,F1769-D1769,0)</f>
        <v/>
      </c>
      <c r="S1769" s="51">
        <f>IF(Q1769=1,IF(F1769&lt;=E1769,1,0),0)</f>
        <v/>
      </c>
      <c r="T1769" s="51">
        <f>IF(Q1769=1,IF(H1769&gt;=G1769,1,0),0)</f>
        <v/>
      </c>
      <c r="U1769" s="51">
        <f>S1769*T1769</f>
        <v/>
      </c>
      <c r="V1769" s="51">
        <f>IF(Q1769=1,MAX(0,F1769-E1769),0)</f>
        <v/>
      </c>
    </row>
    <row r="1770">
      <c r="A1770" s="43" t="inlineStr">
        <is>
          <t>PO101049</t>
        </is>
      </c>
      <c r="B1770" s="43" t="inlineStr">
        <is>
          <t>CMD-0047</t>
        </is>
      </c>
      <c r="C1770" s="43" t="inlineStr">
        <is>
          <t>S04</t>
        </is>
      </c>
      <c r="D1770" s="47" t="n">
        <v>46219</v>
      </c>
      <c r="E1770" s="47" t="n">
        <v>46254</v>
      </c>
      <c r="F1770" s="47" t="n">
        <v>46252</v>
      </c>
      <c r="G1770" s="46" t="n">
        <v>18190</v>
      </c>
      <c r="H1770" s="46" t="n">
        <v>18190</v>
      </c>
      <c r="I1770" s="46" t="n">
        <v>199</v>
      </c>
      <c r="J1770" s="44" t="n">
        <v>0.3049</v>
      </c>
      <c r="K1770" s="43" t="inlineStr">
        <is>
          <t>Received</t>
        </is>
      </c>
      <c r="L1770" s="17">
        <f>INDEX(Items!$C$2:$C$117,MATCH(B1770,Items!$A$2:$A$117,0))</f>
        <v/>
      </c>
      <c r="M1770" s="49">
        <f>INDEX(Items!$E$2:$E$117,MATCH(B1770,Items!$A$2:$A$117,0))</f>
        <v/>
      </c>
      <c r="N1770" s="17">
        <f>TEXT(D1770,"yyyy-mm")</f>
        <v/>
      </c>
      <c r="O1770" s="50">
        <f>G1770*J1770</f>
        <v/>
      </c>
      <c r="P1770" s="50">
        <f>(J1770-M1770)*G1770</f>
        <v/>
      </c>
      <c r="Q1770" s="51">
        <f>IF(K1770="Received",1,0)</f>
        <v/>
      </c>
      <c r="R1770" s="51">
        <f>IF(Q1770=1,F1770-D1770,0)</f>
        <v/>
      </c>
      <c r="S1770" s="51">
        <f>IF(Q1770=1,IF(F1770&lt;=E1770,1,0),0)</f>
        <v/>
      </c>
      <c r="T1770" s="51">
        <f>IF(Q1770=1,IF(H1770&gt;=G1770,1,0),0)</f>
        <v/>
      </c>
      <c r="U1770" s="51">
        <f>S1770*T1770</f>
        <v/>
      </c>
      <c r="V1770" s="51">
        <f>IF(Q1770=1,MAX(0,F1770-E1770),0)</f>
        <v/>
      </c>
    </row>
    <row r="1771">
      <c r="A1771" s="43" t="inlineStr">
        <is>
          <t>PO100409</t>
        </is>
      </c>
      <c r="B1771" s="43" t="inlineStr">
        <is>
          <t>CMD-0018</t>
        </is>
      </c>
      <c r="C1771" s="43" t="inlineStr">
        <is>
          <t>S02</t>
        </is>
      </c>
      <c r="D1771" s="47" t="n">
        <v>46219</v>
      </c>
      <c r="E1771" s="47" t="n">
        <v>46275</v>
      </c>
      <c r="F1771" s="47" t="n">
        <v>46275</v>
      </c>
      <c r="G1771" s="46" t="n">
        <v>7430</v>
      </c>
      <c r="H1771" s="46" t="n">
        <v>7430</v>
      </c>
      <c r="I1771" s="46" t="n">
        <v>31</v>
      </c>
      <c r="J1771" s="44" t="n">
        <v>39.0576</v>
      </c>
      <c r="K1771" s="43" t="inlineStr">
        <is>
          <t>Received</t>
        </is>
      </c>
      <c r="L1771" s="17">
        <f>INDEX(Items!$C$2:$C$117,MATCH(B1771,Items!$A$2:$A$117,0))</f>
        <v/>
      </c>
      <c r="M1771" s="49">
        <f>INDEX(Items!$E$2:$E$117,MATCH(B1771,Items!$A$2:$A$117,0))</f>
        <v/>
      </c>
      <c r="N1771" s="17">
        <f>TEXT(D1771,"yyyy-mm")</f>
        <v/>
      </c>
      <c r="O1771" s="50">
        <f>G1771*J1771</f>
        <v/>
      </c>
      <c r="P1771" s="50">
        <f>(J1771-M1771)*G1771</f>
        <v/>
      </c>
      <c r="Q1771" s="51">
        <f>IF(K1771="Received",1,0)</f>
        <v/>
      </c>
      <c r="R1771" s="51">
        <f>IF(Q1771=1,F1771-D1771,0)</f>
        <v/>
      </c>
      <c r="S1771" s="51">
        <f>IF(Q1771=1,IF(F1771&lt;=E1771,1,0),0)</f>
        <v/>
      </c>
      <c r="T1771" s="51">
        <f>IF(Q1771=1,IF(H1771&gt;=G1771,1,0),0)</f>
        <v/>
      </c>
      <c r="U1771" s="51">
        <f>S1771*T1771</f>
        <v/>
      </c>
      <c r="V1771" s="51">
        <f>IF(Q1771=1,MAX(0,F1771-E1771),0)</f>
        <v/>
      </c>
    </row>
    <row r="1772">
      <c r="A1772" s="43" t="inlineStr">
        <is>
          <t>PO100613</t>
        </is>
      </c>
      <c r="B1772" s="43" t="inlineStr">
        <is>
          <t>CMD-0027</t>
        </is>
      </c>
      <c r="C1772" s="43" t="inlineStr">
        <is>
          <t>S04</t>
        </is>
      </c>
      <c r="D1772" s="47" t="n">
        <v>46219</v>
      </c>
      <c r="E1772" s="47" t="n">
        <v>46289</v>
      </c>
      <c r="F1772" s="47" t="n">
        <v>46288</v>
      </c>
      <c r="G1772" s="46" t="n">
        <v>7257</v>
      </c>
      <c r="H1772" s="46" t="n">
        <v>7257</v>
      </c>
      <c r="I1772" s="46" t="n">
        <v>75</v>
      </c>
      <c r="J1772" s="44" t="n">
        <v>9.115500000000001</v>
      </c>
      <c r="K1772" s="43" t="inlineStr">
        <is>
          <t>Received</t>
        </is>
      </c>
      <c r="L1772" s="17">
        <f>INDEX(Items!$C$2:$C$117,MATCH(B1772,Items!$A$2:$A$117,0))</f>
        <v/>
      </c>
      <c r="M1772" s="49">
        <f>INDEX(Items!$E$2:$E$117,MATCH(B1772,Items!$A$2:$A$117,0))</f>
        <v/>
      </c>
      <c r="N1772" s="17">
        <f>TEXT(D1772,"yyyy-mm")</f>
        <v/>
      </c>
      <c r="O1772" s="50">
        <f>G1772*J1772</f>
        <v/>
      </c>
      <c r="P1772" s="50">
        <f>(J1772-M1772)*G1772</f>
        <v/>
      </c>
      <c r="Q1772" s="51">
        <f>IF(K1772="Received",1,0)</f>
        <v/>
      </c>
      <c r="R1772" s="51">
        <f>IF(Q1772=1,F1772-D1772,0)</f>
        <v/>
      </c>
      <c r="S1772" s="51">
        <f>IF(Q1772=1,IF(F1772&lt;=E1772,1,0),0)</f>
        <v/>
      </c>
      <c r="T1772" s="51">
        <f>IF(Q1772=1,IF(H1772&gt;=G1772,1,0),0)</f>
        <v/>
      </c>
      <c r="U1772" s="51">
        <f>S1772*T1772</f>
        <v/>
      </c>
      <c r="V1772" s="51">
        <f>IF(Q1772=1,MAX(0,F1772-E1772),0)</f>
        <v/>
      </c>
    </row>
    <row r="1773">
      <c r="A1773" s="43" t="inlineStr">
        <is>
          <t>PO101453</t>
        </is>
      </c>
      <c r="B1773" s="43" t="inlineStr">
        <is>
          <t>CMD-0077</t>
        </is>
      </c>
      <c r="C1773" s="43" t="inlineStr">
        <is>
          <t>S01</t>
        </is>
      </c>
      <c r="D1773" s="47" t="n">
        <v>46219</v>
      </c>
      <c r="E1773" s="47" t="n">
        <v>46233</v>
      </c>
      <c r="F1773" s="47" t="n">
        <v>46230</v>
      </c>
      <c r="G1773" s="46" t="n">
        <v>4337</v>
      </c>
      <c r="H1773" s="46" t="n">
        <v>3129</v>
      </c>
      <c r="I1773" s="46" t="n">
        <v>4</v>
      </c>
      <c r="J1773" s="44" t="n">
        <v>9.012499999999999</v>
      </c>
      <c r="K1773" s="43" t="inlineStr">
        <is>
          <t>Received</t>
        </is>
      </c>
      <c r="L1773" s="17">
        <f>INDEX(Items!$C$2:$C$117,MATCH(B1773,Items!$A$2:$A$117,0))</f>
        <v/>
      </c>
      <c r="M1773" s="49">
        <f>INDEX(Items!$E$2:$E$117,MATCH(B1773,Items!$A$2:$A$117,0))</f>
        <v/>
      </c>
      <c r="N1773" s="17">
        <f>TEXT(D1773,"yyyy-mm")</f>
        <v/>
      </c>
      <c r="O1773" s="50">
        <f>G1773*J1773</f>
        <v/>
      </c>
      <c r="P1773" s="50">
        <f>(J1773-M1773)*G1773</f>
        <v/>
      </c>
      <c r="Q1773" s="51">
        <f>IF(K1773="Received",1,0)</f>
        <v/>
      </c>
      <c r="R1773" s="51">
        <f>IF(Q1773=1,F1773-D1773,0)</f>
        <v/>
      </c>
      <c r="S1773" s="51">
        <f>IF(Q1773=1,IF(F1773&lt;=E1773,1,0),0)</f>
        <v/>
      </c>
      <c r="T1773" s="51">
        <f>IF(Q1773=1,IF(H1773&gt;=G1773,1,0),0)</f>
        <v/>
      </c>
      <c r="U1773" s="51">
        <f>S1773*T1773</f>
        <v/>
      </c>
      <c r="V1773" s="51">
        <f>IF(Q1773=1,MAX(0,F1773-E1773),0)</f>
        <v/>
      </c>
    </row>
    <row r="1774">
      <c r="A1774" s="43" t="inlineStr">
        <is>
          <t>PO101953</t>
        </is>
      </c>
      <c r="B1774" s="43" t="inlineStr">
        <is>
          <t>CMD-0107</t>
        </is>
      </c>
      <c r="C1774" s="43" t="inlineStr">
        <is>
          <t>S09</t>
        </is>
      </c>
      <c r="D1774" s="47" t="n">
        <v>46219</v>
      </c>
      <c r="E1774" s="47" t="n">
        <v>46240</v>
      </c>
      <c r="F1774" s="47" t="n">
        <v>46240</v>
      </c>
      <c r="G1774" s="46" t="n">
        <v>1086</v>
      </c>
      <c r="H1774" s="46" t="n">
        <v>1086</v>
      </c>
      <c r="I1774" s="46" t="n">
        <v>2</v>
      </c>
      <c r="J1774" s="44" t="n">
        <v>7.1585</v>
      </c>
      <c r="K1774" s="43" t="inlineStr">
        <is>
          <t>Received</t>
        </is>
      </c>
      <c r="L1774" s="17">
        <f>INDEX(Items!$C$2:$C$117,MATCH(B1774,Items!$A$2:$A$117,0))</f>
        <v/>
      </c>
      <c r="M1774" s="49">
        <f>INDEX(Items!$E$2:$E$117,MATCH(B1774,Items!$A$2:$A$117,0))</f>
        <v/>
      </c>
      <c r="N1774" s="17">
        <f>TEXT(D1774,"yyyy-mm")</f>
        <v/>
      </c>
      <c r="O1774" s="50">
        <f>G1774*J1774</f>
        <v/>
      </c>
      <c r="P1774" s="50">
        <f>(J1774-M1774)*G1774</f>
        <v/>
      </c>
      <c r="Q1774" s="51">
        <f>IF(K1774="Received",1,0)</f>
        <v/>
      </c>
      <c r="R1774" s="51">
        <f>IF(Q1774=1,F1774-D1774,0)</f>
        <v/>
      </c>
      <c r="S1774" s="51">
        <f>IF(Q1774=1,IF(F1774&lt;=E1774,1,0),0)</f>
        <v/>
      </c>
      <c r="T1774" s="51">
        <f>IF(Q1774=1,IF(H1774&gt;=G1774,1,0),0)</f>
        <v/>
      </c>
      <c r="U1774" s="51">
        <f>S1774*T1774</f>
        <v/>
      </c>
      <c r="V1774" s="51">
        <f>IF(Q1774=1,MAX(0,F1774-E1774),0)</f>
        <v/>
      </c>
    </row>
    <row r="1775">
      <c r="A1775" s="43" t="inlineStr">
        <is>
          <t>PO101865</t>
        </is>
      </c>
      <c r="B1775" s="43" t="inlineStr">
        <is>
          <t>CMD-0101</t>
        </is>
      </c>
      <c r="C1775" s="43" t="inlineStr">
        <is>
          <t>S09</t>
        </is>
      </c>
      <c r="D1775" s="47" t="n">
        <v>46219</v>
      </c>
      <c r="E1775" s="47" t="n">
        <v>46240</v>
      </c>
      <c r="F1775" s="47" t="n">
        <v>46239</v>
      </c>
      <c r="G1775" s="46" t="n">
        <v>3494</v>
      </c>
      <c r="H1775" s="46" t="n">
        <v>3494</v>
      </c>
      <c r="I1775" s="46" t="n">
        <v>11</v>
      </c>
      <c r="J1775" s="44" t="n">
        <v>3.811</v>
      </c>
      <c r="K1775" s="43" t="inlineStr">
        <is>
          <t>Received</t>
        </is>
      </c>
      <c r="L1775" s="17">
        <f>INDEX(Items!$C$2:$C$117,MATCH(B1775,Items!$A$2:$A$117,0))</f>
        <v/>
      </c>
      <c r="M1775" s="49">
        <f>INDEX(Items!$E$2:$E$117,MATCH(B1775,Items!$A$2:$A$117,0))</f>
        <v/>
      </c>
      <c r="N1775" s="17">
        <f>TEXT(D1775,"yyyy-mm")</f>
        <v/>
      </c>
      <c r="O1775" s="50">
        <f>G1775*J1775</f>
        <v/>
      </c>
      <c r="P1775" s="50">
        <f>(J1775-M1775)*G1775</f>
        <v/>
      </c>
      <c r="Q1775" s="51">
        <f>IF(K1775="Received",1,0)</f>
        <v/>
      </c>
      <c r="R1775" s="51">
        <f>IF(Q1775=1,F1775-D1775,0)</f>
        <v/>
      </c>
      <c r="S1775" s="51">
        <f>IF(Q1775=1,IF(F1775&lt;=E1775,1,0),0)</f>
        <v/>
      </c>
      <c r="T1775" s="51">
        <f>IF(Q1775=1,IF(H1775&gt;=G1775,1,0),0)</f>
        <v/>
      </c>
      <c r="U1775" s="51">
        <f>S1775*T1775</f>
        <v/>
      </c>
      <c r="V1775" s="51">
        <f>IF(Q1775=1,MAX(0,F1775-E1775),0)</f>
        <v/>
      </c>
    </row>
    <row r="1776">
      <c r="A1776" s="43" t="inlineStr">
        <is>
          <t>PO101735</t>
        </is>
      </c>
      <c r="B1776" s="43" t="inlineStr">
        <is>
          <t>CMD-0094</t>
        </is>
      </c>
      <c r="C1776" s="43" t="inlineStr">
        <is>
          <t>S08</t>
        </is>
      </c>
      <c r="D1776" s="47" t="n">
        <v>46220</v>
      </c>
      <c r="E1776" s="47" t="n">
        <v>46297</v>
      </c>
      <c r="F1776" s="47" t="n"/>
      <c r="G1776" s="46" t="n">
        <v>487</v>
      </c>
      <c r="H1776" s="46" t="n">
        <v>0</v>
      </c>
      <c r="I1776" s="46" t="n">
        <v>0</v>
      </c>
      <c r="J1776" s="44" t="n">
        <v>76.31270000000001</v>
      </c>
      <c r="K1776" s="43" t="inlineStr">
        <is>
          <t>Open</t>
        </is>
      </c>
      <c r="L1776" s="17">
        <f>INDEX(Items!$C$2:$C$117,MATCH(B1776,Items!$A$2:$A$117,0))</f>
        <v/>
      </c>
      <c r="M1776" s="49">
        <f>INDEX(Items!$E$2:$E$117,MATCH(B1776,Items!$A$2:$A$117,0))</f>
        <v/>
      </c>
      <c r="N1776" s="17">
        <f>TEXT(D1776,"yyyy-mm")</f>
        <v/>
      </c>
      <c r="O1776" s="50">
        <f>G1776*J1776</f>
        <v/>
      </c>
      <c r="P1776" s="50">
        <f>(J1776-M1776)*G1776</f>
        <v/>
      </c>
      <c r="Q1776" s="51">
        <f>IF(K1776="Received",1,0)</f>
        <v/>
      </c>
      <c r="R1776" s="51">
        <f>IF(Q1776=1,F1776-D1776,0)</f>
        <v/>
      </c>
      <c r="S1776" s="51">
        <f>IF(Q1776=1,IF(F1776&lt;=E1776,1,0),0)</f>
        <v/>
      </c>
      <c r="T1776" s="51">
        <f>IF(Q1776=1,IF(H1776&gt;=G1776,1,0),0)</f>
        <v/>
      </c>
      <c r="U1776" s="51">
        <f>S1776*T1776</f>
        <v/>
      </c>
      <c r="V1776" s="51">
        <f>IF(Q1776=1,MAX(0,F1776-E1776),0)</f>
        <v/>
      </c>
    </row>
    <row r="1777">
      <c r="A1777" s="43" t="inlineStr">
        <is>
          <t>PO100565</t>
        </is>
      </c>
      <c r="B1777" s="43" t="inlineStr">
        <is>
          <t>CMD-0025</t>
        </is>
      </c>
      <c r="C1777" s="43" t="inlineStr">
        <is>
          <t>S02</t>
        </is>
      </c>
      <c r="D1777" s="47" t="n">
        <v>46220</v>
      </c>
      <c r="E1777" s="47" t="n">
        <v>46276</v>
      </c>
      <c r="F1777" s="47" t="n">
        <v>46275</v>
      </c>
      <c r="G1777" s="46" t="n">
        <v>1107</v>
      </c>
      <c r="H1777" s="46" t="n">
        <v>1107</v>
      </c>
      <c r="I1777" s="46" t="n">
        <v>2</v>
      </c>
      <c r="J1777" s="44" t="n">
        <v>10.8356</v>
      </c>
      <c r="K1777" s="43" t="inlineStr">
        <is>
          <t>Received</t>
        </is>
      </c>
      <c r="L1777" s="17">
        <f>INDEX(Items!$C$2:$C$117,MATCH(B1777,Items!$A$2:$A$117,0))</f>
        <v/>
      </c>
      <c r="M1777" s="49">
        <f>INDEX(Items!$E$2:$E$117,MATCH(B1777,Items!$A$2:$A$117,0))</f>
        <v/>
      </c>
      <c r="N1777" s="17">
        <f>TEXT(D1777,"yyyy-mm")</f>
        <v/>
      </c>
      <c r="O1777" s="50">
        <f>G1777*J1777</f>
        <v/>
      </c>
      <c r="P1777" s="50">
        <f>(J1777-M1777)*G1777</f>
        <v/>
      </c>
      <c r="Q1777" s="51">
        <f>IF(K1777="Received",1,0)</f>
        <v/>
      </c>
      <c r="R1777" s="51">
        <f>IF(Q1777=1,F1777-D1777,0)</f>
        <v/>
      </c>
      <c r="S1777" s="51">
        <f>IF(Q1777=1,IF(F1777&lt;=E1777,1,0),0)</f>
        <v/>
      </c>
      <c r="T1777" s="51">
        <f>IF(Q1777=1,IF(H1777&gt;=G1777,1,0),0)</f>
        <v/>
      </c>
      <c r="U1777" s="51">
        <f>S1777*T1777</f>
        <v/>
      </c>
      <c r="V1777" s="51">
        <f>IF(Q1777=1,MAX(0,F1777-E1777),0)</f>
        <v/>
      </c>
    </row>
    <row r="1778">
      <c r="A1778" s="43" t="inlineStr">
        <is>
          <t>PO100237</t>
        </is>
      </c>
      <c r="B1778" s="43" t="inlineStr">
        <is>
          <t>CMD-0010</t>
        </is>
      </c>
      <c r="C1778" s="43" t="inlineStr">
        <is>
          <t>S03</t>
        </is>
      </c>
      <c r="D1778" s="47" t="n">
        <v>46220</v>
      </c>
      <c r="E1778" s="47" t="n">
        <v>46353</v>
      </c>
      <c r="F1778" s="47" t="n"/>
      <c r="G1778" s="46" t="n">
        <v>4081</v>
      </c>
      <c r="H1778" s="46" t="n">
        <v>0</v>
      </c>
      <c r="I1778" s="46" t="n">
        <v>0</v>
      </c>
      <c r="J1778" s="44" t="n">
        <v>5.4634</v>
      </c>
      <c r="K1778" s="43" t="inlineStr">
        <is>
          <t>Open</t>
        </is>
      </c>
      <c r="L1778" s="17">
        <f>INDEX(Items!$C$2:$C$117,MATCH(B1778,Items!$A$2:$A$117,0))</f>
        <v/>
      </c>
      <c r="M1778" s="49">
        <f>INDEX(Items!$E$2:$E$117,MATCH(B1778,Items!$A$2:$A$117,0))</f>
        <v/>
      </c>
      <c r="N1778" s="17">
        <f>TEXT(D1778,"yyyy-mm")</f>
        <v/>
      </c>
      <c r="O1778" s="50">
        <f>G1778*J1778</f>
        <v/>
      </c>
      <c r="P1778" s="50">
        <f>(J1778-M1778)*G1778</f>
        <v/>
      </c>
      <c r="Q1778" s="51">
        <f>IF(K1778="Received",1,0)</f>
        <v/>
      </c>
      <c r="R1778" s="51">
        <f>IF(Q1778=1,F1778-D1778,0)</f>
        <v/>
      </c>
      <c r="S1778" s="51">
        <f>IF(Q1778=1,IF(F1778&lt;=E1778,1,0),0)</f>
        <v/>
      </c>
      <c r="T1778" s="51">
        <f>IF(Q1778=1,IF(H1778&gt;=G1778,1,0),0)</f>
        <v/>
      </c>
      <c r="U1778" s="51">
        <f>S1778*T1778</f>
        <v/>
      </c>
      <c r="V1778" s="51">
        <f>IF(Q1778=1,MAX(0,F1778-E1778),0)</f>
        <v/>
      </c>
    </row>
    <row r="1779">
      <c r="A1779" s="43" t="inlineStr">
        <is>
          <t>PO101249</t>
        </is>
      </c>
      <c r="B1779" s="43" t="inlineStr">
        <is>
          <t>CMD-0058</t>
        </is>
      </c>
      <c r="C1779" s="43" t="inlineStr">
        <is>
          <t>S04</t>
        </is>
      </c>
      <c r="D1779" s="47" t="n">
        <v>46220</v>
      </c>
      <c r="E1779" s="47" t="n">
        <v>46255</v>
      </c>
      <c r="F1779" s="47" t="n">
        <v>46254</v>
      </c>
      <c r="G1779" s="46" t="n">
        <v>53838</v>
      </c>
      <c r="H1779" s="46" t="n">
        <v>53838</v>
      </c>
      <c r="I1779" s="46" t="n">
        <v>570</v>
      </c>
      <c r="J1779" s="44" t="n">
        <v>0.1213</v>
      </c>
      <c r="K1779" s="43" t="inlineStr">
        <is>
          <t>Received</t>
        </is>
      </c>
      <c r="L1779" s="17">
        <f>INDEX(Items!$C$2:$C$117,MATCH(B1779,Items!$A$2:$A$117,0))</f>
        <v/>
      </c>
      <c r="M1779" s="49">
        <f>INDEX(Items!$E$2:$E$117,MATCH(B1779,Items!$A$2:$A$117,0))</f>
        <v/>
      </c>
      <c r="N1779" s="17">
        <f>TEXT(D1779,"yyyy-mm")</f>
        <v/>
      </c>
      <c r="O1779" s="50">
        <f>G1779*J1779</f>
        <v/>
      </c>
      <c r="P1779" s="50">
        <f>(J1779-M1779)*G1779</f>
        <v/>
      </c>
      <c r="Q1779" s="51">
        <f>IF(K1779="Received",1,0)</f>
        <v/>
      </c>
      <c r="R1779" s="51">
        <f>IF(Q1779=1,F1779-D1779,0)</f>
        <v/>
      </c>
      <c r="S1779" s="51">
        <f>IF(Q1779=1,IF(F1779&lt;=E1779,1,0),0)</f>
        <v/>
      </c>
      <c r="T1779" s="51">
        <f>IF(Q1779=1,IF(H1779&gt;=G1779,1,0),0)</f>
        <v/>
      </c>
      <c r="U1779" s="51">
        <f>S1779*T1779</f>
        <v/>
      </c>
      <c r="V1779" s="51">
        <f>IF(Q1779=1,MAX(0,F1779-E1779),0)</f>
        <v/>
      </c>
    </row>
    <row r="1780">
      <c r="A1780" s="43" t="inlineStr">
        <is>
          <t>PO100165</t>
        </is>
      </c>
      <c r="B1780" s="43" t="inlineStr">
        <is>
          <t>CMD-0007</t>
        </is>
      </c>
      <c r="C1780" s="43" t="inlineStr">
        <is>
          <t>S03</t>
        </is>
      </c>
      <c r="D1780" s="47" t="n">
        <v>46220</v>
      </c>
      <c r="E1780" s="47" t="n">
        <v>46353</v>
      </c>
      <c r="F1780" s="47" t="n"/>
      <c r="G1780" s="46" t="n">
        <v>4586</v>
      </c>
      <c r="H1780" s="46" t="n">
        <v>0</v>
      </c>
      <c r="I1780" s="46" t="n">
        <v>0</v>
      </c>
      <c r="J1780" s="44" t="n">
        <v>22.8802</v>
      </c>
      <c r="K1780" s="43" t="inlineStr">
        <is>
          <t>Open</t>
        </is>
      </c>
      <c r="L1780" s="17">
        <f>INDEX(Items!$C$2:$C$117,MATCH(B1780,Items!$A$2:$A$117,0))</f>
        <v/>
      </c>
      <c r="M1780" s="49">
        <f>INDEX(Items!$E$2:$E$117,MATCH(B1780,Items!$A$2:$A$117,0))</f>
        <v/>
      </c>
      <c r="N1780" s="17">
        <f>TEXT(D1780,"yyyy-mm")</f>
        <v/>
      </c>
      <c r="O1780" s="50">
        <f>G1780*J1780</f>
        <v/>
      </c>
      <c r="P1780" s="50">
        <f>(J1780-M1780)*G1780</f>
        <v/>
      </c>
      <c r="Q1780" s="51">
        <f>IF(K1780="Received",1,0)</f>
        <v/>
      </c>
      <c r="R1780" s="51">
        <f>IF(Q1780=1,F1780-D1780,0)</f>
        <v/>
      </c>
      <c r="S1780" s="51">
        <f>IF(Q1780=1,IF(F1780&lt;=E1780,1,0),0)</f>
        <v/>
      </c>
      <c r="T1780" s="51">
        <f>IF(Q1780=1,IF(H1780&gt;=G1780,1,0),0)</f>
        <v/>
      </c>
      <c r="U1780" s="51">
        <f>S1780*T1780</f>
        <v/>
      </c>
      <c r="V1780" s="51">
        <f>IF(Q1780=1,MAX(0,F1780-E1780),0)</f>
        <v/>
      </c>
    </row>
    <row r="1781">
      <c r="A1781" s="43" t="inlineStr">
        <is>
          <t>PO100261</t>
        </is>
      </c>
      <c r="B1781" s="43" t="inlineStr">
        <is>
          <t>CMD-0011</t>
        </is>
      </c>
      <c r="C1781" s="43" t="inlineStr">
        <is>
          <t>S07</t>
        </is>
      </c>
      <c r="D1781" s="47" t="n">
        <v>46220</v>
      </c>
      <c r="E1781" s="47" t="n">
        <v>46311</v>
      </c>
      <c r="F1781" s="47" t="n"/>
      <c r="G1781" s="46" t="n">
        <v>3520</v>
      </c>
      <c r="H1781" s="46" t="n">
        <v>0</v>
      </c>
      <c r="I1781" s="46" t="n">
        <v>0</v>
      </c>
      <c r="J1781" s="44" t="n">
        <v>9.5344</v>
      </c>
      <c r="K1781" s="43" t="inlineStr">
        <is>
          <t>Open</t>
        </is>
      </c>
      <c r="L1781" s="17">
        <f>INDEX(Items!$C$2:$C$117,MATCH(B1781,Items!$A$2:$A$117,0))</f>
        <v/>
      </c>
      <c r="M1781" s="49">
        <f>INDEX(Items!$E$2:$E$117,MATCH(B1781,Items!$A$2:$A$117,0))</f>
        <v/>
      </c>
      <c r="N1781" s="17">
        <f>TEXT(D1781,"yyyy-mm")</f>
        <v/>
      </c>
      <c r="O1781" s="50">
        <f>G1781*J1781</f>
        <v/>
      </c>
      <c r="P1781" s="50">
        <f>(J1781-M1781)*G1781</f>
        <v/>
      </c>
      <c r="Q1781" s="51">
        <f>IF(K1781="Received",1,0)</f>
        <v/>
      </c>
      <c r="R1781" s="51">
        <f>IF(Q1781=1,F1781-D1781,0)</f>
        <v/>
      </c>
      <c r="S1781" s="51">
        <f>IF(Q1781=1,IF(F1781&lt;=E1781,1,0),0)</f>
        <v/>
      </c>
      <c r="T1781" s="51">
        <f>IF(Q1781=1,IF(H1781&gt;=G1781,1,0),0)</f>
        <v/>
      </c>
      <c r="U1781" s="51">
        <f>S1781*T1781</f>
        <v/>
      </c>
      <c r="V1781" s="51">
        <f>IF(Q1781=1,MAX(0,F1781-E1781),0)</f>
        <v/>
      </c>
    </row>
    <row r="1782">
      <c r="A1782" s="43" t="inlineStr">
        <is>
          <t>PO100685</t>
        </is>
      </c>
      <c r="B1782" s="43" t="inlineStr">
        <is>
          <t>CMD-0030</t>
        </is>
      </c>
      <c r="C1782" s="43" t="inlineStr">
        <is>
          <t>S11</t>
        </is>
      </c>
      <c r="D1782" s="47" t="n">
        <v>46220</v>
      </c>
      <c r="E1782" s="47" t="n">
        <v>46297</v>
      </c>
      <c r="F1782" s="47" t="n"/>
      <c r="G1782" s="46" t="n">
        <v>7048</v>
      </c>
      <c r="H1782" s="46" t="n">
        <v>0</v>
      </c>
      <c r="I1782" s="46" t="n">
        <v>0</v>
      </c>
      <c r="J1782" s="44" t="n">
        <v>23.8857</v>
      </c>
      <c r="K1782" s="43" t="inlineStr">
        <is>
          <t>Open</t>
        </is>
      </c>
      <c r="L1782" s="17">
        <f>INDEX(Items!$C$2:$C$117,MATCH(B1782,Items!$A$2:$A$117,0))</f>
        <v/>
      </c>
      <c r="M1782" s="49">
        <f>INDEX(Items!$E$2:$E$117,MATCH(B1782,Items!$A$2:$A$117,0))</f>
        <v/>
      </c>
      <c r="N1782" s="17">
        <f>TEXT(D1782,"yyyy-mm")</f>
        <v/>
      </c>
      <c r="O1782" s="50">
        <f>G1782*J1782</f>
        <v/>
      </c>
      <c r="P1782" s="50">
        <f>(J1782-M1782)*G1782</f>
        <v/>
      </c>
      <c r="Q1782" s="51">
        <f>IF(K1782="Received",1,0)</f>
        <v/>
      </c>
      <c r="R1782" s="51">
        <f>IF(Q1782=1,F1782-D1782,0)</f>
        <v/>
      </c>
      <c r="S1782" s="51">
        <f>IF(Q1782=1,IF(F1782&lt;=E1782,1,0),0)</f>
        <v/>
      </c>
      <c r="T1782" s="51">
        <f>IF(Q1782=1,IF(H1782&gt;=G1782,1,0),0)</f>
        <v/>
      </c>
      <c r="U1782" s="51">
        <f>S1782*T1782</f>
        <v/>
      </c>
      <c r="V1782" s="51">
        <f>IF(Q1782=1,MAX(0,F1782-E1782),0)</f>
        <v/>
      </c>
    </row>
    <row r="1783">
      <c r="A1783" s="43" t="inlineStr">
        <is>
          <t>PO100141</t>
        </is>
      </c>
      <c r="B1783" s="43" t="inlineStr">
        <is>
          <t>CMD-0006</t>
        </is>
      </c>
      <c r="C1783" s="43" t="inlineStr">
        <is>
          <t>S03</t>
        </is>
      </c>
      <c r="D1783" s="47" t="n">
        <v>46220</v>
      </c>
      <c r="E1783" s="47" t="n">
        <v>46353</v>
      </c>
      <c r="F1783" s="47" t="n"/>
      <c r="G1783" s="46" t="n">
        <v>722</v>
      </c>
      <c r="H1783" s="46" t="n">
        <v>0</v>
      </c>
      <c r="I1783" s="46" t="n">
        <v>0</v>
      </c>
      <c r="J1783" s="44" t="n">
        <v>36.049</v>
      </c>
      <c r="K1783" s="43" t="inlineStr">
        <is>
          <t>Open</t>
        </is>
      </c>
      <c r="L1783" s="17">
        <f>INDEX(Items!$C$2:$C$117,MATCH(B1783,Items!$A$2:$A$117,0))</f>
        <v/>
      </c>
      <c r="M1783" s="49">
        <f>INDEX(Items!$E$2:$E$117,MATCH(B1783,Items!$A$2:$A$117,0))</f>
        <v/>
      </c>
      <c r="N1783" s="17">
        <f>TEXT(D1783,"yyyy-mm")</f>
        <v/>
      </c>
      <c r="O1783" s="50">
        <f>G1783*J1783</f>
        <v/>
      </c>
      <c r="P1783" s="50">
        <f>(J1783-M1783)*G1783</f>
        <v/>
      </c>
      <c r="Q1783" s="51">
        <f>IF(K1783="Received",1,0)</f>
        <v/>
      </c>
      <c r="R1783" s="51">
        <f>IF(Q1783=1,F1783-D1783,0)</f>
        <v/>
      </c>
      <c r="S1783" s="51">
        <f>IF(Q1783=1,IF(F1783&lt;=E1783,1,0),0)</f>
        <v/>
      </c>
      <c r="T1783" s="51">
        <f>IF(Q1783=1,IF(H1783&gt;=G1783,1,0),0)</f>
        <v/>
      </c>
      <c r="U1783" s="51">
        <f>S1783*T1783</f>
        <v/>
      </c>
      <c r="V1783" s="51">
        <f>IF(Q1783=1,MAX(0,F1783-E1783),0)</f>
        <v/>
      </c>
    </row>
    <row r="1784">
      <c r="A1784" s="43" t="inlineStr">
        <is>
          <t>PO100451</t>
        </is>
      </c>
      <c r="B1784" s="43" t="inlineStr">
        <is>
          <t>CMD-0020</t>
        </is>
      </c>
      <c r="C1784" s="43" t="inlineStr">
        <is>
          <t>S04</t>
        </is>
      </c>
      <c r="D1784" s="47" t="n">
        <v>46220</v>
      </c>
      <c r="E1784" s="47" t="n">
        <v>46290</v>
      </c>
      <c r="F1784" s="47" t="n">
        <v>46289</v>
      </c>
      <c r="G1784" s="46" t="n">
        <v>3220</v>
      </c>
      <c r="H1784" s="46" t="n">
        <v>3220</v>
      </c>
      <c r="I1784" s="46" t="n">
        <v>41</v>
      </c>
      <c r="J1784" s="44" t="n">
        <v>5.1809</v>
      </c>
      <c r="K1784" s="43" t="inlineStr">
        <is>
          <t>Received</t>
        </is>
      </c>
      <c r="L1784" s="17">
        <f>INDEX(Items!$C$2:$C$117,MATCH(B1784,Items!$A$2:$A$117,0))</f>
        <v/>
      </c>
      <c r="M1784" s="49">
        <f>INDEX(Items!$E$2:$E$117,MATCH(B1784,Items!$A$2:$A$117,0))</f>
        <v/>
      </c>
      <c r="N1784" s="17">
        <f>TEXT(D1784,"yyyy-mm")</f>
        <v/>
      </c>
      <c r="O1784" s="50">
        <f>G1784*J1784</f>
        <v/>
      </c>
      <c r="P1784" s="50">
        <f>(J1784-M1784)*G1784</f>
        <v/>
      </c>
      <c r="Q1784" s="51">
        <f>IF(K1784="Received",1,0)</f>
        <v/>
      </c>
      <c r="R1784" s="51">
        <f>IF(Q1784=1,F1784-D1784,0)</f>
        <v/>
      </c>
      <c r="S1784" s="51">
        <f>IF(Q1784=1,IF(F1784&lt;=E1784,1,0),0)</f>
        <v/>
      </c>
      <c r="T1784" s="51">
        <f>IF(Q1784=1,IF(H1784&gt;=G1784,1,0),0)</f>
        <v/>
      </c>
      <c r="U1784" s="51">
        <f>S1784*T1784</f>
        <v/>
      </c>
      <c r="V1784" s="51">
        <f>IF(Q1784=1,MAX(0,F1784-E1784),0)</f>
        <v/>
      </c>
    </row>
    <row r="1785">
      <c r="A1785" s="43" t="inlineStr">
        <is>
          <t>PO101501</t>
        </is>
      </c>
      <c r="B1785" s="43" t="inlineStr">
        <is>
          <t>CMD-0079</t>
        </is>
      </c>
      <c r="C1785" s="43" t="inlineStr">
        <is>
          <t>S06</t>
        </is>
      </c>
      <c r="D1785" s="47" t="n">
        <v>46220</v>
      </c>
      <c r="E1785" s="47" t="n">
        <v>46241</v>
      </c>
      <c r="F1785" s="47" t="n">
        <v>46241</v>
      </c>
      <c r="G1785" s="46" t="n">
        <v>2093</v>
      </c>
      <c r="H1785" s="46" t="n">
        <v>2093</v>
      </c>
      <c r="I1785" s="46" t="n">
        <v>14</v>
      </c>
      <c r="J1785" s="44" t="n">
        <v>3.6359</v>
      </c>
      <c r="K1785" s="43" t="inlineStr">
        <is>
          <t>Received</t>
        </is>
      </c>
      <c r="L1785" s="17">
        <f>INDEX(Items!$C$2:$C$117,MATCH(B1785,Items!$A$2:$A$117,0))</f>
        <v/>
      </c>
      <c r="M1785" s="49">
        <f>INDEX(Items!$E$2:$E$117,MATCH(B1785,Items!$A$2:$A$117,0))</f>
        <v/>
      </c>
      <c r="N1785" s="17">
        <f>TEXT(D1785,"yyyy-mm")</f>
        <v/>
      </c>
      <c r="O1785" s="50">
        <f>G1785*J1785</f>
        <v/>
      </c>
      <c r="P1785" s="50">
        <f>(J1785-M1785)*G1785</f>
        <v/>
      </c>
      <c r="Q1785" s="51">
        <f>IF(K1785="Received",1,0)</f>
        <v/>
      </c>
      <c r="R1785" s="51">
        <f>IF(Q1785=1,F1785-D1785,0)</f>
        <v/>
      </c>
      <c r="S1785" s="51">
        <f>IF(Q1785=1,IF(F1785&lt;=E1785,1,0),0)</f>
        <v/>
      </c>
      <c r="T1785" s="51">
        <f>IF(Q1785=1,IF(H1785&gt;=G1785,1,0),0)</f>
        <v/>
      </c>
      <c r="U1785" s="51">
        <f>S1785*T1785</f>
        <v/>
      </c>
      <c r="V1785" s="51">
        <f>IF(Q1785=1,MAX(0,F1785-E1785),0)</f>
        <v/>
      </c>
    </row>
    <row r="1786">
      <c r="A1786" s="43" t="inlineStr">
        <is>
          <t>PO100955</t>
        </is>
      </c>
      <c r="B1786" s="43" t="inlineStr">
        <is>
          <t>CMD-0043</t>
        </is>
      </c>
      <c r="C1786" s="43" t="inlineStr">
        <is>
          <t>S05</t>
        </is>
      </c>
      <c r="D1786" s="47" t="n">
        <v>46221</v>
      </c>
      <c r="E1786" s="47" t="n">
        <v>46326</v>
      </c>
      <c r="F1786" s="47" t="n"/>
      <c r="G1786" s="46" t="n">
        <v>6325</v>
      </c>
      <c r="H1786" s="46" t="n">
        <v>0</v>
      </c>
      <c r="I1786" s="46" t="n">
        <v>0</v>
      </c>
      <c r="J1786" s="44" t="n">
        <v>3.8007</v>
      </c>
      <c r="K1786" s="43" t="inlineStr">
        <is>
          <t>Open</t>
        </is>
      </c>
      <c r="L1786" s="17">
        <f>INDEX(Items!$C$2:$C$117,MATCH(B1786,Items!$A$2:$A$117,0))</f>
        <v/>
      </c>
      <c r="M1786" s="49">
        <f>INDEX(Items!$E$2:$E$117,MATCH(B1786,Items!$A$2:$A$117,0))</f>
        <v/>
      </c>
      <c r="N1786" s="17">
        <f>TEXT(D1786,"yyyy-mm")</f>
        <v/>
      </c>
      <c r="O1786" s="50">
        <f>G1786*J1786</f>
        <v/>
      </c>
      <c r="P1786" s="50">
        <f>(J1786-M1786)*G1786</f>
        <v/>
      </c>
      <c r="Q1786" s="51">
        <f>IF(K1786="Received",1,0)</f>
        <v/>
      </c>
      <c r="R1786" s="51">
        <f>IF(Q1786=1,F1786-D1786,0)</f>
        <v/>
      </c>
      <c r="S1786" s="51">
        <f>IF(Q1786=1,IF(F1786&lt;=E1786,1,0),0)</f>
        <v/>
      </c>
      <c r="T1786" s="51">
        <f>IF(Q1786=1,IF(H1786&gt;=G1786,1,0),0)</f>
        <v/>
      </c>
      <c r="U1786" s="51">
        <f>S1786*T1786</f>
        <v/>
      </c>
      <c r="V1786" s="51">
        <f>IF(Q1786=1,MAX(0,F1786-E1786),0)</f>
        <v/>
      </c>
    </row>
    <row r="1787">
      <c r="A1787" s="43" t="inlineStr">
        <is>
          <t>PO101179</t>
        </is>
      </c>
      <c r="B1787" s="43" t="inlineStr">
        <is>
          <t>CMD-0054</t>
        </is>
      </c>
      <c r="C1787" s="43" t="inlineStr">
        <is>
          <t>S10</t>
        </is>
      </c>
      <c r="D1787" s="47" t="n">
        <v>46221</v>
      </c>
      <c r="E1787" s="47" t="n">
        <v>46249</v>
      </c>
      <c r="F1787" s="47" t="n">
        <v>46247</v>
      </c>
      <c r="G1787" s="46" t="n">
        <v>48148</v>
      </c>
      <c r="H1787" s="46" t="n">
        <v>48148</v>
      </c>
      <c r="I1787" s="46" t="n">
        <v>37</v>
      </c>
      <c r="J1787" s="44" t="n">
        <v>0.1738</v>
      </c>
      <c r="K1787" s="43" t="inlineStr">
        <is>
          <t>Received</t>
        </is>
      </c>
      <c r="L1787" s="17">
        <f>INDEX(Items!$C$2:$C$117,MATCH(B1787,Items!$A$2:$A$117,0))</f>
        <v/>
      </c>
      <c r="M1787" s="49">
        <f>INDEX(Items!$E$2:$E$117,MATCH(B1787,Items!$A$2:$A$117,0))</f>
        <v/>
      </c>
      <c r="N1787" s="17">
        <f>TEXT(D1787,"yyyy-mm")</f>
        <v/>
      </c>
      <c r="O1787" s="50">
        <f>G1787*J1787</f>
        <v/>
      </c>
      <c r="P1787" s="50">
        <f>(J1787-M1787)*G1787</f>
        <v/>
      </c>
      <c r="Q1787" s="51">
        <f>IF(K1787="Received",1,0)</f>
        <v/>
      </c>
      <c r="R1787" s="51">
        <f>IF(Q1787=1,F1787-D1787,0)</f>
        <v/>
      </c>
      <c r="S1787" s="51">
        <f>IF(Q1787=1,IF(F1787&lt;=E1787,1,0),0)</f>
        <v/>
      </c>
      <c r="T1787" s="51">
        <f>IF(Q1787=1,IF(H1787&gt;=G1787,1,0),0)</f>
        <v/>
      </c>
      <c r="U1787" s="51">
        <f>S1787*T1787</f>
        <v/>
      </c>
      <c r="V1787" s="51">
        <f>IF(Q1787=1,MAX(0,F1787-E1787),0)</f>
        <v/>
      </c>
    </row>
    <row r="1788">
      <c r="A1788" s="43" t="inlineStr">
        <is>
          <t>PO101783</t>
        </is>
      </c>
      <c r="B1788" s="43" t="inlineStr">
        <is>
          <t>CMD-0096</t>
        </is>
      </c>
      <c r="C1788" s="43" t="inlineStr">
        <is>
          <t>S09</t>
        </is>
      </c>
      <c r="D1788" s="47" t="n">
        <v>46221</v>
      </c>
      <c r="E1788" s="47" t="n">
        <v>46242</v>
      </c>
      <c r="F1788" s="47" t="n">
        <v>46241</v>
      </c>
      <c r="G1788" s="46" t="n">
        <v>955</v>
      </c>
      <c r="H1788" s="46" t="n">
        <v>955</v>
      </c>
      <c r="I1788" s="46" t="n">
        <v>3</v>
      </c>
      <c r="J1788" s="44" t="n">
        <v>6.6126</v>
      </c>
      <c r="K1788" s="43" t="inlineStr">
        <is>
          <t>Received</t>
        </is>
      </c>
      <c r="L1788" s="17">
        <f>INDEX(Items!$C$2:$C$117,MATCH(B1788,Items!$A$2:$A$117,0))</f>
        <v/>
      </c>
      <c r="M1788" s="49">
        <f>INDEX(Items!$E$2:$E$117,MATCH(B1788,Items!$A$2:$A$117,0))</f>
        <v/>
      </c>
      <c r="N1788" s="17">
        <f>TEXT(D1788,"yyyy-mm")</f>
        <v/>
      </c>
      <c r="O1788" s="50">
        <f>G1788*J1788</f>
        <v/>
      </c>
      <c r="P1788" s="50">
        <f>(J1788-M1788)*G1788</f>
        <v/>
      </c>
      <c r="Q1788" s="51">
        <f>IF(K1788="Received",1,0)</f>
        <v/>
      </c>
      <c r="R1788" s="51">
        <f>IF(Q1788=1,F1788-D1788,0)</f>
        <v/>
      </c>
      <c r="S1788" s="51">
        <f>IF(Q1788=1,IF(F1788&lt;=E1788,1,0),0)</f>
        <v/>
      </c>
      <c r="T1788" s="51">
        <f>IF(Q1788=1,IF(H1788&gt;=G1788,1,0),0)</f>
        <v/>
      </c>
      <c r="U1788" s="51">
        <f>S1788*T1788</f>
        <v/>
      </c>
      <c r="V1788" s="51">
        <f>IF(Q1788=1,MAX(0,F1788-E1788),0)</f>
        <v/>
      </c>
    </row>
    <row r="1789">
      <c r="A1789" s="43" t="inlineStr">
        <is>
          <t>PO101525</t>
        </is>
      </c>
      <c r="B1789" s="43" t="inlineStr">
        <is>
          <t>CMD-0080</t>
        </is>
      </c>
      <c r="C1789" s="43" t="inlineStr">
        <is>
          <t>S06</t>
        </is>
      </c>
      <c r="D1789" s="47" t="n">
        <v>46221</v>
      </c>
      <c r="E1789" s="47" t="n">
        <v>46242</v>
      </c>
      <c r="F1789" s="47" t="n">
        <v>46240</v>
      </c>
      <c r="G1789" s="46" t="n">
        <v>4852</v>
      </c>
      <c r="H1789" s="46" t="n">
        <v>4852</v>
      </c>
      <c r="I1789" s="46" t="n">
        <v>25</v>
      </c>
      <c r="J1789" s="44" t="n">
        <v>5.6959</v>
      </c>
      <c r="K1789" s="43" t="inlineStr">
        <is>
          <t>Received</t>
        </is>
      </c>
      <c r="L1789" s="17">
        <f>INDEX(Items!$C$2:$C$117,MATCH(B1789,Items!$A$2:$A$117,0))</f>
        <v/>
      </c>
      <c r="M1789" s="49">
        <f>INDEX(Items!$E$2:$E$117,MATCH(B1789,Items!$A$2:$A$117,0))</f>
        <v/>
      </c>
      <c r="N1789" s="17">
        <f>TEXT(D1789,"yyyy-mm")</f>
        <v/>
      </c>
      <c r="O1789" s="50">
        <f>G1789*J1789</f>
        <v/>
      </c>
      <c r="P1789" s="50">
        <f>(J1789-M1789)*G1789</f>
        <v/>
      </c>
      <c r="Q1789" s="51">
        <f>IF(K1789="Received",1,0)</f>
        <v/>
      </c>
      <c r="R1789" s="51">
        <f>IF(Q1789=1,F1789-D1789,0)</f>
        <v/>
      </c>
      <c r="S1789" s="51">
        <f>IF(Q1789=1,IF(F1789&lt;=E1789,1,0),0)</f>
        <v/>
      </c>
      <c r="T1789" s="51">
        <f>IF(Q1789=1,IF(H1789&gt;=G1789,1,0),0)</f>
        <v/>
      </c>
      <c r="U1789" s="51">
        <f>S1789*T1789</f>
        <v/>
      </c>
      <c r="V1789" s="51">
        <f>IF(Q1789=1,MAX(0,F1789-E1789),0)</f>
        <v/>
      </c>
    </row>
    <row r="1790">
      <c r="A1790" s="43" t="inlineStr">
        <is>
          <t>PO100931</t>
        </is>
      </c>
      <c r="B1790" s="43" t="inlineStr">
        <is>
          <t>CMD-0042</t>
        </is>
      </c>
      <c r="C1790" s="43" t="inlineStr">
        <is>
          <t>S05</t>
        </is>
      </c>
      <c r="D1790" s="47" t="n">
        <v>46221</v>
      </c>
      <c r="E1790" s="47" t="n">
        <v>46326</v>
      </c>
      <c r="F1790" s="47" t="n"/>
      <c r="G1790" s="46" t="n">
        <v>774</v>
      </c>
      <c r="H1790" s="46" t="n">
        <v>0</v>
      </c>
      <c r="I1790" s="46" t="n">
        <v>0</v>
      </c>
      <c r="J1790" s="44" t="n">
        <v>9.177300000000001</v>
      </c>
      <c r="K1790" s="43" t="inlineStr">
        <is>
          <t>Open</t>
        </is>
      </c>
      <c r="L1790" s="17">
        <f>INDEX(Items!$C$2:$C$117,MATCH(B1790,Items!$A$2:$A$117,0))</f>
        <v/>
      </c>
      <c r="M1790" s="49">
        <f>INDEX(Items!$E$2:$E$117,MATCH(B1790,Items!$A$2:$A$117,0))</f>
        <v/>
      </c>
      <c r="N1790" s="17">
        <f>TEXT(D1790,"yyyy-mm")</f>
        <v/>
      </c>
      <c r="O1790" s="50">
        <f>G1790*J1790</f>
        <v/>
      </c>
      <c r="P1790" s="50">
        <f>(J1790-M1790)*G1790</f>
        <v/>
      </c>
      <c r="Q1790" s="51">
        <f>IF(K1790="Received",1,0)</f>
        <v/>
      </c>
      <c r="R1790" s="51">
        <f>IF(Q1790=1,F1790-D1790,0)</f>
        <v/>
      </c>
      <c r="S1790" s="51">
        <f>IF(Q1790=1,IF(F1790&lt;=E1790,1,0),0)</f>
        <v/>
      </c>
      <c r="T1790" s="51">
        <f>IF(Q1790=1,IF(H1790&gt;=G1790,1,0),0)</f>
        <v/>
      </c>
      <c r="U1790" s="51">
        <f>S1790*T1790</f>
        <v/>
      </c>
      <c r="V1790" s="51">
        <f>IF(Q1790=1,MAX(0,F1790-E1790),0)</f>
        <v/>
      </c>
    </row>
    <row r="1791">
      <c r="A1791" s="43" t="inlineStr">
        <is>
          <t>PO100045</t>
        </is>
      </c>
      <c r="B1791" s="43" t="inlineStr">
        <is>
          <t>CMD-0002</t>
        </is>
      </c>
      <c r="C1791" s="43" t="inlineStr">
        <is>
          <t>S11</t>
        </is>
      </c>
      <c r="D1791" s="47" t="n">
        <v>46221</v>
      </c>
      <c r="E1791" s="47" t="n">
        <v>46340</v>
      </c>
      <c r="F1791" s="47" t="n"/>
      <c r="G1791" s="46" t="n">
        <v>6494</v>
      </c>
      <c r="H1791" s="46" t="n">
        <v>0</v>
      </c>
      <c r="I1791" s="46" t="n">
        <v>0</v>
      </c>
      <c r="J1791" s="44" t="n">
        <v>8.083</v>
      </c>
      <c r="K1791" s="43" t="inlineStr">
        <is>
          <t>Open</t>
        </is>
      </c>
      <c r="L1791" s="17">
        <f>INDEX(Items!$C$2:$C$117,MATCH(B1791,Items!$A$2:$A$117,0))</f>
        <v/>
      </c>
      <c r="M1791" s="49">
        <f>INDEX(Items!$E$2:$E$117,MATCH(B1791,Items!$A$2:$A$117,0))</f>
        <v/>
      </c>
      <c r="N1791" s="17">
        <f>TEXT(D1791,"yyyy-mm")</f>
        <v/>
      </c>
      <c r="O1791" s="50">
        <f>G1791*J1791</f>
        <v/>
      </c>
      <c r="P1791" s="50">
        <f>(J1791-M1791)*G1791</f>
        <v/>
      </c>
      <c r="Q1791" s="51">
        <f>IF(K1791="Received",1,0)</f>
        <v/>
      </c>
      <c r="R1791" s="51">
        <f>IF(Q1791=1,F1791-D1791,0)</f>
        <v/>
      </c>
      <c r="S1791" s="51">
        <f>IF(Q1791=1,IF(F1791&lt;=E1791,1,0),0)</f>
        <v/>
      </c>
      <c r="T1791" s="51">
        <f>IF(Q1791=1,IF(H1791&gt;=G1791,1,0),0)</f>
        <v/>
      </c>
      <c r="U1791" s="51">
        <f>S1791*T1791</f>
        <v/>
      </c>
      <c r="V1791" s="51">
        <f>IF(Q1791=1,MAX(0,F1791-E1791),0)</f>
        <v/>
      </c>
    </row>
    <row r="1792">
      <c r="A1792" s="43" t="inlineStr">
        <is>
          <t>PO100839</t>
        </is>
      </c>
      <c r="B1792" s="43" t="inlineStr">
        <is>
          <t>CMD-0037</t>
        </is>
      </c>
      <c r="C1792" s="43" t="inlineStr">
        <is>
          <t>S07</t>
        </is>
      </c>
      <c r="D1792" s="47" t="n">
        <v>46221</v>
      </c>
      <c r="E1792" s="47" t="n">
        <v>46263</v>
      </c>
      <c r="F1792" s="47" t="n">
        <v>46262</v>
      </c>
      <c r="G1792" s="46" t="n">
        <v>407</v>
      </c>
      <c r="H1792" s="46" t="n">
        <v>407</v>
      </c>
      <c r="I1792" s="46" t="n">
        <v>3</v>
      </c>
      <c r="J1792" s="44" t="n">
        <v>55.2286</v>
      </c>
      <c r="K1792" s="43" t="inlineStr">
        <is>
          <t>Received</t>
        </is>
      </c>
      <c r="L1792" s="17">
        <f>INDEX(Items!$C$2:$C$117,MATCH(B1792,Items!$A$2:$A$117,0))</f>
        <v/>
      </c>
      <c r="M1792" s="49">
        <f>INDEX(Items!$E$2:$E$117,MATCH(B1792,Items!$A$2:$A$117,0))</f>
        <v/>
      </c>
      <c r="N1792" s="17">
        <f>TEXT(D1792,"yyyy-mm")</f>
        <v/>
      </c>
      <c r="O1792" s="50">
        <f>G1792*J1792</f>
        <v/>
      </c>
      <c r="P1792" s="50">
        <f>(J1792-M1792)*G1792</f>
        <v/>
      </c>
      <c r="Q1792" s="51">
        <f>IF(K1792="Received",1,0)</f>
        <v/>
      </c>
      <c r="R1792" s="51">
        <f>IF(Q1792=1,F1792-D1792,0)</f>
        <v/>
      </c>
      <c r="S1792" s="51">
        <f>IF(Q1792=1,IF(F1792&lt;=E1792,1,0),0)</f>
        <v/>
      </c>
      <c r="T1792" s="51">
        <f>IF(Q1792=1,IF(H1792&gt;=G1792,1,0),0)</f>
        <v/>
      </c>
      <c r="U1792" s="51">
        <f>S1792*T1792</f>
        <v/>
      </c>
      <c r="V1792" s="51">
        <f>IF(Q1792=1,MAX(0,F1792-E1792),0)</f>
        <v/>
      </c>
    </row>
    <row r="1793">
      <c r="A1793" s="43" t="inlineStr">
        <is>
          <t>PO100117</t>
        </is>
      </c>
      <c r="B1793" s="43" t="inlineStr">
        <is>
          <t>CMD-0005</t>
        </is>
      </c>
      <c r="C1793" s="43" t="inlineStr">
        <is>
          <t>S07</t>
        </is>
      </c>
      <c r="D1793" s="47" t="n">
        <v>46221</v>
      </c>
      <c r="E1793" s="47" t="n">
        <v>46312</v>
      </c>
      <c r="F1793" s="47" t="n"/>
      <c r="G1793" s="46" t="n">
        <v>5086</v>
      </c>
      <c r="H1793" s="46" t="n">
        <v>0</v>
      </c>
      <c r="I1793" s="46" t="n">
        <v>0</v>
      </c>
      <c r="J1793" s="44" t="n">
        <v>6.6434</v>
      </c>
      <c r="K1793" s="43" t="inlineStr">
        <is>
          <t>Open</t>
        </is>
      </c>
      <c r="L1793" s="17">
        <f>INDEX(Items!$C$2:$C$117,MATCH(B1793,Items!$A$2:$A$117,0))</f>
        <v/>
      </c>
      <c r="M1793" s="49">
        <f>INDEX(Items!$E$2:$E$117,MATCH(B1793,Items!$A$2:$A$117,0))</f>
        <v/>
      </c>
      <c r="N1793" s="17">
        <f>TEXT(D1793,"yyyy-mm")</f>
        <v/>
      </c>
      <c r="O1793" s="50">
        <f>G1793*J1793</f>
        <v/>
      </c>
      <c r="P1793" s="50">
        <f>(J1793-M1793)*G1793</f>
        <v/>
      </c>
      <c r="Q1793" s="51">
        <f>IF(K1793="Received",1,0)</f>
        <v/>
      </c>
      <c r="R1793" s="51">
        <f>IF(Q1793=1,F1793-D1793,0)</f>
        <v/>
      </c>
      <c r="S1793" s="51">
        <f>IF(Q1793=1,IF(F1793&lt;=E1793,1,0),0)</f>
        <v/>
      </c>
      <c r="T1793" s="51">
        <f>IF(Q1793=1,IF(H1793&gt;=G1793,1,0),0)</f>
        <v/>
      </c>
      <c r="U1793" s="51">
        <f>S1793*T1793</f>
        <v/>
      </c>
      <c r="V1793" s="51">
        <f>IF(Q1793=1,MAX(0,F1793-E1793),0)</f>
        <v/>
      </c>
    </row>
    <row r="1794">
      <c r="A1794" s="43" t="inlineStr">
        <is>
          <t>PO100337</t>
        </is>
      </c>
      <c r="B1794" s="43" t="inlineStr">
        <is>
          <t>CMD-0015</t>
        </is>
      </c>
      <c r="C1794" s="43" t="inlineStr">
        <is>
          <t>S03</t>
        </is>
      </c>
      <c r="D1794" s="47" t="n">
        <v>46222</v>
      </c>
      <c r="E1794" s="47" t="n">
        <v>46355</v>
      </c>
      <c r="F1794" s="47" t="n"/>
      <c r="G1794" s="46" t="n">
        <v>3744</v>
      </c>
      <c r="H1794" s="46" t="n">
        <v>0</v>
      </c>
      <c r="I1794" s="46" t="n">
        <v>0</v>
      </c>
      <c r="J1794" s="44" t="n">
        <v>6.6788</v>
      </c>
      <c r="K1794" s="43" t="inlineStr">
        <is>
          <t>Open</t>
        </is>
      </c>
      <c r="L1794" s="17">
        <f>INDEX(Items!$C$2:$C$117,MATCH(B1794,Items!$A$2:$A$117,0))</f>
        <v/>
      </c>
      <c r="M1794" s="49">
        <f>INDEX(Items!$E$2:$E$117,MATCH(B1794,Items!$A$2:$A$117,0))</f>
        <v/>
      </c>
      <c r="N1794" s="17">
        <f>TEXT(D1794,"yyyy-mm")</f>
        <v/>
      </c>
      <c r="O1794" s="50">
        <f>G1794*J1794</f>
        <v/>
      </c>
      <c r="P1794" s="50">
        <f>(J1794-M1794)*G1794</f>
        <v/>
      </c>
      <c r="Q1794" s="51">
        <f>IF(K1794="Received",1,0)</f>
        <v/>
      </c>
      <c r="R1794" s="51">
        <f>IF(Q1794=1,F1794-D1794,0)</f>
        <v/>
      </c>
      <c r="S1794" s="51">
        <f>IF(Q1794=1,IF(F1794&lt;=E1794,1,0),0)</f>
        <v/>
      </c>
      <c r="T1794" s="51">
        <f>IF(Q1794=1,IF(H1794&gt;=G1794,1,0),0)</f>
        <v/>
      </c>
      <c r="U1794" s="51">
        <f>S1794*T1794</f>
        <v/>
      </c>
      <c r="V1794" s="51">
        <f>IF(Q1794=1,MAX(0,F1794-E1794),0)</f>
        <v/>
      </c>
    </row>
    <row r="1795">
      <c r="A1795" s="43" t="inlineStr">
        <is>
          <t>PO100093</t>
        </is>
      </c>
      <c r="B1795" s="43" t="inlineStr">
        <is>
          <t>CMD-0004</t>
        </is>
      </c>
      <c r="C1795" s="43" t="inlineStr">
        <is>
          <t>S07</t>
        </is>
      </c>
      <c r="D1795" s="47" t="n">
        <v>46222</v>
      </c>
      <c r="E1795" s="47" t="n">
        <v>46313</v>
      </c>
      <c r="F1795" s="47" t="n"/>
      <c r="G1795" s="46" t="n">
        <v>3336</v>
      </c>
      <c r="H1795" s="46" t="n">
        <v>0</v>
      </c>
      <c r="I1795" s="46" t="n">
        <v>0</v>
      </c>
      <c r="J1795" s="44" t="n">
        <v>4.779</v>
      </c>
      <c r="K1795" s="43" t="inlineStr">
        <is>
          <t>Open</t>
        </is>
      </c>
      <c r="L1795" s="17">
        <f>INDEX(Items!$C$2:$C$117,MATCH(B1795,Items!$A$2:$A$117,0))</f>
        <v/>
      </c>
      <c r="M1795" s="49">
        <f>INDEX(Items!$E$2:$E$117,MATCH(B1795,Items!$A$2:$A$117,0))</f>
        <v/>
      </c>
      <c r="N1795" s="17">
        <f>TEXT(D1795,"yyyy-mm")</f>
        <v/>
      </c>
      <c r="O1795" s="50">
        <f>G1795*J1795</f>
        <v/>
      </c>
      <c r="P1795" s="50">
        <f>(J1795-M1795)*G1795</f>
        <v/>
      </c>
      <c r="Q1795" s="51">
        <f>IF(K1795="Received",1,0)</f>
        <v/>
      </c>
      <c r="R1795" s="51">
        <f>IF(Q1795=1,F1795-D1795,0)</f>
        <v/>
      </c>
      <c r="S1795" s="51">
        <f>IF(Q1795=1,IF(F1795&lt;=E1795,1,0),0)</f>
        <v/>
      </c>
      <c r="T1795" s="51">
        <f>IF(Q1795=1,IF(H1795&gt;=G1795,1,0),0)</f>
        <v/>
      </c>
      <c r="U1795" s="51">
        <f>S1795*T1795</f>
        <v/>
      </c>
      <c r="V1795" s="51">
        <f>IF(Q1795=1,MAX(0,F1795-E1795),0)</f>
        <v/>
      </c>
    </row>
    <row r="1796">
      <c r="A1796" s="43" t="inlineStr">
        <is>
          <t>PO101889</t>
        </is>
      </c>
      <c r="B1796" s="43" t="inlineStr">
        <is>
          <t>CMD-0102</t>
        </is>
      </c>
      <c r="C1796" s="43" t="inlineStr">
        <is>
          <t>S09</t>
        </is>
      </c>
      <c r="D1796" s="47" t="n">
        <v>46222</v>
      </c>
      <c r="E1796" s="47" t="n">
        <v>46243</v>
      </c>
      <c r="F1796" s="47" t="n">
        <v>46242</v>
      </c>
      <c r="G1796" s="46" t="n">
        <v>2495</v>
      </c>
      <c r="H1796" s="46" t="n">
        <v>2495</v>
      </c>
      <c r="I1796" s="46" t="n">
        <v>11</v>
      </c>
      <c r="J1796" s="44" t="n">
        <v>6.9113</v>
      </c>
      <c r="K1796" s="43" t="inlineStr">
        <is>
          <t>Received</t>
        </is>
      </c>
      <c r="L1796" s="17">
        <f>INDEX(Items!$C$2:$C$117,MATCH(B1796,Items!$A$2:$A$117,0))</f>
        <v/>
      </c>
      <c r="M1796" s="49">
        <f>INDEX(Items!$E$2:$E$117,MATCH(B1796,Items!$A$2:$A$117,0))</f>
        <v/>
      </c>
      <c r="N1796" s="17">
        <f>TEXT(D1796,"yyyy-mm")</f>
        <v/>
      </c>
      <c r="O1796" s="50">
        <f>G1796*J1796</f>
        <v/>
      </c>
      <c r="P1796" s="50">
        <f>(J1796-M1796)*G1796</f>
        <v/>
      </c>
      <c r="Q1796" s="51">
        <f>IF(K1796="Received",1,0)</f>
        <v/>
      </c>
      <c r="R1796" s="51">
        <f>IF(Q1796=1,F1796-D1796,0)</f>
        <v/>
      </c>
      <c r="S1796" s="51">
        <f>IF(Q1796=1,IF(F1796&lt;=E1796,1,0),0)</f>
        <v/>
      </c>
      <c r="T1796" s="51">
        <f>IF(Q1796=1,IF(H1796&gt;=G1796,1,0),0)</f>
        <v/>
      </c>
      <c r="U1796" s="51">
        <f>S1796*T1796</f>
        <v/>
      </c>
      <c r="V1796" s="51">
        <f>IF(Q1796=1,MAX(0,F1796-E1796),0)</f>
        <v/>
      </c>
    </row>
    <row r="1797">
      <c r="A1797" s="43" t="inlineStr">
        <is>
          <t>PO101141</t>
        </is>
      </c>
      <c r="B1797" s="43" t="inlineStr">
        <is>
          <t>CMD-0052</t>
        </is>
      </c>
      <c r="C1797" s="43" t="inlineStr">
        <is>
          <t>S01</t>
        </is>
      </c>
      <c r="D1797" s="47" t="n">
        <v>46222</v>
      </c>
      <c r="E1797" s="47" t="n">
        <v>46243</v>
      </c>
      <c r="F1797" s="47" t="n">
        <v>46242</v>
      </c>
      <c r="G1797" s="46" t="n">
        <v>136511</v>
      </c>
      <c r="H1797" s="46" t="n">
        <v>136511</v>
      </c>
      <c r="I1797" s="46" t="n">
        <v>243</v>
      </c>
      <c r="J1797" s="44" t="n">
        <v>0.2076</v>
      </c>
      <c r="K1797" s="43" t="inlineStr">
        <is>
          <t>Received</t>
        </is>
      </c>
      <c r="L1797" s="17">
        <f>INDEX(Items!$C$2:$C$117,MATCH(B1797,Items!$A$2:$A$117,0))</f>
        <v/>
      </c>
      <c r="M1797" s="49">
        <f>INDEX(Items!$E$2:$E$117,MATCH(B1797,Items!$A$2:$A$117,0))</f>
        <v/>
      </c>
      <c r="N1797" s="17">
        <f>TEXT(D1797,"yyyy-mm")</f>
        <v/>
      </c>
      <c r="O1797" s="50">
        <f>G1797*J1797</f>
        <v/>
      </c>
      <c r="P1797" s="50">
        <f>(J1797-M1797)*G1797</f>
        <v/>
      </c>
      <c r="Q1797" s="51">
        <f>IF(K1797="Received",1,0)</f>
        <v/>
      </c>
      <c r="R1797" s="51">
        <f>IF(Q1797=1,F1797-D1797,0)</f>
        <v/>
      </c>
      <c r="S1797" s="51">
        <f>IF(Q1797=1,IF(F1797&lt;=E1797,1,0),0)</f>
        <v/>
      </c>
      <c r="T1797" s="51">
        <f>IF(Q1797=1,IF(H1797&gt;=G1797,1,0),0)</f>
        <v/>
      </c>
      <c r="U1797" s="51">
        <f>S1797*T1797</f>
        <v/>
      </c>
      <c r="V1797" s="51">
        <f>IF(Q1797=1,MAX(0,F1797-E1797),0)</f>
        <v/>
      </c>
    </row>
    <row r="1798">
      <c r="A1798" s="43" t="inlineStr">
        <is>
          <t>PO100767</t>
        </is>
      </c>
      <c r="B1798" s="43" t="inlineStr">
        <is>
          <t>CMD-0034</t>
        </is>
      </c>
      <c r="C1798" s="43" t="inlineStr">
        <is>
          <t>S04</t>
        </is>
      </c>
      <c r="D1798" s="47" t="n">
        <v>46222</v>
      </c>
      <c r="E1798" s="47" t="n">
        <v>46264</v>
      </c>
      <c r="F1798" s="47" t="n">
        <v>46263</v>
      </c>
      <c r="G1798" s="46" t="n">
        <v>770</v>
      </c>
      <c r="H1798" s="46" t="n">
        <v>770</v>
      </c>
      <c r="I1798" s="46" t="n">
        <v>10</v>
      </c>
      <c r="J1798" s="44" t="n">
        <v>10.8665</v>
      </c>
      <c r="K1798" s="43" t="inlineStr">
        <is>
          <t>Received</t>
        </is>
      </c>
      <c r="L1798" s="17">
        <f>INDEX(Items!$C$2:$C$117,MATCH(B1798,Items!$A$2:$A$117,0))</f>
        <v/>
      </c>
      <c r="M1798" s="49">
        <f>INDEX(Items!$E$2:$E$117,MATCH(B1798,Items!$A$2:$A$117,0))</f>
        <v/>
      </c>
      <c r="N1798" s="17">
        <f>TEXT(D1798,"yyyy-mm")</f>
        <v/>
      </c>
      <c r="O1798" s="50">
        <f>G1798*J1798</f>
        <v/>
      </c>
      <c r="P1798" s="50">
        <f>(J1798-M1798)*G1798</f>
        <v/>
      </c>
      <c r="Q1798" s="51">
        <f>IF(K1798="Received",1,0)</f>
        <v/>
      </c>
      <c r="R1798" s="51">
        <f>IF(Q1798=1,F1798-D1798,0)</f>
        <v/>
      </c>
      <c r="S1798" s="51">
        <f>IF(Q1798=1,IF(F1798&lt;=E1798,1,0),0)</f>
        <v/>
      </c>
      <c r="T1798" s="51">
        <f>IF(Q1798=1,IF(H1798&gt;=G1798,1,0),0)</f>
        <v/>
      </c>
      <c r="U1798" s="51">
        <f>S1798*T1798</f>
        <v/>
      </c>
      <c r="V1798" s="51">
        <f>IF(Q1798=1,MAX(0,F1798-E1798),0)</f>
        <v/>
      </c>
    </row>
    <row r="1799">
      <c r="A1799" s="43" t="inlineStr">
        <is>
          <t>PO101203</t>
        </is>
      </c>
      <c r="B1799" s="43" t="inlineStr">
        <is>
          <t>CMD-0055</t>
        </is>
      </c>
      <c r="C1799" s="43" t="inlineStr">
        <is>
          <t>S04</t>
        </is>
      </c>
      <c r="D1799" s="47" t="n">
        <v>46222</v>
      </c>
      <c r="E1799" s="47" t="n">
        <v>46257</v>
      </c>
      <c r="F1799" s="47" t="n">
        <v>46254</v>
      </c>
      <c r="G1799" s="46" t="n">
        <v>110114</v>
      </c>
      <c r="H1799" s="46" t="n">
        <v>110114</v>
      </c>
      <c r="I1799" s="46" t="n">
        <v>1103</v>
      </c>
      <c r="J1799" s="44" t="n">
        <v>0.09660000000000001</v>
      </c>
      <c r="K1799" s="43" t="inlineStr">
        <is>
          <t>Received</t>
        </is>
      </c>
      <c r="L1799" s="17">
        <f>INDEX(Items!$C$2:$C$117,MATCH(B1799,Items!$A$2:$A$117,0))</f>
        <v/>
      </c>
      <c r="M1799" s="49">
        <f>INDEX(Items!$E$2:$E$117,MATCH(B1799,Items!$A$2:$A$117,0))</f>
        <v/>
      </c>
      <c r="N1799" s="17">
        <f>TEXT(D1799,"yyyy-mm")</f>
        <v/>
      </c>
      <c r="O1799" s="50">
        <f>G1799*J1799</f>
        <v/>
      </c>
      <c r="P1799" s="50">
        <f>(J1799-M1799)*G1799</f>
        <v/>
      </c>
      <c r="Q1799" s="51">
        <f>IF(K1799="Received",1,0)</f>
        <v/>
      </c>
      <c r="R1799" s="51">
        <f>IF(Q1799=1,F1799-D1799,0)</f>
        <v/>
      </c>
      <c r="S1799" s="51">
        <f>IF(Q1799=1,IF(F1799&lt;=E1799,1,0),0)</f>
        <v/>
      </c>
      <c r="T1799" s="51">
        <f>IF(Q1799=1,IF(H1799&gt;=G1799,1,0),0)</f>
        <v/>
      </c>
      <c r="U1799" s="51">
        <f>S1799*T1799</f>
        <v/>
      </c>
      <c r="V1799" s="51">
        <f>IF(Q1799=1,MAX(0,F1799-E1799),0)</f>
        <v/>
      </c>
    </row>
    <row r="1800">
      <c r="A1800" s="43" t="inlineStr">
        <is>
          <t>PO101981</t>
        </is>
      </c>
      <c r="B1800" s="43" t="inlineStr">
        <is>
          <t>CMD-0109</t>
        </is>
      </c>
      <c r="C1800" s="43" t="inlineStr">
        <is>
          <t>S12</t>
        </is>
      </c>
      <c r="D1800" s="47" t="n">
        <v>46222</v>
      </c>
      <c r="E1800" s="47" t="n">
        <v>46229</v>
      </c>
      <c r="F1800" s="47" t="n">
        <v>46227</v>
      </c>
      <c r="G1800" s="46" t="n">
        <v>6089</v>
      </c>
      <c r="H1800" s="46" t="n">
        <v>6089</v>
      </c>
      <c r="I1800" s="46" t="n">
        <v>8</v>
      </c>
      <c r="J1800" s="44" t="n">
        <v>1.751</v>
      </c>
      <c r="K1800" s="43" t="inlineStr">
        <is>
          <t>Received</t>
        </is>
      </c>
      <c r="L1800" s="17">
        <f>INDEX(Items!$C$2:$C$117,MATCH(B1800,Items!$A$2:$A$117,0))</f>
        <v/>
      </c>
      <c r="M1800" s="49">
        <f>INDEX(Items!$E$2:$E$117,MATCH(B1800,Items!$A$2:$A$117,0))</f>
        <v/>
      </c>
      <c r="N1800" s="17">
        <f>TEXT(D1800,"yyyy-mm")</f>
        <v/>
      </c>
      <c r="O1800" s="50">
        <f>G1800*J1800</f>
        <v/>
      </c>
      <c r="P1800" s="50">
        <f>(J1800-M1800)*G1800</f>
        <v/>
      </c>
      <c r="Q1800" s="51">
        <f>IF(K1800="Received",1,0)</f>
        <v/>
      </c>
      <c r="R1800" s="51">
        <f>IF(Q1800=1,F1800-D1800,0)</f>
        <v/>
      </c>
      <c r="S1800" s="51">
        <f>IF(Q1800=1,IF(F1800&lt;=E1800,1,0),0)</f>
        <v/>
      </c>
      <c r="T1800" s="51">
        <f>IF(Q1800=1,IF(H1800&gt;=G1800,1,0),0)</f>
        <v/>
      </c>
      <c r="U1800" s="51">
        <f>S1800*T1800</f>
        <v/>
      </c>
      <c r="V1800" s="51">
        <f>IF(Q1800=1,MAX(0,F1800-E1800),0)</f>
        <v/>
      </c>
    </row>
    <row r="1801">
      <c r="A1801" s="43" t="inlineStr">
        <is>
          <t>PO100493</t>
        </is>
      </c>
      <c r="B1801" s="43" t="inlineStr">
        <is>
          <t>CMD-0022</t>
        </is>
      </c>
      <c r="C1801" s="43" t="inlineStr">
        <is>
          <t>S02</t>
        </is>
      </c>
      <c r="D1801" s="47" t="n">
        <v>46222</v>
      </c>
      <c r="E1801" s="47" t="n">
        <v>46278</v>
      </c>
      <c r="F1801" s="47" t="n">
        <v>46276</v>
      </c>
      <c r="G1801" s="46" t="n">
        <v>3637</v>
      </c>
      <c r="H1801" s="46" t="n">
        <v>3637</v>
      </c>
      <c r="I1801" s="46" t="n">
        <v>17</v>
      </c>
      <c r="J1801" s="44" t="n">
        <v>17.6954</v>
      </c>
      <c r="K1801" s="43" t="inlineStr">
        <is>
          <t>Received</t>
        </is>
      </c>
      <c r="L1801" s="17">
        <f>INDEX(Items!$C$2:$C$117,MATCH(B1801,Items!$A$2:$A$117,0))</f>
        <v/>
      </c>
      <c r="M1801" s="49">
        <f>INDEX(Items!$E$2:$E$117,MATCH(B1801,Items!$A$2:$A$117,0))</f>
        <v/>
      </c>
      <c r="N1801" s="17">
        <f>TEXT(D1801,"yyyy-mm")</f>
        <v/>
      </c>
      <c r="O1801" s="50">
        <f>G1801*J1801</f>
        <v/>
      </c>
      <c r="P1801" s="50">
        <f>(J1801-M1801)*G1801</f>
        <v/>
      </c>
      <c r="Q1801" s="51">
        <f>IF(K1801="Received",1,0)</f>
        <v/>
      </c>
      <c r="R1801" s="51">
        <f>IF(Q1801=1,F1801-D1801,0)</f>
        <v/>
      </c>
      <c r="S1801" s="51">
        <f>IF(Q1801=1,IF(F1801&lt;=E1801,1,0),0)</f>
        <v/>
      </c>
      <c r="T1801" s="51">
        <f>IF(Q1801=1,IF(H1801&gt;=G1801,1,0),0)</f>
        <v/>
      </c>
      <c r="U1801" s="51">
        <f>S1801*T1801</f>
        <v/>
      </c>
      <c r="V1801" s="51">
        <f>IF(Q1801=1,MAX(0,F1801-E1801),0)</f>
        <v/>
      </c>
    </row>
    <row r="1802">
      <c r="A1802" s="43" t="inlineStr">
        <is>
          <t>PO101585</t>
        </is>
      </c>
      <c r="B1802" s="43" t="inlineStr">
        <is>
          <t>CMD-0085</t>
        </is>
      </c>
      <c r="C1802" s="43" t="inlineStr">
        <is>
          <t>S06</t>
        </is>
      </c>
      <c r="D1802" s="47" t="n">
        <v>46223</v>
      </c>
      <c r="E1802" s="47" t="n">
        <v>46244</v>
      </c>
      <c r="F1802" s="47" t="n">
        <v>46242</v>
      </c>
      <c r="G1802" s="46" t="n">
        <v>726</v>
      </c>
      <c r="H1802" s="46" t="n">
        <v>726</v>
      </c>
      <c r="I1802" s="46" t="n">
        <v>3</v>
      </c>
      <c r="J1802" s="44" t="n">
        <v>10.8768</v>
      </c>
      <c r="K1802" s="43" t="inlineStr">
        <is>
          <t>Received</t>
        </is>
      </c>
      <c r="L1802" s="17">
        <f>INDEX(Items!$C$2:$C$117,MATCH(B1802,Items!$A$2:$A$117,0))</f>
        <v/>
      </c>
      <c r="M1802" s="49">
        <f>INDEX(Items!$E$2:$E$117,MATCH(B1802,Items!$A$2:$A$117,0))</f>
        <v/>
      </c>
      <c r="N1802" s="17">
        <f>TEXT(D1802,"yyyy-mm")</f>
        <v/>
      </c>
      <c r="O1802" s="50">
        <f>G1802*J1802</f>
        <v/>
      </c>
      <c r="P1802" s="50">
        <f>(J1802-M1802)*G1802</f>
        <v/>
      </c>
      <c r="Q1802" s="51">
        <f>IF(K1802="Received",1,0)</f>
        <v/>
      </c>
      <c r="R1802" s="51">
        <f>IF(Q1802=1,F1802-D1802,0)</f>
        <v/>
      </c>
      <c r="S1802" s="51">
        <f>IF(Q1802=1,IF(F1802&lt;=E1802,1,0),0)</f>
        <v/>
      </c>
      <c r="T1802" s="51">
        <f>IF(Q1802=1,IF(H1802&gt;=G1802,1,0),0)</f>
        <v/>
      </c>
      <c r="U1802" s="51">
        <f>S1802*T1802</f>
        <v/>
      </c>
      <c r="V1802" s="51">
        <f>IF(Q1802=1,MAX(0,F1802-E1802),0)</f>
        <v/>
      </c>
    </row>
    <row r="1803">
      <c r="A1803" s="43" t="inlineStr">
        <is>
          <t>PO100863</t>
        </is>
      </c>
      <c r="B1803" s="43" t="inlineStr">
        <is>
          <t>CMD-0038</t>
        </is>
      </c>
      <c r="C1803" s="43" t="inlineStr">
        <is>
          <t>S01</t>
        </is>
      </c>
      <c r="D1803" s="47" t="n">
        <v>46223</v>
      </c>
      <c r="E1803" s="47" t="n">
        <v>46251</v>
      </c>
      <c r="F1803" s="47" t="n">
        <v>46249</v>
      </c>
      <c r="G1803" s="46" t="n">
        <v>893</v>
      </c>
      <c r="H1803" s="46" t="n">
        <v>893</v>
      </c>
      <c r="I1803" s="46" t="n">
        <v>2</v>
      </c>
      <c r="J1803" s="44" t="n">
        <v>22.1347</v>
      </c>
      <c r="K1803" s="43" t="inlineStr">
        <is>
          <t>Received</t>
        </is>
      </c>
      <c r="L1803" s="17">
        <f>INDEX(Items!$C$2:$C$117,MATCH(B1803,Items!$A$2:$A$117,0))</f>
        <v/>
      </c>
      <c r="M1803" s="49">
        <f>INDEX(Items!$E$2:$E$117,MATCH(B1803,Items!$A$2:$A$117,0))</f>
        <v/>
      </c>
      <c r="N1803" s="17">
        <f>TEXT(D1803,"yyyy-mm")</f>
        <v/>
      </c>
      <c r="O1803" s="50">
        <f>G1803*J1803</f>
        <v/>
      </c>
      <c r="P1803" s="50">
        <f>(J1803-M1803)*G1803</f>
        <v/>
      </c>
      <c r="Q1803" s="51">
        <f>IF(K1803="Received",1,0)</f>
        <v/>
      </c>
      <c r="R1803" s="51">
        <f>IF(Q1803=1,F1803-D1803,0)</f>
        <v/>
      </c>
      <c r="S1803" s="51">
        <f>IF(Q1803=1,IF(F1803&lt;=E1803,1,0),0)</f>
        <v/>
      </c>
      <c r="T1803" s="51">
        <f>IF(Q1803=1,IF(H1803&gt;=G1803,1,0),0)</f>
        <v/>
      </c>
      <c r="U1803" s="51">
        <f>S1803*T1803</f>
        <v/>
      </c>
      <c r="V1803" s="51">
        <f>IF(Q1803=1,MAX(0,F1803-E1803),0)</f>
        <v/>
      </c>
    </row>
    <row r="1804">
      <c r="A1804" s="43" t="inlineStr">
        <is>
          <t>PO101477</t>
        </is>
      </c>
      <c r="B1804" s="43" t="inlineStr">
        <is>
          <t>CMD-0078</t>
        </is>
      </c>
      <c r="C1804" s="43" t="inlineStr">
        <is>
          <t>S06</t>
        </is>
      </c>
      <c r="D1804" s="47" t="n">
        <v>46223</v>
      </c>
      <c r="E1804" s="47" t="n">
        <v>46244</v>
      </c>
      <c r="F1804" s="47" t="n">
        <v>46243</v>
      </c>
      <c r="G1804" s="46" t="n">
        <v>4902</v>
      </c>
      <c r="H1804" s="46" t="n">
        <v>4902</v>
      </c>
      <c r="I1804" s="46" t="n">
        <v>15</v>
      </c>
      <c r="J1804" s="44" t="n">
        <v>2.678</v>
      </c>
      <c r="K1804" s="43" t="inlineStr">
        <is>
          <t>Received</t>
        </is>
      </c>
      <c r="L1804" s="17">
        <f>INDEX(Items!$C$2:$C$117,MATCH(B1804,Items!$A$2:$A$117,0))</f>
        <v/>
      </c>
      <c r="M1804" s="49">
        <f>INDEX(Items!$E$2:$E$117,MATCH(B1804,Items!$A$2:$A$117,0))</f>
        <v/>
      </c>
      <c r="N1804" s="17">
        <f>TEXT(D1804,"yyyy-mm")</f>
        <v/>
      </c>
      <c r="O1804" s="50">
        <f>G1804*J1804</f>
        <v/>
      </c>
      <c r="P1804" s="50">
        <f>(J1804-M1804)*G1804</f>
        <v/>
      </c>
      <c r="Q1804" s="51">
        <f>IF(K1804="Received",1,0)</f>
        <v/>
      </c>
      <c r="R1804" s="51">
        <f>IF(Q1804=1,F1804-D1804,0)</f>
        <v/>
      </c>
      <c r="S1804" s="51">
        <f>IF(Q1804=1,IF(F1804&lt;=E1804,1,0),0)</f>
        <v/>
      </c>
      <c r="T1804" s="51">
        <f>IF(Q1804=1,IF(H1804&gt;=G1804,1,0),0)</f>
        <v/>
      </c>
      <c r="U1804" s="51">
        <f>S1804*T1804</f>
        <v/>
      </c>
      <c r="V1804" s="51">
        <f>IF(Q1804=1,MAX(0,F1804-E1804),0)</f>
        <v/>
      </c>
    </row>
    <row r="1805">
      <c r="A1805" s="43" t="inlineStr">
        <is>
          <t>PO100791</t>
        </is>
      </c>
      <c r="B1805" s="43" t="inlineStr">
        <is>
          <t>CMD-0035</t>
        </is>
      </c>
      <c r="C1805" s="43" t="inlineStr">
        <is>
          <t>S01</t>
        </is>
      </c>
      <c r="D1805" s="47" t="n">
        <v>46223</v>
      </c>
      <c r="E1805" s="47" t="n">
        <v>46251</v>
      </c>
      <c r="F1805" s="47" t="n">
        <v>46250</v>
      </c>
      <c r="G1805" s="46" t="n">
        <v>670</v>
      </c>
      <c r="H1805" s="46" t="n">
        <v>670</v>
      </c>
      <c r="I1805" s="46" t="n">
        <v>1</v>
      </c>
      <c r="J1805" s="44" t="n">
        <v>9.6511</v>
      </c>
      <c r="K1805" s="43" t="inlineStr">
        <is>
          <t>Received</t>
        </is>
      </c>
      <c r="L1805" s="17">
        <f>INDEX(Items!$C$2:$C$117,MATCH(B1805,Items!$A$2:$A$117,0))</f>
        <v/>
      </c>
      <c r="M1805" s="49">
        <f>INDEX(Items!$E$2:$E$117,MATCH(B1805,Items!$A$2:$A$117,0))</f>
        <v/>
      </c>
      <c r="N1805" s="17">
        <f>TEXT(D1805,"yyyy-mm")</f>
        <v/>
      </c>
      <c r="O1805" s="50">
        <f>G1805*J1805</f>
        <v/>
      </c>
      <c r="P1805" s="50">
        <f>(J1805-M1805)*G1805</f>
        <v/>
      </c>
      <c r="Q1805" s="51">
        <f>IF(K1805="Received",1,0)</f>
        <v/>
      </c>
      <c r="R1805" s="51">
        <f>IF(Q1805=1,F1805-D1805,0)</f>
        <v/>
      </c>
      <c r="S1805" s="51">
        <f>IF(Q1805=1,IF(F1805&lt;=E1805,1,0),0)</f>
        <v/>
      </c>
      <c r="T1805" s="51">
        <f>IF(Q1805=1,IF(H1805&gt;=G1805,1,0),0)</f>
        <v/>
      </c>
      <c r="U1805" s="51">
        <f>S1805*T1805</f>
        <v/>
      </c>
      <c r="V1805" s="51">
        <f>IF(Q1805=1,MAX(0,F1805-E1805),0)</f>
        <v/>
      </c>
    </row>
    <row r="1806">
      <c r="A1806" s="43" t="inlineStr">
        <is>
          <t>PO100289</t>
        </is>
      </c>
      <c r="B1806" s="43" t="inlineStr">
        <is>
          <t>CMD-0013</t>
        </is>
      </c>
      <c r="C1806" s="43" t="inlineStr">
        <is>
          <t>S11</t>
        </is>
      </c>
      <c r="D1806" s="47" t="n">
        <v>46223</v>
      </c>
      <c r="E1806" s="47" t="n">
        <v>46342</v>
      </c>
      <c r="F1806" s="47" t="n"/>
      <c r="G1806" s="46" t="n">
        <v>941</v>
      </c>
      <c r="H1806" s="46" t="n">
        <v>0</v>
      </c>
      <c r="I1806" s="46" t="n">
        <v>0</v>
      </c>
      <c r="J1806" s="44" t="n">
        <v>7.965</v>
      </c>
      <c r="K1806" s="43" t="inlineStr">
        <is>
          <t>Open</t>
        </is>
      </c>
      <c r="L1806" s="17">
        <f>INDEX(Items!$C$2:$C$117,MATCH(B1806,Items!$A$2:$A$117,0))</f>
        <v/>
      </c>
      <c r="M1806" s="49">
        <f>INDEX(Items!$E$2:$E$117,MATCH(B1806,Items!$A$2:$A$117,0))</f>
        <v/>
      </c>
      <c r="N1806" s="17">
        <f>TEXT(D1806,"yyyy-mm")</f>
        <v/>
      </c>
      <c r="O1806" s="50">
        <f>G1806*J1806</f>
        <v/>
      </c>
      <c r="P1806" s="50">
        <f>(J1806-M1806)*G1806</f>
        <v/>
      </c>
      <c r="Q1806" s="51">
        <f>IF(K1806="Received",1,0)</f>
        <v/>
      </c>
      <c r="R1806" s="51">
        <f>IF(Q1806=1,F1806-D1806,0)</f>
        <v/>
      </c>
      <c r="S1806" s="51">
        <f>IF(Q1806=1,IF(F1806&lt;=E1806,1,0),0)</f>
        <v/>
      </c>
      <c r="T1806" s="51">
        <f>IF(Q1806=1,IF(H1806&gt;=G1806,1,0),0)</f>
        <v/>
      </c>
      <c r="U1806" s="51">
        <f>S1806*T1806</f>
        <v/>
      </c>
      <c r="V1806" s="51">
        <f>IF(Q1806=1,MAX(0,F1806-E1806),0)</f>
        <v/>
      </c>
    </row>
    <row r="1807">
      <c r="A1807" s="43" t="inlineStr">
        <is>
          <t>PO100637</t>
        </is>
      </c>
      <c r="B1807" s="43" t="inlineStr">
        <is>
          <t>CMD-0028</t>
        </is>
      </c>
      <c r="C1807" s="43" t="inlineStr">
        <is>
          <t>S11</t>
        </is>
      </c>
      <c r="D1807" s="47" t="n">
        <v>46223</v>
      </c>
      <c r="E1807" s="47" t="n">
        <v>46300</v>
      </c>
      <c r="F1807" s="47" t="n"/>
      <c r="G1807" s="46" t="n">
        <v>3724</v>
      </c>
      <c r="H1807" s="46" t="n">
        <v>0</v>
      </c>
      <c r="I1807" s="46" t="n">
        <v>0</v>
      </c>
      <c r="J1807" s="44" t="n">
        <v>16.3152</v>
      </c>
      <c r="K1807" s="43" t="inlineStr">
        <is>
          <t>Open</t>
        </is>
      </c>
      <c r="L1807" s="17">
        <f>INDEX(Items!$C$2:$C$117,MATCH(B1807,Items!$A$2:$A$117,0))</f>
        <v/>
      </c>
      <c r="M1807" s="49">
        <f>INDEX(Items!$E$2:$E$117,MATCH(B1807,Items!$A$2:$A$117,0))</f>
        <v/>
      </c>
      <c r="N1807" s="17">
        <f>TEXT(D1807,"yyyy-mm")</f>
        <v/>
      </c>
      <c r="O1807" s="50">
        <f>G1807*J1807</f>
        <v/>
      </c>
      <c r="P1807" s="50">
        <f>(J1807-M1807)*G1807</f>
        <v/>
      </c>
      <c r="Q1807" s="51">
        <f>IF(K1807="Received",1,0)</f>
        <v/>
      </c>
      <c r="R1807" s="51">
        <f>IF(Q1807=1,F1807-D1807,0)</f>
        <v/>
      </c>
      <c r="S1807" s="51">
        <f>IF(Q1807=1,IF(F1807&lt;=E1807,1,0),0)</f>
        <v/>
      </c>
      <c r="T1807" s="51">
        <f>IF(Q1807=1,IF(H1807&gt;=G1807,1,0),0)</f>
        <v/>
      </c>
      <c r="U1807" s="51">
        <f>S1807*T1807</f>
        <v/>
      </c>
      <c r="V1807" s="51">
        <f>IF(Q1807=1,MAX(0,F1807-E1807),0)</f>
        <v/>
      </c>
    </row>
    <row r="1808">
      <c r="A1808" s="43" t="inlineStr">
        <is>
          <t>PO101663</t>
        </is>
      </c>
      <c r="B1808" s="43" t="inlineStr">
        <is>
          <t>CMD-0091</t>
        </is>
      </c>
      <c r="C1808" s="43" t="inlineStr">
        <is>
          <t>S08</t>
        </is>
      </c>
      <c r="D1808" s="47" t="n">
        <v>46223</v>
      </c>
      <c r="E1808" s="47" t="n">
        <v>46300</v>
      </c>
      <c r="F1808" s="47" t="n"/>
      <c r="G1808" s="46" t="n">
        <v>957</v>
      </c>
      <c r="H1808" s="46" t="n">
        <v>0</v>
      </c>
      <c r="I1808" s="46" t="n">
        <v>0</v>
      </c>
      <c r="J1808" s="44" t="n">
        <v>24.514</v>
      </c>
      <c r="K1808" s="43" t="inlineStr">
        <is>
          <t>Open</t>
        </is>
      </c>
      <c r="L1808" s="17">
        <f>INDEX(Items!$C$2:$C$117,MATCH(B1808,Items!$A$2:$A$117,0))</f>
        <v/>
      </c>
      <c r="M1808" s="49">
        <f>INDEX(Items!$E$2:$E$117,MATCH(B1808,Items!$A$2:$A$117,0))</f>
        <v/>
      </c>
      <c r="N1808" s="17">
        <f>TEXT(D1808,"yyyy-mm")</f>
        <v/>
      </c>
      <c r="O1808" s="50">
        <f>G1808*J1808</f>
        <v/>
      </c>
      <c r="P1808" s="50">
        <f>(J1808-M1808)*G1808</f>
        <v/>
      </c>
      <c r="Q1808" s="51">
        <f>IF(K1808="Received",1,0)</f>
        <v/>
      </c>
      <c r="R1808" s="51">
        <f>IF(Q1808=1,F1808-D1808,0)</f>
        <v/>
      </c>
      <c r="S1808" s="51">
        <f>IF(Q1808=1,IF(F1808&lt;=E1808,1,0),0)</f>
        <v/>
      </c>
      <c r="T1808" s="51">
        <f>IF(Q1808=1,IF(H1808&gt;=G1808,1,0),0)</f>
        <v/>
      </c>
      <c r="U1808" s="51">
        <f>S1808*T1808</f>
        <v/>
      </c>
      <c r="V1808" s="51">
        <f>IF(Q1808=1,MAX(0,F1808-E1808),0)</f>
        <v/>
      </c>
    </row>
    <row r="1809">
      <c r="A1809" s="43" t="inlineStr">
        <is>
          <t>PO100021</t>
        </is>
      </c>
      <c r="B1809" s="43" t="inlineStr">
        <is>
          <t>CMD-0001</t>
        </is>
      </c>
      <c r="C1809" s="43" t="inlineStr">
        <is>
          <t>S07</t>
        </is>
      </c>
      <c r="D1809" s="47" t="n">
        <v>46224</v>
      </c>
      <c r="E1809" s="47" t="n">
        <v>46315</v>
      </c>
      <c r="F1809" s="47" t="n"/>
      <c r="G1809" s="46" t="n">
        <v>8200</v>
      </c>
      <c r="H1809" s="46" t="n">
        <v>0</v>
      </c>
      <c r="I1809" s="46" t="n">
        <v>0</v>
      </c>
      <c r="J1809" s="44" t="n">
        <v>16.8268</v>
      </c>
      <c r="K1809" s="43" t="inlineStr">
        <is>
          <t>Open</t>
        </is>
      </c>
      <c r="L1809" s="17">
        <f>INDEX(Items!$C$2:$C$117,MATCH(B1809,Items!$A$2:$A$117,0))</f>
        <v/>
      </c>
      <c r="M1809" s="49">
        <f>INDEX(Items!$E$2:$E$117,MATCH(B1809,Items!$A$2:$A$117,0))</f>
        <v/>
      </c>
      <c r="N1809" s="17">
        <f>TEXT(D1809,"yyyy-mm")</f>
        <v/>
      </c>
      <c r="O1809" s="50">
        <f>G1809*J1809</f>
        <v/>
      </c>
      <c r="P1809" s="50">
        <f>(J1809-M1809)*G1809</f>
        <v/>
      </c>
      <c r="Q1809" s="51">
        <f>IF(K1809="Received",1,0)</f>
        <v/>
      </c>
      <c r="R1809" s="51">
        <f>IF(Q1809=1,F1809-D1809,0)</f>
        <v/>
      </c>
      <c r="S1809" s="51">
        <f>IF(Q1809=1,IF(F1809&lt;=E1809,1,0),0)</f>
        <v/>
      </c>
      <c r="T1809" s="51">
        <f>IF(Q1809=1,IF(H1809&gt;=G1809,1,0),0)</f>
        <v/>
      </c>
      <c r="U1809" s="51">
        <f>S1809*T1809</f>
        <v/>
      </c>
      <c r="V1809" s="51">
        <f>IF(Q1809=1,MAX(0,F1809-E1809),0)</f>
        <v/>
      </c>
    </row>
    <row r="1810">
      <c r="A1810" s="43" t="inlineStr">
        <is>
          <t>PO100385</t>
        </is>
      </c>
      <c r="B1810" s="43" t="inlineStr">
        <is>
          <t>CMD-0017</t>
        </is>
      </c>
      <c r="C1810" s="43" t="inlineStr">
        <is>
          <t>S11</t>
        </is>
      </c>
      <c r="D1810" s="47" t="n">
        <v>46224</v>
      </c>
      <c r="E1810" s="47" t="n">
        <v>46301</v>
      </c>
      <c r="F1810" s="47" t="n"/>
      <c r="G1810" s="46" t="n">
        <v>6970</v>
      </c>
      <c r="H1810" s="46" t="n">
        <v>0</v>
      </c>
      <c r="I1810" s="46" t="n">
        <v>0</v>
      </c>
      <c r="J1810" s="44" t="n">
        <v>13.0707</v>
      </c>
      <c r="K1810" s="43" t="inlineStr">
        <is>
          <t>Open</t>
        </is>
      </c>
      <c r="L1810" s="17">
        <f>INDEX(Items!$C$2:$C$117,MATCH(B1810,Items!$A$2:$A$117,0))</f>
        <v/>
      </c>
      <c r="M1810" s="49">
        <f>INDEX(Items!$E$2:$E$117,MATCH(B1810,Items!$A$2:$A$117,0))</f>
        <v/>
      </c>
      <c r="N1810" s="17">
        <f>TEXT(D1810,"yyyy-mm")</f>
        <v/>
      </c>
      <c r="O1810" s="50">
        <f>G1810*J1810</f>
        <v/>
      </c>
      <c r="P1810" s="50">
        <f>(J1810-M1810)*G1810</f>
        <v/>
      </c>
      <c r="Q1810" s="51">
        <f>IF(K1810="Received",1,0)</f>
        <v/>
      </c>
      <c r="R1810" s="51">
        <f>IF(Q1810=1,F1810-D1810,0)</f>
        <v/>
      </c>
      <c r="S1810" s="51">
        <f>IF(Q1810=1,IF(F1810&lt;=E1810,1,0),0)</f>
        <v/>
      </c>
      <c r="T1810" s="51">
        <f>IF(Q1810=1,IF(H1810&gt;=G1810,1,0),0)</f>
        <v/>
      </c>
      <c r="U1810" s="51">
        <f>S1810*T1810</f>
        <v/>
      </c>
      <c r="V1810" s="51">
        <f>IF(Q1810=1,MAX(0,F1810-E1810),0)</f>
        <v/>
      </c>
    </row>
    <row r="1811">
      <c r="A1811" s="43" t="inlineStr">
        <is>
          <t>PO100541</t>
        </is>
      </c>
      <c r="B1811" s="43" t="inlineStr">
        <is>
          <t>CMD-0024</t>
        </is>
      </c>
      <c r="C1811" s="43" t="inlineStr">
        <is>
          <t>S04</t>
        </is>
      </c>
      <c r="D1811" s="47" t="n">
        <v>46224</v>
      </c>
      <c r="E1811" s="47" t="n">
        <v>46294</v>
      </c>
      <c r="F1811" s="47" t="n">
        <v>46293</v>
      </c>
      <c r="G1811" s="46" t="n">
        <v>5260</v>
      </c>
      <c r="H1811" s="46" t="n">
        <v>5260</v>
      </c>
      <c r="I1811" s="46" t="n">
        <v>53</v>
      </c>
      <c r="J1811" s="44" t="n">
        <v>3.4093</v>
      </c>
      <c r="K1811" s="43" t="inlineStr">
        <is>
          <t>Received</t>
        </is>
      </c>
      <c r="L1811" s="17">
        <f>INDEX(Items!$C$2:$C$117,MATCH(B1811,Items!$A$2:$A$117,0))</f>
        <v/>
      </c>
      <c r="M1811" s="49">
        <f>INDEX(Items!$E$2:$E$117,MATCH(B1811,Items!$A$2:$A$117,0))</f>
        <v/>
      </c>
      <c r="N1811" s="17">
        <f>TEXT(D1811,"yyyy-mm")</f>
        <v/>
      </c>
      <c r="O1811" s="50">
        <f>G1811*J1811</f>
        <v/>
      </c>
      <c r="P1811" s="50">
        <f>(J1811-M1811)*G1811</f>
        <v/>
      </c>
      <c r="Q1811" s="51">
        <f>IF(K1811="Received",1,0)</f>
        <v/>
      </c>
      <c r="R1811" s="51">
        <f>IF(Q1811=1,F1811-D1811,0)</f>
        <v/>
      </c>
      <c r="S1811" s="51">
        <f>IF(Q1811=1,IF(F1811&lt;=E1811,1,0),0)</f>
        <v/>
      </c>
      <c r="T1811" s="51">
        <f>IF(Q1811=1,IF(H1811&gt;=G1811,1,0),0)</f>
        <v/>
      </c>
      <c r="U1811" s="51">
        <f>S1811*T1811</f>
        <v/>
      </c>
      <c r="V1811" s="51">
        <f>IF(Q1811=1,MAX(0,F1811-E1811),0)</f>
        <v/>
      </c>
    </row>
    <row r="1812">
      <c r="A1812" s="43" t="inlineStr">
        <is>
          <t>PO101687</t>
        </is>
      </c>
      <c r="B1812" s="43" t="inlineStr">
        <is>
          <t>CMD-0092</t>
        </is>
      </c>
      <c r="C1812" s="43" t="inlineStr">
        <is>
          <t>S08</t>
        </is>
      </c>
      <c r="D1812" s="47" t="n">
        <v>46224</v>
      </c>
      <c r="E1812" s="47" t="n">
        <v>46301</v>
      </c>
      <c r="F1812" s="47" t="n"/>
      <c r="G1812" s="46" t="n">
        <v>363</v>
      </c>
      <c r="H1812" s="46" t="n">
        <v>0</v>
      </c>
      <c r="I1812" s="46" t="n">
        <v>0</v>
      </c>
      <c r="J1812" s="44" t="n">
        <v>30.3541</v>
      </c>
      <c r="K1812" s="43" t="inlineStr">
        <is>
          <t>Open</t>
        </is>
      </c>
      <c r="L1812" s="17">
        <f>INDEX(Items!$C$2:$C$117,MATCH(B1812,Items!$A$2:$A$117,0))</f>
        <v/>
      </c>
      <c r="M1812" s="49">
        <f>INDEX(Items!$E$2:$E$117,MATCH(B1812,Items!$A$2:$A$117,0))</f>
        <v/>
      </c>
      <c r="N1812" s="17">
        <f>TEXT(D1812,"yyyy-mm")</f>
        <v/>
      </c>
      <c r="O1812" s="50">
        <f>G1812*J1812</f>
        <v/>
      </c>
      <c r="P1812" s="50">
        <f>(J1812-M1812)*G1812</f>
        <v/>
      </c>
      <c r="Q1812" s="51">
        <f>IF(K1812="Received",1,0)</f>
        <v/>
      </c>
      <c r="R1812" s="51">
        <f>IF(Q1812=1,F1812-D1812,0)</f>
        <v/>
      </c>
      <c r="S1812" s="51">
        <f>IF(Q1812=1,IF(F1812&lt;=E1812,1,0),0)</f>
        <v/>
      </c>
      <c r="T1812" s="51">
        <f>IF(Q1812=1,IF(H1812&gt;=G1812,1,0),0)</f>
        <v/>
      </c>
      <c r="U1812" s="51">
        <f>S1812*T1812</f>
        <v/>
      </c>
      <c r="V1812" s="51">
        <f>IF(Q1812=1,MAX(0,F1812-E1812),0)</f>
        <v/>
      </c>
    </row>
    <row r="1813">
      <c r="A1813" s="43" t="inlineStr">
        <is>
          <t>PO101103</t>
        </is>
      </c>
      <c r="B1813" s="43" t="inlineStr">
        <is>
          <t>CMD-0050</t>
        </is>
      </c>
      <c r="C1813" s="43" t="inlineStr">
        <is>
          <t>S10</t>
        </is>
      </c>
      <c r="D1813" s="47" t="n">
        <v>46224</v>
      </c>
      <c r="E1813" s="47" t="n">
        <v>46252</v>
      </c>
      <c r="F1813" s="47" t="n">
        <v>46273</v>
      </c>
      <c r="G1813" s="46" t="n">
        <v>83575</v>
      </c>
      <c r="H1813" s="46" t="n">
        <v>83575</v>
      </c>
      <c r="I1813" s="46" t="n">
        <v>95</v>
      </c>
      <c r="J1813" s="44" t="n">
        <v>0.0772</v>
      </c>
      <c r="K1813" s="43" t="inlineStr">
        <is>
          <t>Received</t>
        </is>
      </c>
      <c r="L1813" s="17">
        <f>INDEX(Items!$C$2:$C$117,MATCH(B1813,Items!$A$2:$A$117,0))</f>
        <v/>
      </c>
      <c r="M1813" s="49">
        <f>INDEX(Items!$E$2:$E$117,MATCH(B1813,Items!$A$2:$A$117,0))</f>
        <v/>
      </c>
      <c r="N1813" s="17">
        <f>TEXT(D1813,"yyyy-mm")</f>
        <v/>
      </c>
      <c r="O1813" s="50">
        <f>G1813*J1813</f>
        <v/>
      </c>
      <c r="P1813" s="50">
        <f>(J1813-M1813)*G1813</f>
        <v/>
      </c>
      <c r="Q1813" s="51">
        <f>IF(K1813="Received",1,0)</f>
        <v/>
      </c>
      <c r="R1813" s="51">
        <f>IF(Q1813=1,F1813-D1813,0)</f>
        <v/>
      </c>
      <c r="S1813" s="51">
        <f>IF(Q1813=1,IF(F1813&lt;=E1813,1,0),0)</f>
        <v/>
      </c>
      <c r="T1813" s="51">
        <f>IF(Q1813=1,IF(H1813&gt;=G1813,1,0),0)</f>
        <v/>
      </c>
      <c r="U1813" s="51">
        <f>S1813*T1813</f>
        <v/>
      </c>
      <c r="V1813" s="51">
        <f>IF(Q1813=1,MAX(0,F1813-E1813),0)</f>
        <v/>
      </c>
    </row>
    <row r="1814">
      <c r="A1814" s="43" t="inlineStr">
        <is>
          <t>PO100361</t>
        </is>
      </c>
      <c r="B1814" s="43" t="inlineStr">
        <is>
          <t>CMD-0016</t>
        </is>
      </c>
      <c r="C1814" s="43" t="inlineStr">
        <is>
          <t>S07</t>
        </is>
      </c>
      <c r="D1814" s="47" t="n">
        <v>46224</v>
      </c>
      <c r="E1814" s="47" t="n">
        <v>46315</v>
      </c>
      <c r="F1814" s="47" t="n"/>
      <c r="G1814" s="46" t="n">
        <v>7727</v>
      </c>
      <c r="H1814" s="46" t="n">
        <v>0</v>
      </c>
      <c r="I1814" s="46" t="n">
        <v>0</v>
      </c>
      <c r="J1814" s="44" t="n">
        <v>31.8836</v>
      </c>
      <c r="K1814" s="43" t="inlineStr">
        <is>
          <t>Open</t>
        </is>
      </c>
      <c r="L1814" s="17">
        <f>INDEX(Items!$C$2:$C$117,MATCH(B1814,Items!$A$2:$A$117,0))</f>
        <v/>
      </c>
      <c r="M1814" s="49">
        <f>INDEX(Items!$E$2:$E$117,MATCH(B1814,Items!$A$2:$A$117,0))</f>
        <v/>
      </c>
      <c r="N1814" s="17">
        <f>TEXT(D1814,"yyyy-mm")</f>
        <v/>
      </c>
      <c r="O1814" s="50">
        <f>G1814*J1814</f>
        <v/>
      </c>
      <c r="P1814" s="50">
        <f>(J1814-M1814)*G1814</f>
        <v/>
      </c>
      <c r="Q1814" s="51">
        <f>IF(K1814="Received",1,0)</f>
        <v/>
      </c>
      <c r="R1814" s="51">
        <f>IF(Q1814=1,F1814-D1814,0)</f>
        <v/>
      </c>
      <c r="S1814" s="51">
        <f>IF(Q1814=1,IF(F1814&lt;=E1814,1,0),0)</f>
        <v/>
      </c>
      <c r="T1814" s="51">
        <f>IF(Q1814=1,IF(H1814&gt;=G1814,1,0),0)</f>
        <v/>
      </c>
      <c r="U1814" s="51">
        <f>S1814*T1814</f>
        <v/>
      </c>
      <c r="V1814" s="51">
        <f>IF(Q1814=1,MAX(0,F1814-E1814),0)</f>
        <v/>
      </c>
    </row>
    <row r="1815">
      <c r="A1815" s="43" t="inlineStr">
        <is>
          <t>PO100213</t>
        </is>
      </c>
      <c r="B1815" s="43" t="inlineStr">
        <is>
          <t>CMD-0009</t>
        </is>
      </c>
      <c r="C1815" s="43" t="inlineStr">
        <is>
          <t>S11</t>
        </is>
      </c>
      <c r="D1815" s="47" t="n">
        <v>46224</v>
      </c>
      <c r="E1815" s="47" t="n">
        <v>46343</v>
      </c>
      <c r="F1815" s="47" t="n"/>
      <c r="G1815" s="46" t="n">
        <v>7298</v>
      </c>
      <c r="H1815" s="46" t="n">
        <v>0</v>
      </c>
      <c r="I1815" s="46" t="n">
        <v>0</v>
      </c>
      <c r="J1815" s="44" t="n">
        <v>7.4222</v>
      </c>
      <c r="K1815" s="43" t="inlineStr">
        <is>
          <t>Open</t>
        </is>
      </c>
      <c r="L1815" s="17">
        <f>INDEX(Items!$C$2:$C$117,MATCH(B1815,Items!$A$2:$A$117,0))</f>
        <v/>
      </c>
      <c r="M1815" s="49">
        <f>INDEX(Items!$E$2:$E$117,MATCH(B1815,Items!$A$2:$A$117,0))</f>
        <v/>
      </c>
      <c r="N1815" s="17">
        <f>TEXT(D1815,"yyyy-mm")</f>
        <v/>
      </c>
      <c r="O1815" s="50">
        <f>G1815*J1815</f>
        <v/>
      </c>
      <c r="P1815" s="50">
        <f>(J1815-M1815)*G1815</f>
        <v/>
      </c>
      <c r="Q1815" s="51">
        <f>IF(K1815="Received",1,0)</f>
        <v/>
      </c>
      <c r="R1815" s="51">
        <f>IF(Q1815=1,F1815-D1815,0)</f>
        <v/>
      </c>
      <c r="S1815" s="51">
        <f>IF(Q1815=1,IF(F1815&lt;=E1815,1,0),0)</f>
        <v/>
      </c>
      <c r="T1815" s="51">
        <f>IF(Q1815=1,IF(H1815&gt;=G1815,1,0),0)</f>
        <v/>
      </c>
      <c r="U1815" s="51">
        <f>S1815*T1815</f>
        <v/>
      </c>
      <c r="V1815" s="51">
        <f>IF(Q1815=1,MAX(0,F1815-E1815),0)</f>
        <v/>
      </c>
    </row>
    <row r="1816">
      <c r="A1816" s="43" t="inlineStr">
        <is>
          <t>PO100887</t>
        </is>
      </c>
      <c r="B1816" s="43" t="inlineStr">
        <is>
          <t>CMD-0039</t>
        </is>
      </c>
      <c r="C1816" s="43" t="inlineStr">
        <is>
          <t>S07</t>
        </is>
      </c>
      <c r="D1816" s="47" t="n">
        <v>46225</v>
      </c>
      <c r="E1816" s="47" t="n">
        <v>46267</v>
      </c>
      <c r="F1816" s="47" t="n">
        <v>46265</v>
      </c>
      <c r="G1816" s="46" t="n">
        <v>295</v>
      </c>
      <c r="H1816" s="46" t="n">
        <v>295</v>
      </c>
      <c r="I1816" s="46" t="n">
        <v>3</v>
      </c>
      <c r="J1816" s="44" t="n">
        <v>53.5497</v>
      </c>
      <c r="K1816" s="43" t="inlineStr">
        <is>
          <t>Received</t>
        </is>
      </c>
      <c r="L1816" s="17">
        <f>INDEX(Items!$C$2:$C$117,MATCH(B1816,Items!$A$2:$A$117,0))</f>
        <v/>
      </c>
      <c r="M1816" s="49">
        <f>INDEX(Items!$E$2:$E$117,MATCH(B1816,Items!$A$2:$A$117,0))</f>
        <v/>
      </c>
      <c r="N1816" s="17">
        <f>TEXT(D1816,"yyyy-mm")</f>
        <v/>
      </c>
      <c r="O1816" s="50">
        <f>G1816*J1816</f>
        <v/>
      </c>
      <c r="P1816" s="50">
        <f>(J1816-M1816)*G1816</f>
        <v/>
      </c>
      <c r="Q1816" s="51">
        <f>IF(K1816="Received",1,0)</f>
        <v/>
      </c>
      <c r="R1816" s="51">
        <f>IF(Q1816=1,F1816-D1816,0)</f>
        <v/>
      </c>
      <c r="S1816" s="51">
        <f>IF(Q1816=1,IF(F1816&lt;=E1816,1,0),0)</f>
        <v/>
      </c>
      <c r="T1816" s="51">
        <f>IF(Q1816=1,IF(H1816&gt;=G1816,1,0),0)</f>
        <v/>
      </c>
      <c r="U1816" s="51">
        <f>S1816*T1816</f>
        <v/>
      </c>
      <c r="V1816" s="51">
        <f>IF(Q1816=1,MAX(0,F1816-E1816),0)</f>
        <v/>
      </c>
    </row>
    <row r="1817">
      <c r="A1817" s="43" t="inlineStr">
        <is>
          <t>PO100313</t>
        </is>
      </c>
      <c r="B1817" s="43" t="inlineStr">
        <is>
          <t>CMD-0014</t>
        </is>
      </c>
      <c r="C1817" s="43" t="inlineStr">
        <is>
          <t>S03</t>
        </is>
      </c>
      <c r="D1817" s="47" t="n">
        <v>46225</v>
      </c>
      <c r="E1817" s="47" t="n">
        <v>46358</v>
      </c>
      <c r="F1817" s="47" t="n"/>
      <c r="G1817" s="46" t="n">
        <v>4287</v>
      </c>
      <c r="H1817" s="46" t="n">
        <v>0</v>
      </c>
      <c r="I1817" s="46" t="n">
        <v>0</v>
      </c>
      <c r="J1817" s="44" t="n">
        <v>14.8916</v>
      </c>
      <c r="K1817" s="43" t="inlineStr">
        <is>
          <t>Open</t>
        </is>
      </c>
      <c r="L1817" s="17">
        <f>INDEX(Items!$C$2:$C$117,MATCH(B1817,Items!$A$2:$A$117,0))</f>
        <v/>
      </c>
      <c r="M1817" s="49">
        <f>INDEX(Items!$E$2:$E$117,MATCH(B1817,Items!$A$2:$A$117,0))</f>
        <v/>
      </c>
      <c r="N1817" s="17">
        <f>TEXT(D1817,"yyyy-mm")</f>
        <v/>
      </c>
      <c r="O1817" s="50">
        <f>G1817*J1817</f>
        <v/>
      </c>
      <c r="P1817" s="50">
        <f>(J1817-M1817)*G1817</f>
        <v/>
      </c>
      <c r="Q1817" s="51">
        <f>IF(K1817="Received",1,0)</f>
        <v/>
      </c>
      <c r="R1817" s="51">
        <f>IF(Q1817=1,F1817-D1817,0)</f>
        <v/>
      </c>
      <c r="S1817" s="51">
        <f>IF(Q1817=1,IF(F1817&lt;=E1817,1,0),0)</f>
        <v/>
      </c>
      <c r="T1817" s="51">
        <f>IF(Q1817=1,IF(H1817&gt;=G1817,1,0),0)</f>
        <v/>
      </c>
      <c r="U1817" s="51">
        <f>S1817*T1817</f>
        <v/>
      </c>
      <c r="V1817" s="51">
        <f>IF(Q1817=1,MAX(0,F1817-E1817),0)</f>
        <v/>
      </c>
    </row>
    <row r="1818">
      <c r="A1818" s="43" t="inlineStr">
        <is>
          <t>PO100069</t>
        </is>
      </c>
      <c r="B1818" s="43" t="inlineStr">
        <is>
          <t>CMD-0003</t>
        </is>
      </c>
      <c r="C1818" s="43" t="inlineStr">
        <is>
          <t>S11</t>
        </is>
      </c>
      <c r="D1818" s="47" t="n">
        <v>46225</v>
      </c>
      <c r="E1818" s="47" t="n">
        <v>46344</v>
      </c>
      <c r="F1818" s="47" t="n"/>
      <c r="G1818" s="46" t="n">
        <v>7996</v>
      </c>
      <c r="H1818" s="46" t="n">
        <v>0</v>
      </c>
      <c r="I1818" s="46" t="n">
        <v>0</v>
      </c>
      <c r="J1818" s="44" t="n">
        <v>25.3582</v>
      </c>
      <c r="K1818" s="43" t="inlineStr">
        <is>
          <t>Open</t>
        </is>
      </c>
      <c r="L1818" s="17">
        <f>INDEX(Items!$C$2:$C$117,MATCH(B1818,Items!$A$2:$A$117,0))</f>
        <v/>
      </c>
      <c r="M1818" s="49">
        <f>INDEX(Items!$E$2:$E$117,MATCH(B1818,Items!$A$2:$A$117,0))</f>
        <v/>
      </c>
      <c r="N1818" s="17">
        <f>TEXT(D1818,"yyyy-mm")</f>
        <v/>
      </c>
      <c r="O1818" s="50">
        <f>G1818*J1818</f>
        <v/>
      </c>
      <c r="P1818" s="50">
        <f>(J1818-M1818)*G1818</f>
        <v/>
      </c>
      <c r="Q1818" s="51">
        <f>IF(K1818="Received",1,0)</f>
        <v/>
      </c>
      <c r="R1818" s="51">
        <f>IF(Q1818=1,F1818-D1818,0)</f>
        <v/>
      </c>
      <c r="S1818" s="51">
        <f>IF(Q1818=1,IF(F1818&lt;=E1818,1,0),0)</f>
        <v/>
      </c>
      <c r="T1818" s="51">
        <f>IF(Q1818=1,IF(H1818&gt;=G1818,1,0),0)</f>
        <v/>
      </c>
      <c r="U1818" s="51">
        <f>S1818*T1818</f>
        <v/>
      </c>
      <c r="V1818" s="51">
        <f>IF(Q1818=1,MAX(0,F1818-E1818),0)</f>
        <v/>
      </c>
    </row>
    <row r="1819">
      <c r="A1819" s="43" t="inlineStr">
        <is>
          <t>PO101027</t>
        </is>
      </c>
      <c r="B1819" s="43" t="inlineStr">
        <is>
          <t>CMD-0046</t>
        </is>
      </c>
      <c r="C1819" s="43" t="inlineStr">
        <is>
          <t>S05</t>
        </is>
      </c>
      <c r="D1819" s="47" t="n">
        <v>46225</v>
      </c>
      <c r="E1819" s="47" t="n">
        <v>46330</v>
      </c>
      <c r="F1819" s="47" t="n"/>
      <c r="G1819" s="46" t="n">
        <v>11215</v>
      </c>
      <c r="H1819" s="46" t="n">
        <v>0</v>
      </c>
      <c r="I1819" s="46" t="n">
        <v>0</v>
      </c>
      <c r="J1819" s="44" t="n">
        <v>10.8871</v>
      </c>
      <c r="K1819" s="43" t="inlineStr">
        <is>
          <t>Open</t>
        </is>
      </c>
      <c r="L1819" s="17">
        <f>INDEX(Items!$C$2:$C$117,MATCH(B1819,Items!$A$2:$A$117,0))</f>
        <v/>
      </c>
      <c r="M1819" s="49">
        <f>INDEX(Items!$E$2:$E$117,MATCH(B1819,Items!$A$2:$A$117,0))</f>
        <v/>
      </c>
      <c r="N1819" s="17">
        <f>TEXT(D1819,"yyyy-mm")</f>
        <v/>
      </c>
      <c r="O1819" s="50">
        <f>G1819*J1819</f>
        <v/>
      </c>
      <c r="P1819" s="50">
        <f>(J1819-M1819)*G1819</f>
        <v/>
      </c>
      <c r="Q1819" s="51">
        <f>IF(K1819="Received",1,0)</f>
        <v/>
      </c>
      <c r="R1819" s="51">
        <f>IF(Q1819=1,F1819-D1819,0)</f>
        <v/>
      </c>
      <c r="S1819" s="51">
        <f>IF(Q1819=1,IF(F1819&lt;=E1819,1,0),0)</f>
        <v/>
      </c>
      <c r="T1819" s="51">
        <f>IF(Q1819=1,IF(H1819&gt;=G1819,1,0),0)</f>
        <v/>
      </c>
      <c r="U1819" s="51">
        <f>S1819*T1819</f>
        <v/>
      </c>
      <c r="V1819" s="51">
        <f>IF(Q1819=1,MAX(0,F1819-E1819),0)</f>
        <v/>
      </c>
    </row>
    <row r="1820">
      <c r="A1820" s="43" t="inlineStr">
        <is>
          <t>PO101329</t>
        </is>
      </c>
      <c r="B1820" s="43" t="inlineStr">
        <is>
          <t>CMD-0065</t>
        </is>
      </c>
      <c r="C1820" s="43" t="inlineStr">
        <is>
          <t>S10</t>
        </is>
      </c>
      <c r="D1820" s="47" t="n">
        <v>46225</v>
      </c>
      <c r="E1820" s="47" t="n">
        <v>46253</v>
      </c>
      <c r="F1820" s="47" t="n">
        <v>46251</v>
      </c>
      <c r="G1820" s="46" t="n">
        <v>106080</v>
      </c>
      <c r="H1820" s="46" t="n">
        <v>106080</v>
      </c>
      <c r="I1820" s="46" t="n">
        <v>99</v>
      </c>
      <c r="J1820" s="44" t="n">
        <v>0.119</v>
      </c>
      <c r="K1820" s="43" t="inlineStr">
        <is>
          <t>Received</t>
        </is>
      </c>
      <c r="L1820" s="17">
        <f>INDEX(Items!$C$2:$C$117,MATCH(B1820,Items!$A$2:$A$117,0))</f>
        <v/>
      </c>
      <c r="M1820" s="49">
        <f>INDEX(Items!$E$2:$E$117,MATCH(B1820,Items!$A$2:$A$117,0))</f>
        <v/>
      </c>
      <c r="N1820" s="17">
        <f>TEXT(D1820,"yyyy-mm")</f>
        <v/>
      </c>
      <c r="O1820" s="50">
        <f>G1820*J1820</f>
        <v/>
      </c>
      <c r="P1820" s="50">
        <f>(J1820-M1820)*G1820</f>
        <v/>
      </c>
      <c r="Q1820" s="51">
        <f>IF(K1820="Received",1,0)</f>
        <v/>
      </c>
      <c r="R1820" s="51">
        <f>IF(Q1820=1,F1820-D1820,0)</f>
        <v/>
      </c>
      <c r="S1820" s="51">
        <f>IF(Q1820=1,IF(F1820&lt;=E1820,1,0),0)</f>
        <v/>
      </c>
      <c r="T1820" s="51">
        <f>IF(Q1820=1,IF(H1820&gt;=G1820,1,0),0)</f>
        <v/>
      </c>
      <c r="U1820" s="51">
        <f>S1820*T1820</f>
        <v/>
      </c>
      <c r="V1820" s="51">
        <f>IF(Q1820=1,MAX(0,F1820-E1820),0)</f>
        <v/>
      </c>
    </row>
    <row r="1821">
      <c r="A1821" s="43" t="inlineStr">
        <is>
          <t>PO101759</t>
        </is>
      </c>
      <c r="B1821" s="43" t="inlineStr">
        <is>
          <t>CMD-0095</t>
        </is>
      </c>
      <c r="C1821" s="43" t="inlineStr">
        <is>
          <t>S08</t>
        </is>
      </c>
      <c r="D1821" s="47" t="n">
        <v>46225</v>
      </c>
      <c r="E1821" s="47" t="n">
        <v>46302</v>
      </c>
      <c r="F1821" s="47" t="n"/>
      <c r="G1821" s="46" t="n">
        <v>293</v>
      </c>
      <c r="H1821" s="46" t="n">
        <v>0</v>
      </c>
      <c r="I1821" s="46" t="n">
        <v>0</v>
      </c>
      <c r="J1821" s="44" t="n">
        <v>94.5849</v>
      </c>
      <c r="K1821" s="43" t="inlineStr">
        <is>
          <t>Open</t>
        </is>
      </c>
      <c r="L1821" s="17">
        <f>INDEX(Items!$C$2:$C$117,MATCH(B1821,Items!$A$2:$A$117,0))</f>
        <v/>
      </c>
      <c r="M1821" s="49">
        <f>INDEX(Items!$E$2:$E$117,MATCH(B1821,Items!$A$2:$A$117,0))</f>
        <v/>
      </c>
      <c r="N1821" s="17">
        <f>TEXT(D1821,"yyyy-mm")</f>
        <v/>
      </c>
      <c r="O1821" s="50">
        <f>G1821*J1821</f>
        <v/>
      </c>
      <c r="P1821" s="50">
        <f>(J1821-M1821)*G1821</f>
        <v/>
      </c>
      <c r="Q1821" s="51">
        <f>IF(K1821="Received",1,0)</f>
        <v/>
      </c>
      <c r="R1821" s="51">
        <f>IF(Q1821=1,F1821-D1821,0)</f>
        <v/>
      </c>
      <c r="S1821" s="51">
        <f>IF(Q1821=1,IF(F1821&lt;=E1821,1,0),0)</f>
        <v/>
      </c>
      <c r="T1821" s="51">
        <f>IF(Q1821=1,IF(H1821&gt;=G1821,1,0),0)</f>
        <v/>
      </c>
      <c r="U1821" s="51">
        <f>S1821*T1821</f>
        <v/>
      </c>
      <c r="V1821" s="51">
        <f>IF(Q1821=1,MAX(0,F1821-E1821),0)</f>
        <v/>
      </c>
    </row>
    <row r="1822">
      <c r="A1822" s="43" t="inlineStr">
        <is>
          <t>PO100743</t>
        </is>
      </c>
      <c r="B1822" s="43" t="inlineStr">
        <is>
          <t>CMD-0033</t>
        </is>
      </c>
      <c r="C1822" s="43" t="inlineStr">
        <is>
          <t>S07</t>
        </is>
      </c>
      <c r="D1822" s="47" t="n">
        <v>46226</v>
      </c>
      <c r="E1822" s="47" t="n">
        <v>46268</v>
      </c>
      <c r="F1822" s="47" t="n">
        <v>46265</v>
      </c>
      <c r="G1822" s="46" t="n">
        <v>4064</v>
      </c>
      <c r="H1822" s="46" t="n">
        <v>4064</v>
      </c>
      <c r="I1822" s="46" t="n">
        <v>33</v>
      </c>
      <c r="J1822" s="44" t="n">
        <v>60.1108</v>
      </c>
      <c r="K1822" s="43" t="inlineStr">
        <is>
          <t>Received</t>
        </is>
      </c>
      <c r="L1822" s="17">
        <f>INDEX(Items!$C$2:$C$117,MATCH(B1822,Items!$A$2:$A$117,0))</f>
        <v/>
      </c>
      <c r="M1822" s="49">
        <f>INDEX(Items!$E$2:$E$117,MATCH(B1822,Items!$A$2:$A$117,0))</f>
        <v/>
      </c>
      <c r="N1822" s="17">
        <f>TEXT(D1822,"yyyy-mm")</f>
        <v/>
      </c>
      <c r="O1822" s="50">
        <f>G1822*J1822</f>
        <v/>
      </c>
      <c r="P1822" s="50">
        <f>(J1822-M1822)*G1822</f>
        <v/>
      </c>
      <c r="Q1822" s="51">
        <f>IF(K1822="Received",1,0)</f>
        <v/>
      </c>
      <c r="R1822" s="51">
        <f>IF(Q1822=1,F1822-D1822,0)</f>
        <v/>
      </c>
      <c r="S1822" s="51">
        <f>IF(Q1822=1,IF(F1822&lt;=E1822,1,0),0)</f>
        <v/>
      </c>
      <c r="T1822" s="51">
        <f>IF(Q1822=1,IF(H1822&gt;=G1822,1,0),0)</f>
        <v/>
      </c>
      <c r="U1822" s="51">
        <f>S1822*T1822</f>
        <v/>
      </c>
      <c r="V1822" s="51">
        <f>IF(Q1822=1,MAX(0,F1822-E1822),0)</f>
        <v/>
      </c>
    </row>
    <row r="1823">
      <c r="A1823" s="43" t="inlineStr">
        <is>
          <t>PO100979</t>
        </is>
      </c>
      <c r="B1823" s="43" t="inlineStr">
        <is>
          <t>CMD-0044</t>
        </is>
      </c>
      <c r="C1823" s="43" t="inlineStr">
        <is>
          <t>S05</t>
        </is>
      </c>
      <c r="D1823" s="47" t="n">
        <v>46226</v>
      </c>
      <c r="E1823" s="47" t="n">
        <v>46331</v>
      </c>
      <c r="F1823" s="47" t="n"/>
      <c r="G1823" s="46" t="n">
        <v>6704</v>
      </c>
      <c r="H1823" s="46" t="n">
        <v>0</v>
      </c>
      <c r="I1823" s="46" t="n">
        <v>0</v>
      </c>
      <c r="J1823" s="44" t="n">
        <v>11.9171</v>
      </c>
      <c r="K1823" s="43" t="inlineStr">
        <is>
          <t>Open</t>
        </is>
      </c>
      <c r="L1823" s="17">
        <f>INDEX(Items!$C$2:$C$117,MATCH(B1823,Items!$A$2:$A$117,0))</f>
        <v/>
      </c>
      <c r="M1823" s="49">
        <f>INDEX(Items!$E$2:$E$117,MATCH(B1823,Items!$A$2:$A$117,0))</f>
        <v/>
      </c>
      <c r="N1823" s="17">
        <f>TEXT(D1823,"yyyy-mm")</f>
        <v/>
      </c>
      <c r="O1823" s="50">
        <f>G1823*J1823</f>
        <v/>
      </c>
      <c r="P1823" s="50">
        <f>(J1823-M1823)*G1823</f>
        <v/>
      </c>
      <c r="Q1823" s="51">
        <f>IF(K1823="Received",1,0)</f>
        <v/>
      </c>
      <c r="R1823" s="51">
        <f>IF(Q1823=1,F1823-D1823,0)</f>
        <v/>
      </c>
      <c r="S1823" s="51">
        <f>IF(Q1823=1,IF(F1823&lt;=E1823,1,0),0)</f>
        <v/>
      </c>
      <c r="T1823" s="51">
        <f>IF(Q1823=1,IF(H1823&gt;=G1823,1,0),0)</f>
        <v/>
      </c>
      <c r="U1823" s="51">
        <f>S1823*T1823</f>
        <v/>
      </c>
      <c r="V1823" s="51">
        <f>IF(Q1823=1,MAX(0,F1823-E1823),0)</f>
        <v/>
      </c>
    </row>
    <row r="1824">
      <c r="A1824" s="43" t="inlineStr">
        <is>
          <t>PO100661</t>
        </is>
      </c>
      <c r="B1824" s="43" t="inlineStr">
        <is>
          <t>CMD-0029</t>
        </is>
      </c>
      <c r="C1824" s="43" t="inlineStr">
        <is>
          <t>S11</t>
        </is>
      </c>
      <c r="D1824" s="47" t="n">
        <v>46226</v>
      </c>
      <c r="E1824" s="47" t="n">
        <v>46303</v>
      </c>
      <c r="F1824" s="47" t="n"/>
      <c r="G1824" s="46" t="n">
        <v>4854</v>
      </c>
      <c r="H1824" s="46" t="n">
        <v>0</v>
      </c>
      <c r="I1824" s="46" t="n">
        <v>0</v>
      </c>
      <c r="J1824" s="44" t="n">
        <v>7.0761</v>
      </c>
      <c r="K1824" s="43" t="inlineStr">
        <is>
          <t>Open</t>
        </is>
      </c>
      <c r="L1824" s="17">
        <f>INDEX(Items!$C$2:$C$117,MATCH(B1824,Items!$A$2:$A$117,0))</f>
        <v/>
      </c>
      <c r="M1824" s="49">
        <f>INDEX(Items!$E$2:$E$117,MATCH(B1824,Items!$A$2:$A$117,0))</f>
        <v/>
      </c>
      <c r="N1824" s="17">
        <f>TEXT(D1824,"yyyy-mm")</f>
        <v/>
      </c>
      <c r="O1824" s="50">
        <f>G1824*J1824</f>
        <v/>
      </c>
      <c r="P1824" s="50">
        <f>(J1824-M1824)*G1824</f>
        <v/>
      </c>
      <c r="Q1824" s="51">
        <f>IF(K1824="Received",1,0)</f>
        <v/>
      </c>
      <c r="R1824" s="51">
        <f>IF(Q1824=1,F1824-D1824,0)</f>
        <v/>
      </c>
      <c r="S1824" s="51">
        <f>IF(Q1824=1,IF(F1824&lt;=E1824,1,0),0)</f>
        <v/>
      </c>
      <c r="T1824" s="51">
        <f>IF(Q1824=1,IF(H1824&gt;=G1824,1,0),0)</f>
        <v/>
      </c>
      <c r="U1824" s="51">
        <f>S1824*T1824</f>
        <v/>
      </c>
      <c r="V1824" s="51">
        <f>IF(Q1824=1,MAX(0,F1824-E1824),0)</f>
        <v/>
      </c>
    </row>
    <row r="1825">
      <c r="A1825" s="43" t="inlineStr">
        <is>
          <t>PO101003</t>
        </is>
      </c>
      <c r="B1825" s="43" t="inlineStr">
        <is>
          <t>CMD-0045</t>
        </is>
      </c>
      <c r="C1825" s="43" t="inlineStr">
        <is>
          <t>S05</t>
        </is>
      </c>
      <c r="D1825" s="47" t="n">
        <v>46226</v>
      </c>
      <c r="E1825" s="47" t="n">
        <v>46331</v>
      </c>
      <c r="F1825" s="47" t="n"/>
      <c r="G1825" s="46" t="n">
        <v>3718</v>
      </c>
      <c r="H1825" s="46" t="n">
        <v>0</v>
      </c>
      <c r="I1825" s="46" t="n">
        <v>0</v>
      </c>
      <c r="J1825" s="44" t="n">
        <v>9.2597</v>
      </c>
      <c r="K1825" s="43" t="inlineStr">
        <is>
          <t>Open</t>
        </is>
      </c>
      <c r="L1825" s="17">
        <f>INDEX(Items!$C$2:$C$117,MATCH(B1825,Items!$A$2:$A$117,0))</f>
        <v/>
      </c>
      <c r="M1825" s="49">
        <f>INDEX(Items!$E$2:$E$117,MATCH(B1825,Items!$A$2:$A$117,0))</f>
        <v/>
      </c>
      <c r="N1825" s="17">
        <f>TEXT(D1825,"yyyy-mm")</f>
        <v/>
      </c>
      <c r="O1825" s="50">
        <f>G1825*J1825</f>
        <v/>
      </c>
      <c r="P1825" s="50">
        <f>(J1825-M1825)*G1825</f>
        <v/>
      </c>
      <c r="Q1825" s="51">
        <f>IF(K1825="Received",1,0)</f>
        <v/>
      </c>
      <c r="R1825" s="51">
        <f>IF(Q1825=1,F1825-D1825,0)</f>
        <v/>
      </c>
      <c r="S1825" s="51">
        <f>IF(Q1825=1,IF(F1825&lt;=E1825,1,0),0)</f>
        <v/>
      </c>
      <c r="T1825" s="51">
        <f>IF(Q1825=1,IF(H1825&gt;=G1825,1,0),0)</f>
        <v/>
      </c>
      <c r="U1825" s="51">
        <f>S1825*T1825</f>
        <v/>
      </c>
      <c r="V1825" s="51">
        <f>IF(Q1825=1,MAX(0,F1825-E1825),0)</f>
        <v/>
      </c>
    </row>
    <row r="1826">
      <c r="A1826" s="43" t="inlineStr">
        <is>
          <t>PO100589</t>
        </is>
      </c>
      <c r="B1826" s="43" t="inlineStr">
        <is>
          <t>CMD-0026</t>
        </is>
      </c>
      <c r="C1826" s="43" t="inlineStr">
        <is>
          <t>S04</t>
        </is>
      </c>
      <c r="D1826" s="47" t="n">
        <v>46226</v>
      </c>
      <c r="E1826" s="47" t="n">
        <v>46296</v>
      </c>
      <c r="F1826" s="47" t="n">
        <v>46294</v>
      </c>
      <c r="G1826" s="46" t="n">
        <v>7060</v>
      </c>
      <c r="H1826" s="46" t="n">
        <v>7060</v>
      </c>
      <c r="I1826" s="46" t="n">
        <v>76</v>
      </c>
      <c r="J1826" s="44" t="n">
        <v>6.1388</v>
      </c>
      <c r="K1826" s="43" t="inlineStr">
        <is>
          <t>Received</t>
        </is>
      </c>
      <c r="L1826" s="17">
        <f>INDEX(Items!$C$2:$C$117,MATCH(B1826,Items!$A$2:$A$117,0))</f>
        <v/>
      </c>
      <c r="M1826" s="49">
        <f>INDEX(Items!$E$2:$E$117,MATCH(B1826,Items!$A$2:$A$117,0))</f>
        <v/>
      </c>
      <c r="N1826" s="17">
        <f>TEXT(D1826,"yyyy-mm")</f>
        <v/>
      </c>
      <c r="O1826" s="50">
        <f>G1826*J1826</f>
        <v/>
      </c>
      <c r="P1826" s="50">
        <f>(J1826-M1826)*G1826</f>
        <v/>
      </c>
      <c r="Q1826" s="51">
        <f>IF(K1826="Received",1,0)</f>
        <v/>
      </c>
      <c r="R1826" s="51">
        <f>IF(Q1826=1,F1826-D1826,0)</f>
        <v/>
      </c>
      <c r="S1826" s="51">
        <f>IF(Q1826=1,IF(F1826&lt;=E1826,1,0),0)</f>
        <v/>
      </c>
      <c r="T1826" s="51">
        <f>IF(Q1826=1,IF(H1826&gt;=G1826,1,0),0)</f>
        <v/>
      </c>
      <c r="U1826" s="51">
        <f>S1826*T1826</f>
        <v/>
      </c>
      <c r="V1826" s="51">
        <f>IF(Q1826=1,MAX(0,F1826-E1826),0)</f>
        <v/>
      </c>
    </row>
    <row r="1827">
      <c r="A1827" s="43" t="inlineStr">
        <is>
          <t>PO101073</t>
        </is>
      </c>
      <c r="B1827" s="43" t="inlineStr">
        <is>
          <t>CMD-0048</t>
        </is>
      </c>
      <c r="C1827" s="43" t="inlineStr">
        <is>
          <t>S10</t>
        </is>
      </c>
      <c r="D1827" s="47" t="n">
        <v>46226</v>
      </c>
      <c r="E1827" s="47" t="n">
        <v>46254</v>
      </c>
      <c r="F1827" s="47" t="n">
        <v>46251</v>
      </c>
      <c r="G1827" s="46" t="n">
        <v>21022</v>
      </c>
      <c r="H1827" s="46" t="n">
        <v>21022</v>
      </c>
      <c r="I1827" s="46" t="n">
        <v>22</v>
      </c>
      <c r="J1827" s="44" t="n">
        <v>0.3328</v>
      </c>
      <c r="K1827" s="43" t="inlineStr">
        <is>
          <t>Received</t>
        </is>
      </c>
      <c r="L1827" s="17">
        <f>INDEX(Items!$C$2:$C$117,MATCH(B1827,Items!$A$2:$A$117,0))</f>
        <v/>
      </c>
      <c r="M1827" s="49">
        <f>INDEX(Items!$E$2:$E$117,MATCH(B1827,Items!$A$2:$A$117,0))</f>
        <v/>
      </c>
      <c r="N1827" s="17">
        <f>TEXT(D1827,"yyyy-mm")</f>
        <v/>
      </c>
      <c r="O1827" s="50">
        <f>G1827*J1827</f>
        <v/>
      </c>
      <c r="P1827" s="50">
        <f>(J1827-M1827)*G1827</f>
        <v/>
      </c>
      <c r="Q1827" s="51">
        <f>IF(K1827="Received",1,0)</f>
        <v/>
      </c>
      <c r="R1827" s="51">
        <f>IF(Q1827=1,F1827-D1827,0)</f>
        <v/>
      </c>
      <c r="S1827" s="51">
        <f>IF(Q1827=1,IF(F1827&lt;=E1827,1,0),0)</f>
        <v/>
      </c>
      <c r="T1827" s="51">
        <f>IF(Q1827=1,IF(H1827&gt;=G1827,1,0),0)</f>
        <v/>
      </c>
      <c r="U1827" s="51">
        <f>S1827*T1827</f>
        <v/>
      </c>
      <c r="V1827" s="51">
        <f>IF(Q1827=1,MAX(0,F1827-E1827),0)</f>
        <v/>
      </c>
    </row>
    <row r="1828">
      <c r="A1828" s="43" t="inlineStr">
        <is>
          <t>PO101297</t>
        </is>
      </c>
      <c r="B1828" s="43" t="inlineStr">
        <is>
          <t>CMD-0062</t>
        </is>
      </c>
      <c r="C1828" s="43" t="inlineStr">
        <is>
          <t>S01</t>
        </is>
      </c>
      <c r="D1828" s="47" t="n">
        <v>46226</v>
      </c>
      <c r="E1828" s="47" t="n">
        <v>46247</v>
      </c>
      <c r="F1828" s="47" t="n">
        <v>46247</v>
      </c>
      <c r="G1828" s="46" t="n">
        <v>86551</v>
      </c>
      <c r="H1828" s="46" t="n">
        <v>86551</v>
      </c>
      <c r="I1828" s="46" t="n">
        <v>197</v>
      </c>
      <c r="J1828" s="44" t="n">
        <v>0.1173</v>
      </c>
      <c r="K1828" s="43" t="inlineStr">
        <is>
          <t>Received</t>
        </is>
      </c>
      <c r="L1828" s="17">
        <f>INDEX(Items!$C$2:$C$117,MATCH(B1828,Items!$A$2:$A$117,0))</f>
        <v/>
      </c>
      <c r="M1828" s="49">
        <f>INDEX(Items!$E$2:$E$117,MATCH(B1828,Items!$A$2:$A$117,0))</f>
        <v/>
      </c>
      <c r="N1828" s="17">
        <f>TEXT(D1828,"yyyy-mm")</f>
        <v/>
      </c>
      <c r="O1828" s="50">
        <f>G1828*J1828</f>
        <v/>
      </c>
      <c r="P1828" s="50">
        <f>(J1828-M1828)*G1828</f>
        <v/>
      </c>
      <c r="Q1828" s="51">
        <f>IF(K1828="Received",1,0)</f>
        <v/>
      </c>
      <c r="R1828" s="51">
        <f>IF(Q1828=1,F1828-D1828,0)</f>
        <v/>
      </c>
      <c r="S1828" s="51">
        <f>IF(Q1828=1,IF(F1828&lt;=E1828,1,0),0)</f>
        <v/>
      </c>
      <c r="T1828" s="51">
        <f>IF(Q1828=1,IF(H1828&gt;=G1828,1,0),0)</f>
        <v/>
      </c>
      <c r="U1828" s="51">
        <f>S1828*T1828</f>
        <v/>
      </c>
      <c r="V1828" s="51">
        <f>IF(Q1828=1,MAX(0,F1828-E1828),0)</f>
        <v/>
      </c>
    </row>
    <row r="1829">
      <c r="A1829" s="43" t="inlineStr">
        <is>
          <t>PO101218</t>
        </is>
      </c>
      <c r="B1829" s="43" t="inlineStr">
        <is>
          <t>CMD-0056</t>
        </is>
      </c>
      <c r="C1829" s="43" t="inlineStr">
        <is>
          <t>S04</t>
        </is>
      </c>
      <c r="D1829" s="47" t="n">
        <v>46226</v>
      </c>
      <c r="E1829" s="47" t="n">
        <v>46261</v>
      </c>
      <c r="F1829" s="47" t="n">
        <v>46259</v>
      </c>
      <c r="G1829" s="46" t="n">
        <v>67153</v>
      </c>
      <c r="H1829" s="46" t="n">
        <v>67153</v>
      </c>
      <c r="I1829" s="46" t="n">
        <v>627</v>
      </c>
      <c r="J1829" s="44" t="n">
        <v>0.1045</v>
      </c>
      <c r="K1829" s="43" t="inlineStr">
        <is>
          <t>Received</t>
        </is>
      </c>
      <c r="L1829" s="17">
        <f>INDEX(Items!$C$2:$C$117,MATCH(B1829,Items!$A$2:$A$117,0))</f>
        <v/>
      </c>
      <c r="M1829" s="49">
        <f>INDEX(Items!$E$2:$E$117,MATCH(B1829,Items!$A$2:$A$117,0))</f>
        <v/>
      </c>
      <c r="N1829" s="17">
        <f>TEXT(D1829,"yyyy-mm")</f>
        <v/>
      </c>
      <c r="O1829" s="50">
        <f>G1829*J1829</f>
        <v/>
      </c>
      <c r="P1829" s="50">
        <f>(J1829-M1829)*G1829</f>
        <v/>
      </c>
      <c r="Q1829" s="51">
        <f>IF(K1829="Received",1,0)</f>
        <v/>
      </c>
      <c r="R1829" s="51">
        <f>IF(Q1829=1,F1829-D1829,0)</f>
        <v/>
      </c>
      <c r="S1829" s="51">
        <f>IF(Q1829=1,IF(F1829&lt;=E1829,1,0),0)</f>
        <v/>
      </c>
      <c r="T1829" s="51">
        <f>IF(Q1829=1,IF(H1829&gt;=G1829,1,0),0)</f>
        <v/>
      </c>
      <c r="U1829" s="51">
        <f>S1829*T1829</f>
        <v/>
      </c>
      <c r="V1829" s="51">
        <f>IF(Q1829=1,MAX(0,F1829-E1829),0)</f>
        <v/>
      </c>
    </row>
    <row r="1830">
      <c r="A1830" s="43" t="inlineStr">
        <is>
          <t>PO101264</t>
        </is>
      </c>
      <c r="B1830" s="43" t="inlineStr">
        <is>
          <t>CMD-0059</t>
        </is>
      </c>
      <c r="C1830" s="43" t="inlineStr">
        <is>
          <t>S01</t>
        </is>
      </c>
      <c r="D1830" s="47" t="n">
        <v>46227</v>
      </c>
      <c r="E1830" s="47" t="n">
        <v>46248</v>
      </c>
      <c r="F1830" s="47" t="n">
        <v>46247</v>
      </c>
      <c r="G1830" s="46" t="n">
        <v>198844</v>
      </c>
      <c r="H1830" s="46" t="n">
        <v>198844</v>
      </c>
      <c r="I1830" s="46" t="n">
        <v>436</v>
      </c>
      <c r="J1830" s="44" t="n">
        <v>0.0289</v>
      </c>
      <c r="K1830" s="43" t="inlineStr">
        <is>
          <t>Received</t>
        </is>
      </c>
      <c r="L1830" s="17">
        <f>INDEX(Items!$C$2:$C$117,MATCH(B1830,Items!$A$2:$A$117,0))</f>
        <v/>
      </c>
      <c r="M1830" s="49">
        <f>INDEX(Items!$E$2:$E$117,MATCH(B1830,Items!$A$2:$A$117,0))</f>
        <v/>
      </c>
      <c r="N1830" s="17">
        <f>TEXT(D1830,"yyyy-mm")</f>
        <v/>
      </c>
      <c r="O1830" s="50">
        <f>G1830*J1830</f>
        <v/>
      </c>
      <c r="P1830" s="50">
        <f>(J1830-M1830)*G1830</f>
        <v/>
      </c>
      <c r="Q1830" s="51">
        <f>IF(K1830="Received",1,0)</f>
        <v/>
      </c>
      <c r="R1830" s="51">
        <f>IF(Q1830=1,F1830-D1830,0)</f>
        <v/>
      </c>
      <c r="S1830" s="51">
        <f>IF(Q1830=1,IF(F1830&lt;=E1830,1,0),0)</f>
        <v/>
      </c>
      <c r="T1830" s="51">
        <f>IF(Q1830=1,IF(H1830&gt;=G1830,1,0),0)</f>
        <v/>
      </c>
      <c r="U1830" s="51">
        <f>S1830*T1830</f>
        <v/>
      </c>
      <c r="V1830" s="51">
        <f>IF(Q1830=1,MAX(0,F1830-E1830),0)</f>
        <v/>
      </c>
    </row>
    <row r="1831">
      <c r="A1831" s="43" t="inlineStr">
        <is>
          <t>PO101930</t>
        </is>
      </c>
      <c r="B1831" s="43" t="inlineStr">
        <is>
          <t>CMD-0106</t>
        </is>
      </c>
      <c r="C1831" s="43" t="inlineStr">
        <is>
          <t>S09</t>
        </is>
      </c>
      <c r="D1831" s="47" t="n">
        <v>46232</v>
      </c>
      <c r="E1831" s="47" t="n">
        <v>46253</v>
      </c>
      <c r="F1831" s="47" t="n">
        <v>46252</v>
      </c>
      <c r="G1831" s="46" t="n">
        <v>639</v>
      </c>
      <c r="H1831" s="46" t="n">
        <v>639</v>
      </c>
      <c r="I1831" s="46" t="n">
        <v>2</v>
      </c>
      <c r="J1831" s="44" t="n">
        <v>10.7326</v>
      </c>
      <c r="K1831" s="43" t="inlineStr">
        <is>
          <t>Received</t>
        </is>
      </c>
      <c r="L1831" s="17">
        <f>INDEX(Items!$C$2:$C$117,MATCH(B1831,Items!$A$2:$A$117,0))</f>
        <v/>
      </c>
      <c r="M1831" s="49">
        <f>INDEX(Items!$E$2:$E$117,MATCH(B1831,Items!$A$2:$A$117,0))</f>
        <v/>
      </c>
      <c r="N1831" s="17">
        <f>TEXT(D1831,"yyyy-mm")</f>
        <v/>
      </c>
      <c r="O1831" s="50">
        <f>G1831*J1831</f>
        <v/>
      </c>
      <c r="P1831" s="50">
        <f>(J1831-M1831)*G1831</f>
        <v/>
      </c>
      <c r="Q1831" s="51">
        <f>IF(K1831="Received",1,0)</f>
        <v/>
      </c>
      <c r="R1831" s="51">
        <f>IF(Q1831=1,F1831-D1831,0)</f>
        <v/>
      </c>
      <c r="S1831" s="51">
        <f>IF(Q1831=1,IF(F1831&lt;=E1831,1,0),0)</f>
        <v/>
      </c>
      <c r="T1831" s="51">
        <f>IF(Q1831=1,IF(H1831&gt;=G1831,1,0),0)</f>
        <v/>
      </c>
      <c r="U1831" s="51">
        <f>S1831*T1831</f>
        <v/>
      </c>
      <c r="V1831" s="51">
        <f>IF(Q1831=1,MAX(0,F1831-E1831),0)</f>
        <v/>
      </c>
    </row>
    <row r="1832">
      <c r="A1832" s="43" t="inlineStr">
        <is>
          <t>PO101156</t>
        </is>
      </c>
      <c r="B1832" s="43" t="inlineStr">
        <is>
          <t>CMD-0053</t>
        </is>
      </c>
      <c r="C1832" s="43" t="inlineStr">
        <is>
          <t>S04</t>
        </is>
      </c>
      <c r="D1832" s="47" t="n">
        <v>46232</v>
      </c>
      <c r="E1832" s="47" t="n">
        <v>46267</v>
      </c>
      <c r="F1832" s="47" t="n">
        <v>46289</v>
      </c>
      <c r="G1832" s="46" t="n">
        <v>51557</v>
      </c>
      <c r="H1832" s="46" t="n">
        <v>51557</v>
      </c>
      <c r="I1832" s="46" t="n">
        <v>487</v>
      </c>
      <c r="J1832" s="44" t="n">
        <v>0.0997</v>
      </c>
      <c r="K1832" s="43" t="inlineStr">
        <is>
          <t>Received</t>
        </is>
      </c>
      <c r="L1832" s="17">
        <f>INDEX(Items!$C$2:$C$117,MATCH(B1832,Items!$A$2:$A$117,0))</f>
        <v/>
      </c>
      <c r="M1832" s="49">
        <f>INDEX(Items!$E$2:$E$117,MATCH(B1832,Items!$A$2:$A$117,0))</f>
        <v/>
      </c>
      <c r="N1832" s="17">
        <f>TEXT(D1832,"yyyy-mm")</f>
        <v/>
      </c>
      <c r="O1832" s="50">
        <f>G1832*J1832</f>
        <v/>
      </c>
      <c r="P1832" s="50">
        <f>(J1832-M1832)*G1832</f>
        <v/>
      </c>
      <c r="Q1832" s="51">
        <f>IF(K1832="Received",1,0)</f>
        <v/>
      </c>
      <c r="R1832" s="51">
        <f>IF(Q1832=1,F1832-D1832,0)</f>
        <v/>
      </c>
      <c r="S1832" s="51">
        <f>IF(Q1832=1,IF(F1832&lt;=E1832,1,0),0)</f>
        <v/>
      </c>
      <c r="T1832" s="51">
        <f>IF(Q1832=1,IF(H1832&gt;=G1832,1,0),0)</f>
        <v/>
      </c>
      <c r="U1832" s="51">
        <f>S1832*T1832</f>
        <v/>
      </c>
      <c r="V1832" s="51">
        <f>IF(Q1832=1,MAX(0,F1832-E1832),0)</f>
        <v/>
      </c>
    </row>
    <row r="1833">
      <c r="A1833" s="43" t="inlineStr">
        <is>
          <t>PO100720</t>
        </is>
      </c>
      <c r="B1833" s="43" t="inlineStr">
        <is>
          <t>CMD-0032</t>
        </is>
      </c>
      <c r="C1833" s="43" t="inlineStr">
        <is>
          <t>S01</t>
        </is>
      </c>
      <c r="D1833" s="47" t="n">
        <v>46233</v>
      </c>
      <c r="E1833" s="47" t="n">
        <v>46261</v>
      </c>
      <c r="F1833" s="47" t="n">
        <v>46259</v>
      </c>
      <c r="G1833" s="46" t="n">
        <v>1218</v>
      </c>
      <c r="H1833" s="46" t="n">
        <v>1218</v>
      </c>
      <c r="I1833" s="46" t="n">
        <v>1</v>
      </c>
      <c r="J1833" s="44" t="n">
        <v>5.3045</v>
      </c>
      <c r="K1833" s="43" t="inlineStr">
        <is>
          <t>Received</t>
        </is>
      </c>
      <c r="L1833" s="17">
        <f>INDEX(Items!$C$2:$C$117,MATCH(B1833,Items!$A$2:$A$117,0))</f>
        <v/>
      </c>
      <c r="M1833" s="49">
        <f>INDEX(Items!$E$2:$E$117,MATCH(B1833,Items!$A$2:$A$117,0))</f>
        <v/>
      </c>
      <c r="N1833" s="17">
        <f>TEXT(D1833,"yyyy-mm")</f>
        <v/>
      </c>
      <c r="O1833" s="50">
        <f>G1833*J1833</f>
        <v/>
      </c>
      <c r="P1833" s="50">
        <f>(J1833-M1833)*G1833</f>
        <v/>
      </c>
      <c r="Q1833" s="51">
        <f>IF(K1833="Received",1,0)</f>
        <v/>
      </c>
      <c r="R1833" s="51">
        <f>IF(Q1833=1,F1833-D1833,0)</f>
        <v/>
      </c>
      <c r="S1833" s="51">
        <f>IF(Q1833=1,IF(F1833&lt;=E1833,1,0),0)</f>
        <v/>
      </c>
      <c r="T1833" s="51">
        <f>IF(Q1833=1,IF(H1833&gt;=G1833,1,0),0)</f>
        <v/>
      </c>
      <c r="U1833" s="51">
        <f>S1833*T1833</f>
        <v/>
      </c>
      <c r="V1833" s="51">
        <f>IF(Q1833=1,MAX(0,F1833-E1833),0)</f>
        <v/>
      </c>
    </row>
    <row r="1834">
      <c r="A1834" s="43" t="inlineStr">
        <is>
          <t>PO101118</t>
        </is>
      </c>
      <c r="B1834" s="43" t="inlineStr">
        <is>
          <t>CMD-0051</t>
        </is>
      </c>
      <c r="C1834" s="43" t="inlineStr">
        <is>
          <t>S01</t>
        </is>
      </c>
      <c r="D1834" s="47" t="n">
        <v>46233</v>
      </c>
      <c r="E1834" s="47" t="n">
        <v>46254</v>
      </c>
      <c r="F1834" s="47" t="n">
        <v>46253</v>
      </c>
      <c r="G1834" s="46" t="n">
        <v>239842</v>
      </c>
      <c r="H1834" s="46" t="n">
        <v>239842</v>
      </c>
      <c r="I1834" s="46" t="n">
        <v>493</v>
      </c>
      <c r="J1834" s="44" t="n">
        <v>0.0243</v>
      </c>
      <c r="K1834" s="43" t="inlineStr">
        <is>
          <t>Received</t>
        </is>
      </c>
      <c r="L1834" s="17">
        <f>INDEX(Items!$C$2:$C$117,MATCH(B1834,Items!$A$2:$A$117,0))</f>
        <v/>
      </c>
      <c r="M1834" s="49">
        <f>INDEX(Items!$E$2:$E$117,MATCH(B1834,Items!$A$2:$A$117,0))</f>
        <v/>
      </c>
      <c r="N1834" s="17">
        <f>TEXT(D1834,"yyyy-mm")</f>
        <v/>
      </c>
      <c r="O1834" s="50">
        <f>G1834*J1834</f>
        <v/>
      </c>
      <c r="P1834" s="50">
        <f>(J1834-M1834)*G1834</f>
        <v/>
      </c>
      <c r="Q1834" s="51">
        <f>IF(K1834="Received",1,0)</f>
        <v/>
      </c>
      <c r="R1834" s="51">
        <f>IF(Q1834=1,F1834-D1834,0)</f>
        <v/>
      </c>
      <c r="S1834" s="51">
        <f>IF(Q1834=1,IF(F1834&lt;=E1834,1,0),0)</f>
        <v/>
      </c>
      <c r="T1834" s="51">
        <f>IF(Q1834=1,IF(H1834&gt;=G1834,1,0),0)</f>
        <v/>
      </c>
      <c r="U1834" s="51">
        <f>S1834*T1834</f>
        <v/>
      </c>
      <c r="V1834" s="51">
        <f>IF(Q1834=1,MAX(0,F1834-E1834),0)</f>
        <v/>
      </c>
    </row>
    <row r="1835">
      <c r="A1835" s="43" t="inlineStr">
        <is>
          <t>PO101906</t>
        </is>
      </c>
      <c r="B1835" s="43" t="inlineStr">
        <is>
          <t>CMD-0103</t>
        </is>
      </c>
      <c r="C1835" s="43" t="inlineStr">
        <is>
          <t>S09</t>
        </is>
      </c>
      <c r="D1835" s="47" t="n">
        <v>46237</v>
      </c>
      <c r="E1835" s="47" t="n">
        <v>46258</v>
      </c>
      <c r="F1835" s="47" t="n">
        <v>46255</v>
      </c>
      <c r="G1835" s="46" t="n">
        <v>1127</v>
      </c>
      <c r="H1835" s="46" t="n">
        <v>1127</v>
      </c>
      <c r="I1835" s="46" t="n">
        <v>5</v>
      </c>
      <c r="J1835" s="44" t="n">
        <v>4.3054</v>
      </c>
      <c r="K1835" s="43" t="inlineStr">
        <is>
          <t>Received</t>
        </is>
      </c>
      <c r="L1835" s="17">
        <f>INDEX(Items!$C$2:$C$117,MATCH(B1835,Items!$A$2:$A$117,0))</f>
        <v/>
      </c>
      <c r="M1835" s="49">
        <f>INDEX(Items!$E$2:$E$117,MATCH(B1835,Items!$A$2:$A$117,0))</f>
        <v/>
      </c>
      <c r="N1835" s="17">
        <f>TEXT(D1835,"yyyy-mm")</f>
        <v/>
      </c>
      <c r="O1835" s="50">
        <f>G1835*J1835</f>
        <v/>
      </c>
      <c r="P1835" s="50">
        <f>(J1835-M1835)*G1835</f>
        <v/>
      </c>
      <c r="Q1835" s="51">
        <f>IF(K1835="Received",1,0)</f>
        <v/>
      </c>
      <c r="R1835" s="51">
        <f>IF(Q1835=1,F1835-D1835,0)</f>
        <v/>
      </c>
      <c r="S1835" s="51">
        <f>IF(Q1835=1,IF(F1835&lt;=E1835,1,0),0)</f>
        <v/>
      </c>
      <c r="T1835" s="51">
        <f>IF(Q1835=1,IF(H1835&gt;=G1835,1,0),0)</f>
        <v/>
      </c>
      <c r="U1835" s="51">
        <f>S1835*T1835</f>
        <v/>
      </c>
      <c r="V1835" s="51">
        <f>IF(Q1835=1,MAX(0,F1835-E1835),0)</f>
        <v/>
      </c>
    </row>
    <row r="1836">
      <c r="A1836" s="43" t="inlineStr">
        <is>
          <t>PO101802</t>
        </is>
      </c>
      <c r="B1836" s="43" t="inlineStr">
        <is>
          <t>CMD-0097</t>
        </is>
      </c>
      <c r="C1836" s="43" t="inlineStr">
        <is>
          <t>S09</t>
        </is>
      </c>
      <c r="D1836" s="47" t="n">
        <v>46238</v>
      </c>
      <c r="E1836" s="47" t="n">
        <v>46259</v>
      </c>
      <c r="F1836" s="47" t="n">
        <v>46258</v>
      </c>
      <c r="G1836" s="46" t="n">
        <v>727</v>
      </c>
      <c r="H1836" s="46" t="n">
        <v>727</v>
      </c>
      <c r="I1836" s="46" t="n">
        <v>4</v>
      </c>
      <c r="J1836" s="44" t="n">
        <v>9.5481</v>
      </c>
      <c r="K1836" s="43" t="inlineStr">
        <is>
          <t>Received</t>
        </is>
      </c>
      <c r="L1836" s="17">
        <f>INDEX(Items!$C$2:$C$117,MATCH(B1836,Items!$A$2:$A$117,0))</f>
        <v/>
      </c>
      <c r="M1836" s="49">
        <f>INDEX(Items!$E$2:$E$117,MATCH(B1836,Items!$A$2:$A$117,0))</f>
        <v/>
      </c>
      <c r="N1836" s="17">
        <f>TEXT(D1836,"yyyy-mm")</f>
        <v/>
      </c>
      <c r="O1836" s="50">
        <f>G1836*J1836</f>
        <v/>
      </c>
      <c r="P1836" s="50">
        <f>(J1836-M1836)*G1836</f>
        <v/>
      </c>
      <c r="Q1836" s="51">
        <f>IF(K1836="Received",1,0)</f>
        <v/>
      </c>
      <c r="R1836" s="51">
        <f>IF(Q1836=1,F1836-D1836,0)</f>
        <v/>
      </c>
      <c r="S1836" s="51">
        <f>IF(Q1836=1,IF(F1836&lt;=E1836,1,0),0)</f>
        <v/>
      </c>
      <c r="T1836" s="51">
        <f>IF(Q1836=1,IF(H1836&gt;=G1836,1,0),0)</f>
        <v/>
      </c>
      <c r="U1836" s="51">
        <f>S1836*T1836</f>
        <v/>
      </c>
      <c r="V1836" s="51">
        <f>IF(Q1836=1,MAX(0,F1836-E1836),0)</f>
        <v/>
      </c>
    </row>
    <row r="1837">
      <c r="A1837" s="43" t="inlineStr">
        <is>
          <t>PO101616</t>
        </is>
      </c>
      <c r="B1837" s="43" t="inlineStr">
        <is>
          <t>CMD-0089</t>
        </is>
      </c>
      <c r="C1837" s="43" t="inlineStr">
        <is>
          <t>S01</t>
        </is>
      </c>
      <c r="D1837" s="47" t="n">
        <v>46238</v>
      </c>
      <c r="E1837" s="47" t="n">
        <v>46252</v>
      </c>
      <c r="F1837" s="47" t="n">
        <v>46252</v>
      </c>
      <c r="G1837" s="46" t="n">
        <v>542</v>
      </c>
      <c r="H1837" s="46" t="n">
        <v>542</v>
      </c>
      <c r="I1837" s="46" t="n">
        <v>1</v>
      </c>
      <c r="J1837" s="44" t="n">
        <v>9.774699999999999</v>
      </c>
      <c r="K1837" s="43" t="inlineStr">
        <is>
          <t>Received</t>
        </is>
      </c>
      <c r="L1837" s="17">
        <f>INDEX(Items!$C$2:$C$117,MATCH(B1837,Items!$A$2:$A$117,0))</f>
        <v/>
      </c>
      <c r="M1837" s="49">
        <f>INDEX(Items!$E$2:$E$117,MATCH(B1837,Items!$A$2:$A$117,0))</f>
        <v/>
      </c>
      <c r="N1837" s="17">
        <f>TEXT(D1837,"yyyy-mm")</f>
        <v/>
      </c>
      <c r="O1837" s="50">
        <f>G1837*J1837</f>
        <v/>
      </c>
      <c r="P1837" s="50">
        <f>(J1837-M1837)*G1837</f>
        <v/>
      </c>
      <c r="Q1837" s="51">
        <f>IF(K1837="Received",1,0)</f>
        <v/>
      </c>
      <c r="R1837" s="51">
        <f>IF(Q1837=1,F1837-D1837,0)</f>
        <v/>
      </c>
      <c r="S1837" s="51">
        <f>IF(Q1837=1,IF(F1837&lt;=E1837,1,0),0)</f>
        <v/>
      </c>
      <c r="T1837" s="51">
        <f>IF(Q1837=1,IF(H1837&gt;=G1837,1,0),0)</f>
        <v/>
      </c>
      <c r="U1837" s="51">
        <f>S1837*T1837</f>
        <v/>
      </c>
      <c r="V1837" s="51">
        <f>IF(Q1837=1,MAX(0,F1837-E1837),0)</f>
        <v/>
      </c>
    </row>
    <row r="1838">
      <c r="A1838" s="43" t="inlineStr">
        <is>
          <t>PO101382</t>
        </is>
      </c>
      <c r="B1838" s="43" t="inlineStr">
        <is>
          <t>CMD-0070</t>
        </is>
      </c>
      <c r="C1838" s="43" t="inlineStr">
        <is>
          <t>S04</t>
        </is>
      </c>
      <c r="D1838" s="47" t="n">
        <v>46240</v>
      </c>
      <c r="E1838" s="47" t="n">
        <v>46275</v>
      </c>
      <c r="F1838" s="47" t="n">
        <v>46272</v>
      </c>
      <c r="G1838" s="46" t="n">
        <v>37394</v>
      </c>
      <c r="H1838" s="46" t="n">
        <v>37394</v>
      </c>
      <c r="I1838" s="46" t="n">
        <v>389</v>
      </c>
      <c r="J1838" s="44" t="n">
        <v>0.1452</v>
      </c>
      <c r="K1838" s="43" t="inlineStr">
        <is>
          <t>Received</t>
        </is>
      </c>
      <c r="L1838" s="17">
        <f>INDEX(Items!$C$2:$C$117,MATCH(B1838,Items!$A$2:$A$117,0))</f>
        <v/>
      </c>
      <c r="M1838" s="49">
        <f>INDEX(Items!$E$2:$E$117,MATCH(B1838,Items!$A$2:$A$117,0))</f>
        <v/>
      </c>
      <c r="N1838" s="17">
        <f>TEXT(D1838,"yyyy-mm")</f>
        <v/>
      </c>
      <c r="O1838" s="50">
        <f>G1838*J1838</f>
        <v/>
      </c>
      <c r="P1838" s="50">
        <f>(J1838-M1838)*G1838</f>
        <v/>
      </c>
      <c r="Q1838" s="51">
        <f>IF(K1838="Received",1,0)</f>
        <v/>
      </c>
      <c r="R1838" s="51">
        <f>IF(Q1838=1,F1838-D1838,0)</f>
        <v/>
      </c>
      <c r="S1838" s="51">
        <f>IF(Q1838=1,IF(F1838&lt;=E1838,1,0),0)</f>
        <v/>
      </c>
      <c r="T1838" s="51">
        <f>IF(Q1838=1,IF(H1838&gt;=G1838,1,0),0)</f>
        <v/>
      </c>
      <c r="U1838" s="51">
        <f>S1838*T1838</f>
        <v/>
      </c>
      <c r="V1838" s="51">
        <f>IF(Q1838=1,MAX(0,F1838-E1838),0)</f>
        <v/>
      </c>
    </row>
    <row r="1839">
      <c r="A1839" s="43" t="inlineStr">
        <is>
          <t>PO100428</t>
        </is>
      </c>
      <c r="B1839" s="43" t="inlineStr">
        <is>
          <t>CMD-0019</t>
        </is>
      </c>
      <c r="C1839" s="43" t="inlineStr">
        <is>
          <t>S11</t>
        </is>
      </c>
      <c r="D1839" s="47" t="n">
        <v>46242</v>
      </c>
      <c r="E1839" s="47" t="n">
        <v>46319</v>
      </c>
      <c r="F1839" s="47" t="n"/>
      <c r="G1839" s="46" t="n">
        <v>966</v>
      </c>
      <c r="H1839" s="46" t="n">
        <v>0</v>
      </c>
      <c r="I1839" s="46" t="n">
        <v>0</v>
      </c>
      <c r="J1839" s="44" t="n">
        <v>7.4675</v>
      </c>
      <c r="K1839" s="43" t="inlineStr">
        <is>
          <t>Open</t>
        </is>
      </c>
      <c r="L1839" s="17">
        <f>INDEX(Items!$C$2:$C$117,MATCH(B1839,Items!$A$2:$A$117,0))</f>
        <v/>
      </c>
      <c r="M1839" s="49">
        <f>INDEX(Items!$E$2:$E$117,MATCH(B1839,Items!$A$2:$A$117,0))</f>
        <v/>
      </c>
      <c r="N1839" s="17">
        <f>TEXT(D1839,"yyyy-mm")</f>
        <v/>
      </c>
      <c r="O1839" s="50">
        <f>G1839*J1839</f>
        <v/>
      </c>
      <c r="P1839" s="50">
        <f>(J1839-M1839)*G1839</f>
        <v/>
      </c>
      <c r="Q1839" s="51">
        <f>IF(K1839="Received",1,0)</f>
        <v/>
      </c>
      <c r="R1839" s="51">
        <f>IF(Q1839=1,F1839-D1839,0)</f>
        <v/>
      </c>
      <c r="S1839" s="51">
        <f>IF(Q1839=1,IF(F1839&lt;=E1839,1,0),0)</f>
        <v/>
      </c>
      <c r="T1839" s="51">
        <f>IF(Q1839=1,IF(H1839&gt;=G1839,1,0),0)</f>
        <v/>
      </c>
      <c r="U1839" s="51">
        <f>S1839*T1839</f>
        <v/>
      </c>
      <c r="V1839" s="51">
        <f>IF(Q1839=1,MAX(0,F1839-E1839),0)</f>
        <v/>
      </c>
    </row>
    <row r="1840">
      <c r="A1840" s="43" t="inlineStr">
        <is>
          <t>PO100470</t>
        </is>
      </c>
      <c r="B1840" s="43" t="inlineStr">
        <is>
          <t>CMD-0021</t>
        </is>
      </c>
      <c r="C1840" s="43" t="inlineStr">
        <is>
          <t>S04</t>
        </is>
      </c>
      <c r="D1840" s="47" t="n">
        <v>46242</v>
      </c>
      <c r="E1840" s="47" t="n">
        <v>46312</v>
      </c>
      <c r="F1840" s="47" t="n"/>
      <c r="G1840" s="46" t="n">
        <v>1315</v>
      </c>
      <c r="H1840" s="46" t="n">
        <v>0</v>
      </c>
      <c r="I1840" s="46" t="n">
        <v>0</v>
      </c>
      <c r="J1840" s="44" t="n">
        <v>5.0882</v>
      </c>
      <c r="K1840" s="43" t="inlineStr">
        <is>
          <t>Open</t>
        </is>
      </c>
      <c r="L1840" s="17">
        <f>INDEX(Items!$C$2:$C$117,MATCH(B1840,Items!$A$2:$A$117,0))</f>
        <v/>
      </c>
      <c r="M1840" s="49">
        <f>INDEX(Items!$E$2:$E$117,MATCH(B1840,Items!$A$2:$A$117,0))</f>
        <v/>
      </c>
      <c r="N1840" s="17">
        <f>TEXT(D1840,"yyyy-mm")</f>
        <v/>
      </c>
      <c r="O1840" s="50">
        <f>G1840*J1840</f>
        <v/>
      </c>
      <c r="P1840" s="50">
        <f>(J1840-M1840)*G1840</f>
        <v/>
      </c>
      <c r="Q1840" s="51">
        <f>IF(K1840="Received",1,0)</f>
        <v/>
      </c>
      <c r="R1840" s="51">
        <f>IF(Q1840=1,F1840-D1840,0)</f>
        <v/>
      </c>
      <c r="S1840" s="51">
        <f>IF(Q1840=1,IF(F1840&lt;=E1840,1,0),0)</f>
        <v/>
      </c>
      <c r="T1840" s="51">
        <f>IF(Q1840=1,IF(H1840&gt;=G1840,1,0),0)</f>
        <v/>
      </c>
      <c r="U1840" s="51">
        <f>S1840*T1840</f>
        <v/>
      </c>
      <c r="V1840" s="51">
        <f>IF(Q1840=1,MAX(0,F1840-E1840),0)</f>
        <v/>
      </c>
    </row>
    <row r="1841">
      <c r="A1841" s="43" t="inlineStr">
        <is>
          <t>PO100704</t>
        </is>
      </c>
      <c r="B1841" s="43" t="inlineStr">
        <is>
          <t>CMD-0031</t>
        </is>
      </c>
      <c r="C1841" s="43" t="inlineStr">
        <is>
          <t>S01</t>
        </is>
      </c>
      <c r="D1841" s="47" t="n">
        <v>46243</v>
      </c>
      <c r="E1841" s="47" t="n">
        <v>46271</v>
      </c>
      <c r="F1841" s="47" t="n">
        <v>46271</v>
      </c>
      <c r="G1841" s="46" t="n">
        <v>645</v>
      </c>
      <c r="H1841" s="46" t="n">
        <v>645</v>
      </c>
      <c r="I1841" s="46" t="n">
        <v>1</v>
      </c>
      <c r="J1841" s="44" t="n">
        <v>9.980700000000001</v>
      </c>
      <c r="K1841" s="43" t="inlineStr">
        <is>
          <t>Received</t>
        </is>
      </c>
      <c r="L1841" s="17">
        <f>INDEX(Items!$C$2:$C$117,MATCH(B1841,Items!$A$2:$A$117,0))</f>
        <v/>
      </c>
      <c r="M1841" s="49">
        <f>INDEX(Items!$E$2:$E$117,MATCH(B1841,Items!$A$2:$A$117,0))</f>
        <v/>
      </c>
      <c r="N1841" s="17">
        <f>TEXT(D1841,"yyyy-mm")</f>
        <v/>
      </c>
      <c r="O1841" s="50">
        <f>G1841*J1841</f>
        <v/>
      </c>
      <c r="P1841" s="50">
        <f>(J1841-M1841)*G1841</f>
        <v/>
      </c>
      <c r="Q1841" s="51">
        <f>IF(K1841="Received",1,0)</f>
        <v/>
      </c>
      <c r="R1841" s="51">
        <f>IF(Q1841=1,F1841-D1841,0)</f>
        <v/>
      </c>
      <c r="S1841" s="51">
        <f>IF(Q1841=1,IF(F1841&lt;=E1841,1,0),0)</f>
        <v/>
      </c>
      <c r="T1841" s="51">
        <f>IF(Q1841=1,IF(H1841&gt;=G1841,1,0),0)</f>
        <v/>
      </c>
      <c r="U1841" s="51">
        <f>S1841*T1841</f>
        <v/>
      </c>
      <c r="V1841" s="51">
        <f>IF(Q1841=1,MAX(0,F1841-E1841),0)</f>
        <v/>
      </c>
    </row>
    <row r="1842">
      <c r="A1842" s="43" t="inlineStr">
        <is>
          <t>PO100410</t>
        </is>
      </c>
      <c r="B1842" s="43" t="inlineStr">
        <is>
          <t>CMD-0018</t>
        </is>
      </c>
      <c r="C1842" s="43" t="inlineStr">
        <is>
          <t>S02</t>
        </is>
      </c>
      <c r="D1842" s="47" t="n">
        <v>46249</v>
      </c>
      <c r="E1842" s="47" t="n">
        <v>46305</v>
      </c>
      <c r="F1842" s="47" t="n"/>
      <c r="G1842" s="46" t="n">
        <v>7542</v>
      </c>
      <c r="H1842" s="46" t="n">
        <v>0</v>
      </c>
      <c r="I1842" s="46" t="n">
        <v>0</v>
      </c>
      <c r="J1842" s="44" t="n">
        <v>39.0576</v>
      </c>
      <c r="K1842" s="43" t="inlineStr">
        <is>
          <t>Open</t>
        </is>
      </c>
      <c r="L1842" s="17">
        <f>INDEX(Items!$C$2:$C$117,MATCH(B1842,Items!$A$2:$A$117,0))</f>
        <v/>
      </c>
      <c r="M1842" s="49">
        <f>INDEX(Items!$E$2:$E$117,MATCH(B1842,Items!$A$2:$A$117,0))</f>
        <v/>
      </c>
      <c r="N1842" s="17">
        <f>TEXT(D1842,"yyyy-mm")</f>
        <v/>
      </c>
      <c r="O1842" s="50">
        <f>G1842*J1842</f>
        <v/>
      </c>
      <c r="P1842" s="50">
        <f>(J1842-M1842)*G1842</f>
        <v/>
      </c>
      <c r="Q1842" s="51">
        <f>IF(K1842="Received",1,0)</f>
        <v/>
      </c>
      <c r="R1842" s="51">
        <f>IF(Q1842=1,F1842-D1842,0)</f>
        <v/>
      </c>
      <c r="S1842" s="51">
        <f>IF(Q1842=1,IF(F1842&lt;=E1842,1,0),0)</f>
        <v/>
      </c>
      <c r="T1842" s="51">
        <f>IF(Q1842=1,IF(H1842&gt;=G1842,1,0),0)</f>
        <v/>
      </c>
      <c r="U1842" s="51">
        <f>S1842*T1842</f>
        <v/>
      </c>
      <c r="V1842" s="51">
        <f>IF(Q1842=1,MAX(0,F1842-E1842),0)</f>
        <v/>
      </c>
    </row>
    <row r="1843">
      <c r="A1843" s="43" t="inlineStr">
        <is>
          <t>PO100590</t>
        </is>
      </c>
      <c r="B1843" s="43" t="inlineStr">
        <is>
          <t>CMD-0026</t>
        </is>
      </c>
      <c r="C1843" s="43" t="inlineStr">
        <is>
          <t>S04</t>
        </is>
      </c>
      <c r="D1843" s="47" t="n">
        <v>46249</v>
      </c>
      <c r="E1843" s="47" t="n">
        <v>46319</v>
      </c>
      <c r="F1843" s="47" t="n"/>
      <c r="G1843" s="46" t="n">
        <v>7907</v>
      </c>
      <c r="H1843" s="46" t="n">
        <v>0</v>
      </c>
      <c r="I1843" s="46" t="n">
        <v>0</v>
      </c>
      <c r="J1843" s="44" t="n">
        <v>6.1388</v>
      </c>
      <c r="K1843" s="43" t="inlineStr">
        <is>
          <t>Open</t>
        </is>
      </c>
      <c r="L1843" s="17">
        <f>INDEX(Items!$C$2:$C$117,MATCH(B1843,Items!$A$2:$A$117,0))</f>
        <v/>
      </c>
      <c r="M1843" s="49">
        <f>INDEX(Items!$E$2:$E$117,MATCH(B1843,Items!$A$2:$A$117,0))</f>
        <v/>
      </c>
      <c r="N1843" s="17">
        <f>TEXT(D1843,"yyyy-mm")</f>
        <v/>
      </c>
      <c r="O1843" s="50">
        <f>G1843*J1843</f>
        <v/>
      </c>
      <c r="P1843" s="50">
        <f>(J1843-M1843)*G1843</f>
        <v/>
      </c>
      <c r="Q1843" s="51">
        <f>IF(K1843="Received",1,0)</f>
        <v/>
      </c>
      <c r="R1843" s="51">
        <f>IF(Q1843=1,F1843-D1843,0)</f>
        <v/>
      </c>
      <c r="S1843" s="51">
        <f>IF(Q1843=1,IF(F1843&lt;=E1843,1,0),0)</f>
        <v/>
      </c>
      <c r="T1843" s="51">
        <f>IF(Q1843=1,IF(H1843&gt;=G1843,1,0),0)</f>
        <v/>
      </c>
      <c r="U1843" s="51">
        <f>S1843*T1843</f>
        <v/>
      </c>
      <c r="V1843" s="51">
        <f>IF(Q1843=1,MAX(0,F1843-E1843),0)</f>
        <v/>
      </c>
    </row>
    <row r="1844">
      <c r="A1844" s="43" t="inlineStr">
        <is>
          <t>PO101330</t>
        </is>
      </c>
      <c r="B1844" s="43" t="inlineStr">
        <is>
          <t>CMD-0065</t>
        </is>
      </c>
      <c r="C1844" s="43" t="inlineStr">
        <is>
          <t>S10</t>
        </is>
      </c>
      <c r="D1844" s="47" t="n">
        <v>46249</v>
      </c>
      <c r="E1844" s="47" t="n">
        <v>46277</v>
      </c>
      <c r="F1844" s="47" t="n">
        <v>46276</v>
      </c>
      <c r="G1844" s="46" t="n">
        <v>107929</v>
      </c>
      <c r="H1844" s="46" t="n">
        <v>107929</v>
      </c>
      <c r="I1844" s="46" t="n">
        <v>111</v>
      </c>
      <c r="J1844" s="44" t="n">
        <v>0.119</v>
      </c>
      <c r="K1844" s="43" t="inlineStr">
        <is>
          <t>Received</t>
        </is>
      </c>
      <c r="L1844" s="17">
        <f>INDEX(Items!$C$2:$C$117,MATCH(B1844,Items!$A$2:$A$117,0))</f>
        <v/>
      </c>
      <c r="M1844" s="49">
        <f>INDEX(Items!$E$2:$E$117,MATCH(B1844,Items!$A$2:$A$117,0))</f>
        <v/>
      </c>
      <c r="N1844" s="17">
        <f>TEXT(D1844,"yyyy-mm")</f>
        <v/>
      </c>
      <c r="O1844" s="50">
        <f>G1844*J1844</f>
        <v/>
      </c>
      <c r="P1844" s="50">
        <f>(J1844-M1844)*G1844</f>
        <v/>
      </c>
      <c r="Q1844" s="51">
        <f>IF(K1844="Received",1,0)</f>
        <v/>
      </c>
      <c r="R1844" s="51">
        <f>IF(Q1844=1,F1844-D1844,0)</f>
        <v/>
      </c>
      <c r="S1844" s="51">
        <f>IF(Q1844=1,IF(F1844&lt;=E1844,1,0),0)</f>
        <v/>
      </c>
      <c r="T1844" s="51">
        <f>IF(Q1844=1,IF(H1844&gt;=G1844,1,0),0)</f>
        <v/>
      </c>
      <c r="U1844" s="51">
        <f>S1844*T1844</f>
        <v/>
      </c>
      <c r="V1844" s="51">
        <f>IF(Q1844=1,MAX(0,F1844-E1844),0)</f>
        <v/>
      </c>
    </row>
    <row r="1845">
      <c r="A1845" s="43" t="inlineStr">
        <is>
          <t>PO101360</t>
        </is>
      </c>
      <c r="B1845" s="43" t="inlineStr">
        <is>
          <t>CMD-0068</t>
        </is>
      </c>
      <c r="C1845" s="43" t="inlineStr">
        <is>
          <t>S01</t>
        </is>
      </c>
      <c r="D1845" s="47" t="n">
        <v>46250</v>
      </c>
      <c r="E1845" s="47" t="n">
        <v>46271</v>
      </c>
      <c r="F1845" s="47" t="n">
        <v>46271</v>
      </c>
      <c r="G1845" s="46" t="n">
        <v>36592</v>
      </c>
      <c r="H1845" s="46" t="n">
        <v>36592</v>
      </c>
      <c r="I1845" s="46" t="n">
        <v>72</v>
      </c>
      <c r="J1845" s="44" t="n">
        <v>0.1609</v>
      </c>
      <c r="K1845" s="43" t="inlineStr">
        <is>
          <t>Received</t>
        </is>
      </c>
      <c r="L1845" s="17">
        <f>INDEX(Items!$C$2:$C$117,MATCH(B1845,Items!$A$2:$A$117,0))</f>
        <v/>
      </c>
      <c r="M1845" s="49">
        <f>INDEX(Items!$E$2:$E$117,MATCH(B1845,Items!$A$2:$A$117,0))</f>
        <v/>
      </c>
      <c r="N1845" s="17">
        <f>TEXT(D1845,"yyyy-mm")</f>
        <v/>
      </c>
      <c r="O1845" s="50">
        <f>G1845*J1845</f>
        <v/>
      </c>
      <c r="P1845" s="50">
        <f>(J1845-M1845)*G1845</f>
        <v/>
      </c>
      <c r="Q1845" s="51">
        <f>IF(K1845="Received",1,0)</f>
        <v/>
      </c>
      <c r="R1845" s="51">
        <f>IF(Q1845=1,F1845-D1845,0)</f>
        <v/>
      </c>
      <c r="S1845" s="51">
        <f>IF(Q1845=1,IF(F1845&lt;=E1845,1,0),0)</f>
        <v/>
      </c>
      <c r="T1845" s="51">
        <f>IF(Q1845=1,IF(H1845&gt;=G1845,1,0),0)</f>
        <v/>
      </c>
      <c r="U1845" s="51">
        <f>S1845*T1845</f>
        <v/>
      </c>
      <c r="V1845" s="51">
        <f>IF(Q1845=1,MAX(0,F1845-E1845),0)</f>
        <v/>
      </c>
    </row>
    <row r="1846">
      <c r="A1846" s="43" t="inlineStr">
        <is>
          <t>PO100614</t>
        </is>
      </c>
      <c r="B1846" s="43" t="inlineStr">
        <is>
          <t>CMD-0027</t>
        </is>
      </c>
      <c r="C1846" s="43" t="inlineStr">
        <is>
          <t>S04</t>
        </is>
      </c>
      <c r="D1846" s="47" t="n">
        <v>46250</v>
      </c>
      <c r="E1846" s="47" t="n">
        <v>46320</v>
      </c>
      <c r="F1846" s="47" t="n"/>
      <c r="G1846" s="46" t="n">
        <v>8253</v>
      </c>
      <c r="H1846" s="46" t="n">
        <v>0</v>
      </c>
      <c r="I1846" s="46" t="n">
        <v>0</v>
      </c>
      <c r="J1846" s="44" t="n">
        <v>9.115500000000001</v>
      </c>
      <c r="K1846" s="43" t="inlineStr">
        <is>
          <t>Open</t>
        </is>
      </c>
      <c r="L1846" s="17">
        <f>INDEX(Items!$C$2:$C$117,MATCH(B1846,Items!$A$2:$A$117,0))</f>
        <v/>
      </c>
      <c r="M1846" s="49">
        <f>INDEX(Items!$E$2:$E$117,MATCH(B1846,Items!$A$2:$A$117,0))</f>
        <v/>
      </c>
      <c r="N1846" s="17">
        <f>TEXT(D1846,"yyyy-mm")</f>
        <v/>
      </c>
      <c r="O1846" s="50">
        <f>G1846*J1846</f>
        <v/>
      </c>
      <c r="P1846" s="50">
        <f>(J1846-M1846)*G1846</f>
        <v/>
      </c>
      <c r="Q1846" s="51">
        <f>IF(K1846="Received",1,0)</f>
        <v/>
      </c>
      <c r="R1846" s="51">
        <f>IF(Q1846=1,F1846-D1846,0)</f>
        <v/>
      </c>
      <c r="S1846" s="51">
        <f>IF(Q1846=1,IF(F1846&lt;=E1846,1,0),0)</f>
        <v/>
      </c>
      <c r="T1846" s="51">
        <f>IF(Q1846=1,IF(H1846&gt;=G1846,1,0),0)</f>
        <v/>
      </c>
      <c r="U1846" s="51">
        <f>S1846*T1846</f>
        <v/>
      </c>
      <c r="V1846" s="51">
        <f>IF(Q1846=1,MAX(0,F1846-E1846),0)</f>
        <v/>
      </c>
    </row>
    <row r="1847">
      <c r="A1847" s="43" t="inlineStr">
        <is>
          <t>PO100362</t>
        </is>
      </c>
      <c r="B1847" s="43" t="inlineStr">
        <is>
          <t>CMD-0016</t>
        </is>
      </c>
      <c r="C1847" s="43" t="inlineStr">
        <is>
          <t>S07</t>
        </is>
      </c>
      <c r="D1847" s="47" t="n">
        <v>46250</v>
      </c>
      <c r="E1847" s="47" t="n">
        <v>46341</v>
      </c>
      <c r="F1847" s="47" t="n"/>
      <c r="G1847" s="46" t="n">
        <v>6933</v>
      </c>
      <c r="H1847" s="46" t="n">
        <v>0</v>
      </c>
      <c r="I1847" s="46" t="n">
        <v>0</v>
      </c>
      <c r="J1847" s="44" t="n">
        <v>31.8836</v>
      </c>
      <c r="K1847" s="43" t="inlineStr">
        <is>
          <t>Open</t>
        </is>
      </c>
      <c r="L1847" s="17">
        <f>INDEX(Items!$C$2:$C$117,MATCH(B1847,Items!$A$2:$A$117,0))</f>
        <v/>
      </c>
      <c r="M1847" s="49">
        <f>INDEX(Items!$E$2:$E$117,MATCH(B1847,Items!$A$2:$A$117,0))</f>
        <v/>
      </c>
      <c r="N1847" s="17">
        <f>TEXT(D1847,"yyyy-mm")</f>
        <v/>
      </c>
      <c r="O1847" s="50">
        <f>G1847*J1847</f>
        <v/>
      </c>
      <c r="P1847" s="50">
        <f>(J1847-M1847)*G1847</f>
        <v/>
      </c>
      <c r="Q1847" s="51">
        <f>IF(K1847="Received",1,0)</f>
        <v/>
      </c>
      <c r="R1847" s="51">
        <f>IF(Q1847=1,F1847-D1847,0)</f>
        <v/>
      </c>
      <c r="S1847" s="51">
        <f>IF(Q1847=1,IF(F1847&lt;=E1847,1,0),0)</f>
        <v/>
      </c>
      <c r="T1847" s="51">
        <f>IF(Q1847=1,IF(H1847&gt;=G1847,1,0),0)</f>
        <v/>
      </c>
      <c r="U1847" s="51">
        <f>S1847*T1847</f>
        <v/>
      </c>
      <c r="V1847" s="51">
        <f>IF(Q1847=1,MAX(0,F1847-E1847),0)</f>
        <v/>
      </c>
    </row>
    <row r="1848">
      <c r="A1848" s="43" t="inlineStr">
        <is>
          <t>PO101784</t>
        </is>
      </c>
      <c r="B1848" s="43" t="inlineStr">
        <is>
          <t>CMD-0096</t>
        </is>
      </c>
      <c r="C1848" s="43" t="inlineStr">
        <is>
          <t>S09</t>
        </is>
      </c>
      <c r="D1848" s="47" t="n">
        <v>46250</v>
      </c>
      <c r="E1848" s="47" t="n">
        <v>46271</v>
      </c>
      <c r="F1848" s="47" t="n">
        <v>46279</v>
      </c>
      <c r="G1848" s="46" t="n">
        <v>944</v>
      </c>
      <c r="H1848" s="46" t="n">
        <v>944</v>
      </c>
      <c r="I1848" s="46" t="n">
        <v>1</v>
      </c>
      <c r="J1848" s="44" t="n">
        <v>6.6126</v>
      </c>
      <c r="K1848" s="43" t="inlineStr">
        <is>
          <t>Received</t>
        </is>
      </c>
      <c r="L1848" s="17">
        <f>INDEX(Items!$C$2:$C$117,MATCH(B1848,Items!$A$2:$A$117,0))</f>
        <v/>
      </c>
      <c r="M1848" s="49">
        <f>INDEX(Items!$E$2:$E$117,MATCH(B1848,Items!$A$2:$A$117,0))</f>
        <v/>
      </c>
      <c r="N1848" s="17">
        <f>TEXT(D1848,"yyyy-mm")</f>
        <v/>
      </c>
      <c r="O1848" s="50">
        <f>G1848*J1848</f>
        <v/>
      </c>
      <c r="P1848" s="50">
        <f>(J1848-M1848)*G1848</f>
        <v/>
      </c>
      <c r="Q1848" s="51">
        <f>IF(K1848="Received",1,0)</f>
        <v/>
      </c>
      <c r="R1848" s="51">
        <f>IF(Q1848=1,F1848-D1848,0)</f>
        <v/>
      </c>
      <c r="S1848" s="51">
        <f>IF(Q1848=1,IF(F1848&lt;=E1848,1,0),0)</f>
        <v/>
      </c>
      <c r="T1848" s="51">
        <f>IF(Q1848=1,IF(H1848&gt;=G1848,1,0),0)</f>
        <v/>
      </c>
      <c r="U1848" s="51">
        <f>S1848*T1848</f>
        <v/>
      </c>
      <c r="V1848" s="51">
        <f>IF(Q1848=1,MAX(0,F1848-E1848),0)</f>
        <v/>
      </c>
    </row>
    <row r="1849">
      <c r="A1849" s="43" t="inlineStr">
        <is>
          <t>PO101028</t>
        </is>
      </c>
      <c r="B1849" s="43" t="inlineStr">
        <is>
          <t>CMD-0046</t>
        </is>
      </c>
      <c r="C1849" s="43" t="inlineStr">
        <is>
          <t>S05</t>
        </is>
      </c>
      <c r="D1849" s="47" t="n">
        <v>46250</v>
      </c>
      <c r="E1849" s="47" t="n">
        <v>46355</v>
      </c>
      <c r="F1849" s="47" t="n"/>
      <c r="G1849" s="46" t="n">
        <v>8191</v>
      </c>
      <c r="H1849" s="46" t="n">
        <v>0</v>
      </c>
      <c r="I1849" s="46" t="n">
        <v>0</v>
      </c>
      <c r="J1849" s="44" t="n">
        <v>10.8871</v>
      </c>
      <c r="K1849" s="43" t="inlineStr">
        <is>
          <t>Open</t>
        </is>
      </c>
      <c r="L1849" s="17">
        <f>INDEX(Items!$C$2:$C$117,MATCH(B1849,Items!$A$2:$A$117,0))</f>
        <v/>
      </c>
      <c r="M1849" s="49">
        <f>INDEX(Items!$E$2:$E$117,MATCH(B1849,Items!$A$2:$A$117,0))</f>
        <v/>
      </c>
      <c r="N1849" s="17">
        <f>TEXT(D1849,"yyyy-mm")</f>
        <v/>
      </c>
      <c r="O1849" s="50">
        <f>G1849*J1849</f>
        <v/>
      </c>
      <c r="P1849" s="50">
        <f>(J1849-M1849)*G1849</f>
        <v/>
      </c>
      <c r="Q1849" s="51">
        <f>IF(K1849="Received",1,0)</f>
        <v/>
      </c>
      <c r="R1849" s="51">
        <f>IF(Q1849=1,F1849-D1849,0)</f>
        <v/>
      </c>
      <c r="S1849" s="51">
        <f>IF(Q1849=1,IF(F1849&lt;=E1849,1,0),0)</f>
        <v/>
      </c>
      <c r="T1849" s="51">
        <f>IF(Q1849=1,IF(H1849&gt;=G1849,1,0),0)</f>
        <v/>
      </c>
      <c r="U1849" s="51">
        <f>S1849*T1849</f>
        <v/>
      </c>
      <c r="V1849" s="51">
        <f>IF(Q1849=1,MAX(0,F1849-E1849),0)</f>
        <v/>
      </c>
    </row>
    <row r="1850">
      <c r="A1850" s="43" t="inlineStr">
        <is>
          <t>PO101050</t>
        </is>
      </c>
      <c r="B1850" s="43" t="inlineStr">
        <is>
          <t>CMD-0047</t>
        </is>
      </c>
      <c r="C1850" s="43" t="inlineStr">
        <is>
          <t>S04</t>
        </is>
      </c>
      <c r="D1850" s="47" t="n">
        <v>46251</v>
      </c>
      <c r="E1850" s="47" t="n">
        <v>46286</v>
      </c>
      <c r="F1850" s="47" t="n">
        <v>46283</v>
      </c>
      <c r="G1850" s="46" t="n">
        <v>22938</v>
      </c>
      <c r="H1850" s="46" t="n">
        <v>22938</v>
      </c>
      <c r="I1850" s="46" t="n">
        <v>236</v>
      </c>
      <c r="J1850" s="44" t="n">
        <v>0.3049</v>
      </c>
      <c r="K1850" s="43" t="inlineStr">
        <is>
          <t>Received</t>
        </is>
      </c>
      <c r="L1850" s="17">
        <f>INDEX(Items!$C$2:$C$117,MATCH(B1850,Items!$A$2:$A$117,0))</f>
        <v/>
      </c>
      <c r="M1850" s="49">
        <f>INDEX(Items!$E$2:$E$117,MATCH(B1850,Items!$A$2:$A$117,0))</f>
        <v/>
      </c>
      <c r="N1850" s="17">
        <f>TEXT(D1850,"yyyy-mm")</f>
        <v/>
      </c>
      <c r="O1850" s="50">
        <f>G1850*J1850</f>
        <v/>
      </c>
      <c r="P1850" s="50">
        <f>(J1850-M1850)*G1850</f>
        <v/>
      </c>
      <c r="Q1850" s="51">
        <f>IF(K1850="Received",1,0)</f>
        <v/>
      </c>
      <c r="R1850" s="51">
        <f>IF(Q1850=1,F1850-D1850,0)</f>
        <v/>
      </c>
      <c r="S1850" s="51">
        <f>IF(Q1850=1,IF(F1850&lt;=E1850,1,0),0)</f>
        <v/>
      </c>
      <c r="T1850" s="51">
        <f>IF(Q1850=1,IF(H1850&gt;=G1850,1,0),0)</f>
        <v/>
      </c>
      <c r="U1850" s="51">
        <f>S1850*T1850</f>
        <v/>
      </c>
      <c r="V1850" s="51">
        <f>IF(Q1850=1,MAX(0,F1850-E1850),0)</f>
        <v/>
      </c>
    </row>
    <row r="1851">
      <c r="A1851" s="43" t="inlineStr">
        <is>
          <t>PO100214</t>
        </is>
      </c>
      <c r="B1851" s="43" t="inlineStr">
        <is>
          <t>CMD-0009</t>
        </is>
      </c>
      <c r="C1851" s="43" t="inlineStr">
        <is>
          <t>S11</t>
        </is>
      </c>
      <c r="D1851" s="47" t="n">
        <v>46251</v>
      </c>
      <c r="E1851" s="47" t="n">
        <v>46370</v>
      </c>
      <c r="F1851" s="47" t="n"/>
      <c r="G1851" s="46" t="n">
        <v>6714</v>
      </c>
      <c r="H1851" s="46" t="n">
        <v>0</v>
      </c>
      <c r="I1851" s="46" t="n">
        <v>0</v>
      </c>
      <c r="J1851" s="44" t="n">
        <v>7.4222</v>
      </c>
      <c r="K1851" s="43" t="inlineStr">
        <is>
          <t>Open</t>
        </is>
      </c>
      <c r="L1851" s="17">
        <f>INDEX(Items!$C$2:$C$117,MATCH(B1851,Items!$A$2:$A$117,0))</f>
        <v/>
      </c>
      <c r="M1851" s="49">
        <f>INDEX(Items!$E$2:$E$117,MATCH(B1851,Items!$A$2:$A$117,0))</f>
        <v/>
      </c>
      <c r="N1851" s="17">
        <f>TEXT(D1851,"yyyy-mm")</f>
        <v/>
      </c>
      <c r="O1851" s="50">
        <f>G1851*J1851</f>
        <v/>
      </c>
      <c r="P1851" s="50">
        <f>(J1851-M1851)*G1851</f>
        <v/>
      </c>
      <c r="Q1851" s="51">
        <f>IF(K1851="Received",1,0)</f>
        <v/>
      </c>
      <c r="R1851" s="51">
        <f>IF(Q1851=1,F1851-D1851,0)</f>
        <v/>
      </c>
      <c r="S1851" s="51">
        <f>IF(Q1851=1,IF(F1851&lt;=E1851,1,0),0)</f>
        <v/>
      </c>
      <c r="T1851" s="51">
        <f>IF(Q1851=1,IF(H1851&gt;=G1851,1,0),0)</f>
        <v/>
      </c>
      <c r="U1851" s="51">
        <f>S1851*T1851</f>
        <v/>
      </c>
      <c r="V1851" s="51">
        <f>IF(Q1851=1,MAX(0,F1851-E1851),0)</f>
        <v/>
      </c>
    </row>
    <row r="1852">
      <c r="A1852" s="43" t="inlineStr">
        <is>
          <t>PO100262</t>
        </is>
      </c>
      <c r="B1852" s="43" t="inlineStr">
        <is>
          <t>CMD-0011</t>
        </is>
      </c>
      <c r="C1852" s="43" t="inlineStr">
        <is>
          <t>S07</t>
        </is>
      </c>
      <c r="D1852" s="47" t="n">
        <v>46251</v>
      </c>
      <c r="E1852" s="47" t="n">
        <v>46342</v>
      </c>
      <c r="F1852" s="47" t="n"/>
      <c r="G1852" s="46" t="n">
        <v>3150</v>
      </c>
      <c r="H1852" s="46" t="n">
        <v>0</v>
      </c>
      <c r="I1852" s="46" t="n">
        <v>0</v>
      </c>
      <c r="J1852" s="44" t="n">
        <v>9.5344</v>
      </c>
      <c r="K1852" s="43" t="inlineStr">
        <is>
          <t>Open</t>
        </is>
      </c>
      <c r="L1852" s="17">
        <f>INDEX(Items!$C$2:$C$117,MATCH(B1852,Items!$A$2:$A$117,0))</f>
        <v/>
      </c>
      <c r="M1852" s="49">
        <f>INDEX(Items!$E$2:$E$117,MATCH(B1852,Items!$A$2:$A$117,0))</f>
        <v/>
      </c>
      <c r="N1852" s="17">
        <f>TEXT(D1852,"yyyy-mm")</f>
        <v/>
      </c>
      <c r="O1852" s="50">
        <f>G1852*J1852</f>
        <v/>
      </c>
      <c r="P1852" s="50">
        <f>(J1852-M1852)*G1852</f>
        <v/>
      </c>
      <c r="Q1852" s="51">
        <f>IF(K1852="Received",1,0)</f>
        <v/>
      </c>
      <c r="R1852" s="51">
        <f>IF(Q1852=1,F1852-D1852,0)</f>
        <v/>
      </c>
      <c r="S1852" s="51">
        <f>IF(Q1852=1,IF(F1852&lt;=E1852,1,0),0)</f>
        <v/>
      </c>
      <c r="T1852" s="51">
        <f>IF(Q1852=1,IF(H1852&gt;=G1852,1,0),0)</f>
        <v/>
      </c>
      <c r="U1852" s="51">
        <f>S1852*T1852</f>
        <v/>
      </c>
      <c r="V1852" s="51">
        <f>IF(Q1852=1,MAX(0,F1852-E1852),0)</f>
        <v/>
      </c>
    </row>
    <row r="1853">
      <c r="A1853" s="43" t="inlineStr">
        <is>
          <t>PO100314</t>
        </is>
      </c>
      <c r="B1853" s="43" t="inlineStr">
        <is>
          <t>CMD-0014</t>
        </is>
      </c>
      <c r="C1853" s="43" t="inlineStr">
        <is>
          <t>S03</t>
        </is>
      </c>
      <c r="D1853" s="47" t="n">
        <v>46251</v>
      </c>
      <c r="E1853" s="47" t="n">
        <v>46384</v>
      </c>
      <c r="F1853" s="47" t="n"/>
      <c r="G1853" s="46" t="n">
        <v>4495</v>
      </c>
      <c r="H1853" s="46" t="n">
        <v>0</v>
      </c>
      <c r="I1853" s="46" t="n">
        <v>0</v>
      </c>
      <c r="J1853" s="44" t="n">
        <v>14.8916</v>
      </c>
      <c r="K1853" s="43" t="inlineStr">
        <is>
          <t>Open</t>
        </is>
      </c>
      <c r="L1853" s="17">
        <f>INDEX(Items!$C$2:$C$117,MATCH(B1853,Items!$A$2:$A$117,0))</f>
        <v/>
      </c>
      <c r="M1853" s="49">
        <f>INDEX(Items!$E$2:$E$117,MATCH(B1853,Items!$A$2:$A$117,0))</f>
        <v/>
      </c>
      <c r="N1853" s="17">
        <f>TEXT(D1853,"yyyy-mm")</f>
        <v/>
      </c>
      <c r="O1853" s="50">
        <f>G1853*J1853</f>
        <v/>
      </c>
      <c r="P1853" s="50">
        <f>(J1853-M1853)*G1853</f>
        <v/>
      </c>
      <c r="Q1853" s="51">
        <f>IF(K1853="Received",1,0)</f>
        <v/>
      </c>
      <c r="R1853" s="51">
        <f>IF(Q1853=1,F1853-D1853,0)</f>
        <v/>
      </c>
      <c r="S1853" s="51">
        <f>IF(Q1853=1,IF(F1853&lt;=E1853,1,0),0)</f>
        <v/>
      </c>
      <c r="T1853" s="51">
        <f>IF(Q1853=1,IF(H1853&gt;=G1853,1,0),0)</f>
        <v/>
      </c>
      <c r="U1853" s="51">
        <f>S1853*T1853</f>
        <v/>
      </c>
      <c r="V1853" s="51">
        <f>IF(Q1853=1,MAX(0,F1853-E1853),0)</f>
        <v/>
      </c>
    </row>
    <row r="1854">
      <c r="A1854" s="43" t="inlineStr">
        <is>
          <t>PO101104</t>
        </is>
      </c>
      <c r="B1854" s="43" t="inlineStr">
        <is>
          <t>CMD-0050</t>
        </is>
      </c>
      <c r="C1854" s="43" t="inlineStr">
        <is>
          <t>S10</t>
        </is>
      </c>
      <c r="D1854" s="47" t="n">
        <v>46251</v>
      </c>
      <c r="E1854" s="47" t="n">
        <v>46279</v>
      </c>
      <c r="F1854" s="47" t="n">
        <v>46277</v>
      </c>
      <c r="G1854" s="46" t="n">
        <v>83037</v>
      </c>
      <c r="H1854" s="46" t="n">
        <v>83037</v>
      </c>
      <c r="I1854" s="46" t="n">
        <v>81</v>
      </c>
      <c r="J1854" s="44" t="n">
        <v>0.0772</v>
      </c>
      <c r="K1854" s="43" t="inlineStr">
        <is>
          <t>Received</t>
        </is>
      </c>
      <c r="L1854" s="17">
        <f>INDEX(Items!$C$2:$C$117,MATCH(B1854,Items!$A$2:$A$117,0))</f>
        <v/>
      </c>
      <c r="M1854" s="49">
        <f>INDEX(Items!$E$2:$E$117,MATCH(B1854,Items!$A$2:$A$117,0))</f>
        <v/>
      </c>
      <c r="N1854" s="17">
        <f>TEXT(D1854,"yyyy-mm")</f>
        <v/>
      </c>
      <c r="O1854" s="50">
        <f>G1854*J1854</f>
        <v/>
      </c>
      <c r="P1854" s="50">
        <f>(J1854-M1854)*G1854</f>
        <v/>
      </c>
      <c r="Q1854" s="51">
        <f>IF(K1854="Received",1,0)</f>
        <v/>
      </c>
      <c r="R1854" s="51">
        <f>IF(Q1854=1,F1854-D1854,0)</f>
        <v/>
      </c>
      <c r="S1854" s="51">
        <f>IF(Q1854=1,IF(F1854&lt;=E1854,1,0),0)</f>
        <v/>
      </c>
      <c r="T1854" s="51">
        <f>IF(Q1854=1,IF(H1854&gt;=G1854,1,0),0)</f>
        <v/>
      </c>
      <c r="U1854" s="51">
        <f>S1854*T1854</f>
        <v/>
      </c>
      <c r="V1854" s="51">
        <f>IF(Q1854=1,MAX(0,F1854-E1854),0)</f>
        <v/>
      </c>
    </row>
    <row r="1855">
      <c r="A1855" s="43" t="inlineStr">
        <is>
          <t>PO100494</t>
        </is>
      </c>
      <c r="B1855" s="43" t="inlineStr">
        <is>
          <t>CMD-0022</t>
        </is>
      </c>
      <c r="C1855" s="43" t="inlineStr">
        <is>
          <t>S02</t>
        </is>
      </c>
      <c r="D1855" s="47" t="n">
        <v>46251</v>
      </c>
      <c r="E1855" s="47" t="n">
        <v>46307</v>
      </c>
      <c r="F1855" s="47" t="n"/>
      <c r="G1855" s="46" t="n">
        <v>3661</v>
      </c>
      <c r="H1855" s="46" t="n">
        <v>0</v>
      </c>
      <c r="I1855" s="46" t="n">
        <v>0</v>
      </c>
      <c r="J1855" s="44" t="n">
        <v>17.6954</v>
      </c>
      <c r="K1855" s="43" t="inlineStr">
        <is>
          <t>Open</t>
        </is>
      </c>
      <c r="L1855" s="17">
        <f>INDEX(Items!$C$2:$C$117,MATCH(B1855,Items!$A$2:$A$117,0))</f>
        <v/>
      </c>
      <c r="M1855" s="49">
        <f>INDEX(Items!$E$2:$E$117,MATCH(B1855,Items!$A$2:$A$117,0))</f>
        <v/>
      </c>
      <c r="N1855" s="17">
        <f>TEXT(D1855,"yyyy-mm")</f>
        <v/>
      </c>
      <c r="O1855" s="50">
        <f>G1855*J1855</f>
        <v/>
      </c>
      <c r="P1855" s="50">
        <f>(J1855-M1855)*G1855</f>
        <v/>
      </c>
      <c r="Q1855" s="51">
        <f>IF(K1855="Received",1,0)</f>
        <v/>
      </c>
      <c r="R1855" s="51">
        <f>IF(Q1855=1,F1855-D1855,0)</f>
        <v/>
      </c>
      <c r="S1855" s="51">
        <f>IF(Q1855=1,IF(F1855&lt;=E1855,1,0),0)</f>
        <v/>
      </c>
      <c r="T1855" s="51">
        <f>IF(Q1855=1,IF(H1855&gt;=G1855,1,0),0)</f>
        <v/>
      </c>
      <c r="U1855" s="51">
        <f>S1855*T1855</f>
        <v/>
      </c>
      <c r="V1855" s="51">
        <f>IF(Q1855=1,MAX(0,F1855-E1855),0)</f>
        <v/>
      </c>
    </row>
    <row r="1856">
      <c r="A1856" s="43" t="inlineStr">
        <is>
          <t>PO100566</t>
        </is>
      </c>
      <c r="B1856" s="43" t="inlineStr">
        <is>
          <t>CMD-0025</t>
        </is>
      </c>
      <c r="C1856" s="43" t="inlineStr">
        <is>
          <t>S02</t>
        </is>
      </c>
      <c r="D1856" s="47" t="n">
        <v>46251</v>
      </c>
      <c r="E1856" s="47" t="n">
        <v>46307</v>
      </c>
      <c r="F1856" s="47" t="n"/>
      <c r="G1856" s="46" t="n">
        <v>1116</v>
      </c>
      <c r="H1856" s="46" t="n">
        <v>0</v>
      </c>
      <c r="I1856" s="46" t="n">
        <v>0</v>
      </c>
      <c r="J1856" s="44" t="n">
        <v>10.8356</v>
      </c>
      <c r="K1856" s="43" t="inlineStr">
        <is>
          <t>Open</t>
        </is>
      </c>
      <c r="L1856" s="17">
        <f>INDEX(Items!$C$2:$C$117,MATCH(B1856,Items!$A$2:$A$117,0))</f>
        <v/>
      </c>
      <c r="M1856" s="49">
        <f>INDEX(Items!$E$2:$E$117,MATCH(B1856,Items!$A$2:$A$117,0))</f>
        <v/>
      </c>
      <c r="N1856" s="17">
        <f>TEXT(D1856,"yyyy-mm")</f>
        <v/>
      </c>
      <c r="O1856" s="50">
        <f>G1856*J1856</f>
        <v/>
      </c>
      <c r="P1856" s="50">
        <f>(J1856-M1856)*G1856</f>
        <v/>
      </c>
      <c r="Q1856" s="51">
        <f>IF(K1856="Received",1,0)</f>
        <v/>
      </c>
      <c r="R1856" s="51">
        <f>IF(Q1856=1,F1856-D1856,0)</f>
        <v/>
      </c>
      <c r="S1856" s="51">
        <f>IF(Q1856=1,IF(F1856&lt;=E1856,1,0),0)</f>
        <v/>
      </c>
      <c r="T1856" s="51">
        <f>IF(Q1856=1,IF(H1856&gt;=G1856,1,0),0)</f>
        <v/>
      </c>
      <c r="U1856" s="51">
        <f>S1856*T1856</f>
        <v/>
      </c>
      <c r="V1856" s="51">
        <f>IF(Q1856=1,MAX(0,F1856-E1856),0)</f>
        <v/>
      </c>
    </row>
    <row r="1857">
      <c r="A1857" s="43" t="inlineStr">
        <is>
          <t>PO101760</t>
        </is>
      </c>
      <c r="B1857" s="43" t="inlineStr">
        <is>
          <t>CMD-0095</t>
        </is>
      </c>
      <c r="C1857" s="43" t="inlineStr">
        <is>
          <t>S08</t>
        </is>
      </c>
      <c r="D1857" s="47" t="n">
        <v>46251</v>
      </c>
      <c r="E1857" s="47" t="n">
        <v>46328</v>
      </c>
      <c r="F1857" s="47" t="n"/>
      <c r="G1857" s="46" t="n">
        <v>330</v>
      </c>
      <c r="H1857" s="46" t="n">
        <v>0</v>
      </c>
      <c r="I1857" s="46" t="n">
        <v>0</v>
      </c>
      <c r="J1857" s="44" t="n">
        <v>94.5849</v>
      </c>
      <c r="K1857" s="43" t="inlineStr">
        <is>
          <t>Open</t>
        </is>
      </c>
      <c r="L1857" s="17">
        <f>INDEX(Items!$C$2:$C$117,MATCH(B1857,Items!$A$2:$A$117,0))</f>
        <v/>
      </c>
      <c r="M1857" s="49">
        <f>INDEX(Items!$E$2:$E$117,MATCH(B1857,Items!$A$2:$A$117,0))</f>
        <v/>
      </c>
      <c r="N1857" s="17">
        <f>TEXT(D1857,"yyyy-mm")</f>
        <v/>
      </c>
      <c r="O1857" s="50">
        <f>G1857*J1857</f>
        <v/>
      </c>
      <c r="P1857" s="50">
        <f>(J1857-M1857)*G1857</f>
        <v/>
      </c>
      <c r="Q1857" s="51">
        <f>IF(K1857="Received",1,0)</f>
        <v/>
      </c>
      <c r="R1857" s="51">
        <f>IF(Q1857=1,F1857-D1857,0)</f>
        <v/>
      </c>
      <c r="S1857" s="51">
        <f>IF(Q1857=1,IF(F1857&lt;=E1857,1,0),0)</f>
        <v/>
      </c>
      <c r="T1857" s="51">
        <f>IF(Q1857=1,IF(H1857&gt;=G1857,1,0),0)</f>
        <v/>
      </c>
      <c r="U1857" s="51">
        <f>S1857*T1857</f>
        <v/>
      </c>
      <c r="V1857" s="51">
        <f>IF(Q1857=1,MAX(0,F1857-E1857),0)</f>
        <v/>
      </c>
    </row>
    <row r="1858">
      <c r="A1858" s="43" t="inlineStr">
        <is>
          <t>PO101554</t>
        </is>
      </c>
      <c r="B1858" s="43" t="inlineStr">
        <is>
          <t>CMD-0082</t>
        </is>
      </c>
      <c r="C1858" s="43" t="inlineStr">
        <is>
          <t>S01</t>
        </is>
      </c>
      <c r="D1858" s="47" t="n">
        <v>46251</v>
      </c>
      <c r="E1858" s="47" t="n">
        <v>46265</v>
      </c>
      <c r="F1858" s="47" t="n">
        <v>46262</v>
      </c>
      <c r="G1858" s="46" t="n">
        <v>7029</v>
      </c>
      <c r="H1858" s="46" t="n">
        <v>7029</v>
      </c>
      <c r="I1858" s="46" t="n">
        <v>12</v>
      </c>
      <c r="J1858" s="44" t="n">
        <v>2.3896</v>
      </c>
      <c r="K1858" s="43" t="inlineStr">
        <is>
          <t>Received</t>
        </is>
      </c>
      <c r="L1858" s="17">
        <f>INDEX(Items!$C$2:$C$117,MATCH(B1858,Items!$A$2:$A$117,0))</f>
        <v/>
      </c>
      <c r="M1858" s="49">
        <f>INDEX(Items!$E$2:$E$117,MATCH(B1858,Items!$A$2:$A$117,0))</f>
        <v/>
      </c>
      <c r="N1858" s="17">
        <f>TEXT(D1858,"yyyy-mm")</f>
        <v/>
      </c>
      <c r="O1858" s="50">
        <f>G1858*J1858</f>
        <v/>
      </c>
      <c r="P1858" s="50">
        <f>(J1858-M1858)*G1858</f>
        <v/>
      </c>
      <c r="Q1858" s="51">
        <f>IF(K1858="Received",1,0)</f>
        <v/>
      </c>
      <c r="R1858" s="51">
        <f>IF(Q1858=1,F1858-D1858,0)</f>
        <v/>
      </c>
      <c r="S1858" s="51">
        <f>IF(Q1858=1,IF(F1858&lt;=E1858,1,0),0)</f>
        <v/>
      </c>
      <c r="T1858" s="51">
        <f>IF(Q1858=1,IF(H1858&gt;=G1858,1,0),0)</f>
        <v/>
      </c>
      <c r="U1858" s="51">
        <f>S1858*T1858</f>
        <v/>
      </c>
      <c r="V1858" s="51">
        <f>IF(Q1858=1,MAX(0,F1858-E1858),0)</f>
        <v/>
      </c>
    </row>
    <row r="1859">
      <c r="A1859" s="43" t="inlineStr">
        <is>
          <t>PO100932</t>
        </is>
      </c>
      <c r="B1859" s="43" t="inlineStr">
        <is>
          <t>CMD-0042</t>
        </is>
      </c>
      <c r="C1859" s="43" t="inlineStr">
        <is>
          <t>S05</t>
        </is>
      </c>
      <c r="D1859" s="47" t="n">
        <v>46251</v>
      </c>
      <c r="E1859" s="47" t="n">
        <v>46356</v>
      </c>
      <c r="F1859" s="47" t="n"/>
      <c r="G1859" s="46" t="n">
        <v>718</v>
      </c>
      <c r="H1859" s="46" t="n">
        <v>0</v>
      </c>
      <c r="I1859" s="46" t="n">
        <v>0</v>
      </c>
      <c r="J1859" s="44" t="n">
        <v>9.177300000000001</v>
      </c>
      <c r="K1859" s="43" t="inlineStr">
        <is>
          <t>Open</t>
        </is>
      </c>
      <c r="L1859" s="17">
        <f>INDEX(Items!$C$2:$C$117,MATCH(B1859,Items!$A$2:$A$117,0))</f>
        <v/>
      </c>
      <c r="M1859" s="49">
        <f>INDEX(Items!$E$2:$E$117,MATCH(B1859,Items!$A$2:$A$117,0))</f>
        <v/>
      </c>
      <c r="N1859" s="17">
        <f>TEXT(D1859,"yyyy-mm")</f>
        <v/>
      </c>
      <c r="O1859" s="50">
        <f>G1859*J1859</f>
        <v/>
      </c>
      <c r="P1859" s="50">
        <f>(J1859-M1859)*G1859</f>
        <v/>
      </c>
      <c r="Q1859" s="51">
        <f>IF(K1859="Received",1,0)</f>
        <v/>
      </c>
      <c r="R1859" s="51">
        <f>IF(Q1859=1,F1859-D1859,0)</f>
        <v/>
      </c>
      <c r="S1859" s="51">
        <f>IF(Q1859=1,IF(F1859&lt;=E1859,1,0),0)</f>
        <v/>
      </c>
      <c r="T1859" s="51">
        <f>IF(Q1859=1,IF(H1859&gt;=G1859,1,0),0)</f>
        <v/>
      </c>
      <c r="U1859" s="51">
        <f>S1859*T1859</f>
        <v/>
      </c>
      <c r="V1859" s="51">
        <f>IF(Q1859=1,MAX(0,F1859-E1859),0)</f>
        <v/>
      </c>
    </row>
    <row r="1860">
      <c r="A1860" s="43" t="inlineStr">
        <is>
          <t>PO100338</t>
        </is>
      </c>
      <c r="B1860" s="43" t="inlineStr">
        <is>
          <t>CMD-0015</t>
        </is>
      </c>
      <c r="C1860" s="43" t="inlineStr">
        <is>
          <t>S03</t>
        </is>
      </c>
      <c r="D1860" s="47" t="n">
        <v>46251</v>
      </c>
      <c r="E1860" s="47" t="n">
        <v>46384</v>
      </c>
      <c r="F1860" s="47" t="n"/>
      <c r="G1860" s="46" t="n">
        <v>4066</v>
      </c>
      <c r="H1860" s="46" t="n">
        <v>0</v>
      </c>
      <c r="I1860" s="46" t="n">
        <v>0</v>
      </c>
      <c r="J1860" s="44" t="n">
        <v>6.6788</v>
      </c>
      <c r="K1860" s="43" t="inlineStr">
        <is>
          <t>Open</t>
        </is>
      </c>
      <c r="L1860" s="17">
        <f>INDEX(Items!$C$2:$C$117,MATCH(B1860,Items!$A$2:$A$117,0))</f>
        <v/>
      </c>
      <c r="M1860" s="49">
        <f>INDEX(Items!$E$2:$E$117,MATCH(B1860,Items!$A$2:$A$117,0))</f>
        <v/>
      </c>
      <c r="N1860" s="17">
        <f>TEXT(D1860,"yyyy-mm")</f>
        <v/>
      </c>
      <c r="O1860" s="50">
        <f>G1860*J1860</f>
        <v/>
      </c>
      <c r="P1860" s="50">
        <f>(J1860-M1860)*G1860</f>
        <v/>
      </c>
      <c r="Q1860" s="51">
        <f>IF(K1860="Received",1,0)</f>
        <v/>
      </c>
      <c r="R1860" s="51">
        <f>IF(Q1860=1,F1860-D1860,0)</f>
        <v/>
      </c>
      <c r="S1860" s="51">
        <f>IF(Q1860=1,IF(F1860&lt;=E1860,1,0),0)</f>
        <v/>
      </c>
      <c r="T1860" s="51">
        <f>IF(Q1860=1,IF(H1860&gt;=G1860,1,0),0)</f>
        <v/>
      </c>
      <c r="U1860" s="51">
        <f>S1860*T1860</f>
        <v/>
      </c>
      <c r="V1860" s="51">
        <f>IF(Q1860=1,MAX(0,F1860-E1860),0)</f>
        <v/>
      </c>
    </row>
    <row r="1861">
      <c r="A1861" s="43" t="inlineStr">
        <is>
          <t>PO101866</t>
        </is>
      </c>
      <c r="B1861" s="43" t="inlineStr">
        <is>
          <t>CMD-0101</t>
        </is>
      </c>
      <c r="C1861" s="43" t="inlineStr">
        <is>
          <t>S09</t>
        </is>
      </c>
      <c r="D1861" s="47" t="n">
        <v>46252</v>
      </c>
      <c r="E1861" s="47" t="n">
        <v>46273</v>
      </c>
      <c r="F1861" s="47" t="n">
        <v>46271</v>
      </c>
      <c r="G1861" s="46" t="n">
        <v>3680</v>
      </c>
      <c r="H1861" s="46" t="n">
        <v>3680</v>
      </c>
      <c r="I1861" s="46" t="n">
        <v>5</v>
      </c>
      <c r="J1861" s="44" t="n">
        <v>3.811</v>
      </c>
      <c r="K1861" s="43" t="inlineStr">
        <is>
          <t>Received</t>
        </is>
      </c>
      <c r="L1861" s="17">
        <f>INDEX(Items!$C$2:$C$117,MATCH(B1861,Items!$A$2:$A$117,0))</f>
        <v/>
      </c>
      <c r="M1861" s="49">
        <f>INDEX(Items!$E$2:$E$117,MATCH(B1861,Items!$A$2:$A$117,0))</f>
        <v/>
      </c>
      <c r="N1861" s="17">
        <f>TEXT(D1861,"yyyy-mm")</f>
        <v/>
      </c>
      <c r="O1861" s="50">
        <f>G1861*J1861</f>
        <v/>
      </c>
      <c r="P1861" s="50">
        <f>(J1861-M1861)*G1861</f>
        <v/>
      </c>
      <c r="Q1861" s="51">
        <f>IF(K1861="Received",1,0)</f>
        <v/>
      </c>
      <c r="R1861" s="51">
        <f>IF(Q1861=1,F1861-D1861,0)</f>
        <v/>
      </c>
      <c r="S1861" s="51">
        <f>IF(Q1861=1,IF(F1861&lt;=E1861,1,0),0)</f>
        <v/>
      </c>
      <c r="T1861" s="51">
        <f>IF(Q1861=1,IF(H1861&gt;=G1861,1,0),0)</f>
        <v/>
      </c>
      <c r="U1861" s="51">
        <f>S1861*T1861</f>
        <v/>
      </c>
      <c r="V1861" s="51">
        <f>IF(Q1861=1,MAX(0,F1861-E1861),0)</f>
        <v/>
      </c>
    </row>
    <row r="1862">
      <c r="A1862" s="43" t="inlineStr">
        <is>
          <t>PO101502</t>
        </is>
      </c>
      <c r="B1862" s="43" t="inlineStr">
        <is>
          <t>CMD-0079</t>
        </is>
      </c>
      <c r="C1862" s="43" t="inlineStr">
        <is>
          <t>S06</t>
        </is>
      </c>
      <c r="D1862" s="47" t="n">
        <v>46252</v>
      </c>
      <c r="E1862" s="47" t="n">
        <v>46273</v>
      </c>
      <c r="F1862" s="47" t="n">
        <v>46273</v>
      </c>
      <c r="G1862" s="46" t="n">
        <v>1993</v>
      </c>
      <c r="H1862" s="46" t="n">
        <v>1503</v>
      </c>
      <c r="I1862" s="46" t="n">
        <v>7</v>
      </c>
      <c r="J1862" s="44" t="n">
        <v>3.6359</v>
      </c>
      <c r="K1862" s="43" t="inlineStr">
        <is>
          <t>Received</t>
        </is>
      </c>
      <c r="L1862" s="17">
        <f>INDEX(Items!$C$2:$C$117,MATCH(B1862,Items!$A$2:$A$117,0))</f>
        <v/>
      </c>
      <c r="M1862" s="49">
        <f>INDEX(Items!$E$2:$E$117,MATCH(B1862,Items!$A$2:$A$117,0))</f>
        <v/>
      </c>
      <c r="N1862" s="17">
        <f>TEXT(D1862,"yyyy-mm")</f>
        <v/>
      </c>
      <c r="O1862" s="50">
        <f>G1862*J1862</f>
        <v/>
      </c>
      <c r="P1862" s="50">
        <f>(J1862-M1862)*G1862</f>
        <v/>
      </c>
      <c r="Q1862" s="51">
        <f>IF(K1862="Received",1,0)</f>
        <v/>
      </c>
      <c r="R1862" s="51">
        <f>IF(Q1862=1,F1862-D1862,0)</f>
        <v/>
      </c>
      <c r="S1862" s="51">
        <f>IF(Q1862=1,IF(F1862&lt;=E1862,1,0),0)</f>
        <v/>
      </c>
      <c r="T1862" s="51">
        <f>IF(Q1862=1,IF(H1862&gt;=G1862,1,0),0)</f>
        <v/>
      </c>
      <c r="U1862" s="51">
        <f>S1862*T1862</f>
        <v/>
      </c>
      <c r="V1862" s="51">
        <f>IF(Q1862=1,MAX(0,F1862-E1862),0)</f>
        <v/>
      </c>
    </row>
    <row r="1863">
      <c r="A1863" s="43" t="inlineStr">
        <is>
          <t>PO101712</t>
        </is>
      </c>
      <c r="B1863" s="43" t="inlineStr">
        <is>
          <t>CMD-0093</t>
        </is>
      </c>
      <c r="C1863" s="43" t="inlineStr">
        <is>
          <t>S08</t>
        </is>
      </c>
      <c r="D1863" s="47" t="n">
        <v>46252</v>
      </c>
      <c r="E1863" s="47" t="n">
        <v>46329</v>
      </c>
      <c r="F1863" s="47" t="n"/>
      <c r="G1863" s="46" t="n">
        <v>575</v>
      </c>
      <c r="H1863" s="46" t="n">
        <v>0</v>
      </c>
      <c r="I1863" s="46" t="n">
        <v>0</v>
      </c>
      <c r="J1863" s="44" t="n">
        <v>61.1923</v>
      </c>
      <c r="K1863" s="43" t="inlineStr">
        <is>
          <t>Open</t>
        </is>
      </c>
      <c r="L1863" s="17">
        <f>INDEX(Items!$C$2:$C$117,MATCH(B1863,Items!$A$2:$A$117,0))</f>
        <v/>
      </c>
      <c r="M1863" s="49">
        <f>INDEX(Items!$E$2:$E$117,MATCH(B1863,Items!$A$2:$A$117,0))</f>
        <v/>
      </c>
      <c r="N1863" s="17">
        <f>TEXT(D1863,"yyyy-mm")</f>
        <v/>
      </c>
      <c r="O1863" s="50">
        <f>G1863*J1863</f>
        <v/>
      </c>
      <c r="P1863" s="50">
        <f>(J1863-M1863)*G1863</f>
        <v/>
      </c>
      <c r="Q1863" s="51">
        <f>IF(K1863="Received",1,0)</f>
        <v/>
      </c>
      <c r="R1863" s="51">
        <f>IF(Q1863=1,F1863-D1863,0)</f>
        <v/>
      </c>
      <c r="S1863" s="51">
        <f>IF(Q1863=1,IF(F1863&lt;=E1863,1,0),0)</f>
        <v/>
      </c>
      <c r="T1863" s="51">
        <f>IF(Q1863=1,IF(H1863&gt;=G1863,1,0),0)</f>
        <v/>
      </c>
      <c r="U1863" s="51">
        <f>S1863*T1863</f>
        <v/>
      </c>
      <c r="V1863" s="51">
        <f>IF(Q1863=1,MAX(0,F1863-E1863),0)</f>
        <v/>
      </c>
    </row>
    <row r="1864">
      <c r="A1864" s="43" t="inlineStr">
        <is>
          <t>PO101842</t>
        </is>
      </c>
      <c r="B1864" s="43" t="inlineStr">
        <is>
          <t>CMD-0100</t>
        </is>
      </c>
      <c r="C1864" s="43" t="inlineStr">
        <is>
          <t>S09</t>
        </is>
      </c>
      <c r="D1864" s="47" t="n">
        <v>46252</v>
      </c>
      <c r="E1864" s="47" t="n">
        <v>46273</v>
      </c>
      <c r="F1864" s="47" t="n">
        <v>46271</v>
      </c>
      <c r="G1864" s="46" t="n">
        <v>6956</v>
      </c>
      <c r="H1864" s="46" t="n">
        <v>6956</v>
      </c>
      <c r="I1864" s="46" t="n">
        <v>24</v>
      </c>
      <c r="J1864" s="44" t="n">
        <v>5.0882</v>
      </c>
      <c r="K1864" s="43" t="inlineStr">
        <is>
          <t>Received</t>
        </is>
      </c>
      <c r="L1864" s="17">
        <f>INDEX(Items!$C$2:$C$117,MATCH(B1864,Items!$A$2:$A$117,0))</f>
        <v/>
      </c>
      <c r="M1864" s="49">
        <f>INDEX(Items!$E$2:$E$117,MATCH(B1864,Items!$A$2:$A$117,0))</f>
        <v/>
      </c>
      <c r="N1864" s="17">
        <f>TEXT(D1864,"yyyy-mm")</f>
        <v/>
      </c>
      <c r="O1864" s="50">
        <f>G1864*J1864</f>
        <v/>
      </c>
      <c r="P1864" s="50">
        <f>(J1864-M1864)*G1864</f>
        <v/>
      </c>
      <c r="Q1864" s="51">
        <f>IF(K1864="Received",1,0)</f>
        <v/>
      </c>
      <c r="R1864" s="51">
        <f>IF(Q1864=1,F1864-D1864,0)</f>
        <v/>
      </c>
      <c r="S1864" s="51">
        <f>IF(Q1864=1,IF(F1864&lt;=E1864,1,0),0)</f>
        <v/>
      </c>
      <c r="T1864" s="51">
        <f>IF(Q1864=1,IF(H1864&gt;=G1864,1,0),0)</f>
        <v/>
      </c>
      <c r="U1864" s="51">
        <f>S1864*T1864</f>
        <v/>
      </c>
      <c r="V1864" s="51">
        <f>IF(Q1864=1,MAX(0,F1864-E1864),0)</f>
        <v/>
      </c>
    </row>
    <row r="1865">
      <c r="A1865" s="43" t="inlineStr">
        <is>
          <t>PO101640</t>
        </is>
      </c>
      <c r="B1865" s="43" t="inlineStr">
        <is>
          <t>CMD-0090</t>
        </is>
      </c>
      <c r="C1865" s="43" t="inlineStr">
        <is>
          <t>S01</t>
        </is>
      </c>
      <c r="D1865" s="47" t="n">
        <v>46252</v>
      </c>
      <c r="E1865" s="47" t="n">
        <v>46266</v>
      </c>
      <c r="F1865" s="47" t="n">
        <v>46266</v>
      </c>
      <c r="G1865" s="46" t="n">
        <v>4794</v>
      </c>
      <c r="H1865" s="46" t="n">
        <v>4794</v>
      </c>
      <c r="I1865" s="46" t="n">
        <v>6</v>
      </c>
      <c r="J1865" s="44" t="n">
        <v>7.1997</v>
      </c>
      <c r="K1865" s="43" t="inlineStr">
        <is>
          <t>Received</t>
        </is>
      </c>
      <c r="L1865" s="17">
        <f>INDEX(Items!$C$2:$C$117,MATCH(B1865,Items!$A$2:$A$117,0))</f>
        <v/>
      </c>
      <c r="M1865" s="49">
        <f>INDEX(Items!$E$2:$E$117,MATCH(B1865,Items!$A$2:$A$117,0))</f>
        <v/>
      </c>
      <c r="N1865" s="17">
        <f>TEXT(D1865,"yyyy-mm")</f>
        <v/>
      </c>
      <c r="O1865" s="50">
        <f>G1865*J1865</f>
        <v/>
      </c>
      <c r="P1865" s="50">
        <f>(J1865-M1865)*G1865</f>
        <v/>
      </c>
      <c r="Q1865" s="51">
        <f>IF(K1865="Received",1,0)</f>
        <v/>
      </c>
      <c r="R1865" s="51">
        <f>IF(Q1865=1,F1865-D1865,0)</f>
        <v/>
      </c>
      <c r="S1865" s="51">
        <f>IF(Q1865=1,IF(F1865&lt;=E1865,1,0),0)</f>
        <v/>
      </c>
      <c r="T1865" s="51">
        <f>IF(Q1865=1,IF(H1865&gt;=G1865,1,0),0)</f>
        <v/>
      </c>
      <c r="U1865" s="51">
        <f>S1865*T1865</f>
        <v/>
      </c>
      <c r="V1865" s="51">
        <f>IF(Q1865=1,MAX(0,F1865-E1865),0)</f>
        <v/>
      </c>
    </row>
    <row r="1866">
      <c r="A1866" s="43" t="inlineStr">
        <is>
          <t>PO101180</t>
        </is>
      </c>
      <c r="B1866" s="43" t="inlineStr">
        <is>
          <t>CMD-0054</t>
        </is>
      </c>
      <c r="C1866" s="43" t="inlineStr">
        <is>
          <t>S10</t>
        </is>
      </c>
      <c r="D1866" s="47" t="n">
        <v>46252</v>
      </c>
      <c r="E1866" s="47" t="n">
        <v>46280</v>
      </c>
      <c r="F1866" s="47" t="n">
        <v>46277</v>
      </c>
      <c r="G1866" s="46" t="n">
        <v>47619</v>
      </c>
      <c r="H1866" s="46" t="n">
        <v>47619</v>
      </c>
      <c r="I1866" s="46" t="n">
        <v>56</v>
      </c>
      <c r="J1866" s="44" t="n">
        <v>0.1738</v>
      </c>
      <c r="K1866" s="43" t="inlineStr">
        <is>
          <t>Received</t>
        </is>
      </c>
      <c r="L1866" s="17">
        <f>INDEX(Items!$C$2:$C$117,MATCH(B1866,Items!$A$2:$A$117,0))</f>
        <v/>
      </c>
      <c r="M1866" s="49">
        <f>INDEX(Items!$E$2:$E$117,MATCH(B1866,Items!$A$2:$A$117,0))</f>
        <v/>
      </c>
      <c r="N1866" s="17">
        <f>TEXT(D1866,"yyyy-mm")</f>
        <v/>
      </c>
      <c r="O1866" s="50">
        <f>G1866*J1866</f>
        <v/>
      </c>
      <c r="P1866" s="50">
        <f>(J1866-M1866)*G1866</f>
        <v/>
      </c>
      <c r="Q1866" s="51">
        <f>IF(K1866="Received",1,0)</f>
        <v/>
      </c>
      <c r="R1866" s="51">
        <f>IF(Q1866=1,F1866-D1866,0)</f>
        <v/>
      </c>
      <c r="S1866" s="51">
        <f>IF(Q1866=1,IF(F1866&lt;=E1866,1,0),0)</f>
        <v/>
      </c>
      <c r="T1866" s="51">
        <f>IF(Q1866=1,IF(H1866&gt;=G1866,1,0),0)</f>
        <v/>
      </c>
      <c r="U1866" s="51">
        <f>S1866*T1866</f>
        <v/>
      </c>
      <c r="V1866" s="51">
        <f>IF(Q1866=1,MAX(0,F1866-E1866),0)</f>
        <v/>
      </c>
    </row>
    <row r="1867">
      <c r="A1867" s="43" t="inlineStr">
        <is>
          <t>PO100792</t>
        </is>
      </c>
      <c r="B1867" s="43" t="inlineStr">
        <is>
          <t>CMD-0035</t>
        </is>
      </c>
      <c r="C1867" s="43" t="inlineStr">
        <is>
          <t>S01</t>
        </is>
      </c>
      <c r="D1867" s="47" t="n">
        <v>46253</v>
      </c>
      <c r="E1867" s="47" t="n">
        <v>46281</v>
      </c>
      <c r="F1867" s="47" t="n">
        <v>46281</v>
      </c>
      <c r="G1867" s="46" t="n">
        <v>764</v>
      </c>
      <c r="H1867" s="46" t="n">
        <v>764</v>
      </c>
      <c r="I1867" s="46" t="n">
        <v>2</v>
      </c>
      <c r="J1867" s="44" t="n">
        <v>9.6511</v>
      </c>
      <c r="K1867" s="43" t="inlineStr">
        <is>
          <t>Received</t>
        </is>
      </c>
      <c r="L1867" s="17">
        <f>INDEX(Items!$C$2:$C$117,MATCH(B1867,Items!$A$2:$A$117,0))</f>
        <v/>
      </c>
      <c r="M1867" s="49">
        <f>INDEX(Items!$E$2:$E$117,MATCH(B1867,Items!$A$2:$A$117,0))</f>
        <v/>
      </c>
      <c r="N1867" s="17">
        <f>TEXT(D1867,"yyyy-mm")</f>
        <v/>
      </c>
      <c r="O1867" s="50">
        <f>G1867*J1867</f>
        <v/>
      </c>
      <c r="P1867" s="50">
        <f>(J1867-M1867)*G1867</f>
        <v/>
      </c>
      <c r="Q1867" s="51">
        <f>IF(K1867="Received",1,0)</f>
        <v/>
      </c>
      <c r="R1867" s="51">
        <f>IF(Q1867=1,F1867-D1867,0)</f>
        <v/>
      </c>
      <c r="S1867" s="51">
        <f>IF(Q1867=1,IF(F1867&lt;=E1867,1,0),0)</f>
        <v/>
      </c>
      <c r="T1867" s="51">
        <f>IF(Q1867=1,IF(H1867&gt;=G1867,1,0),0)</f>
        <v/>
      </c>
      <c r="U1867" s="51">
        <f>S1867*T1867</f>
        <v/>
      </c>
      <c r="V1867" s="51">
        <f>IF(Q1867=1,MAX(0,F1867-E1867),0)</f>
        <v/>
      </c>
    </row>
    <row r="1868">
      <c r="A1868" s="43" t="inlineStr">
        <is>
          <t>PO101478</t>
        </is>
      </c>
      <c r="B1868" s="43" t="inlineStr">
        <is>
          <t>CMD-0078</t>
        </is>
      </c>
      <c r="C1868" s="43" t="inlineStr">
        <is>
          <t>S06</t>
        </is>
      </c>
      <c r="D1868" s="47" t="n">
        <v>46253</v>
      </c>
      <c r="E1868" s="47" t="n">
        <v>46274</v>
      </c>
      <c r="F1868" s="47" t="n">
        <v>46272</v>
      </c>
      <c r="G1868" s="46" t="n">
        <v>5351</v>
      </c>
      <c r="H1868" s="46" t="n">
        <v>5351</v>
      </c>
      <c r="I1868" s="46" t="n">
        <v>30</v>
      </c>
      <c r="J1868" s="44" t="n">
        <v>2.678</v>
      </c>
      <c r="K1868" s="43" t="inlineStr">
        <is>
          <t>Received</t>
        </is>
      </c>
      <c r="L1868" s="17">
        <f>INDEX(Items!$C$2:$C$117,MATCH(B1868,Items!$A$2:$A$117,0))</f>
        <v/>
      </c>
      <c r="M1868" s="49">
        <f>INDEX(Items!$E$2:$E$117,MATCH(B1868,Items!$A$2:$A$117,0))</f>
        <v/>
      </c>
      <c r="N1868" s="17">
        <f>TEXT(D1868,"yyyy-mm")</f>
        <v/>
      </c>
      <c r="O1868" s="50">
        <f>G1868*J1868</f>
        <v/>
      </c>
      <c r="P1868" s="50">
        <f>(J1868-M1868)*G1868</f>
        <v/>
      </c>
      <c r="Q1868" s="51">
        <f>IF(K1868="Received",1,0)</f>
        <v/>
      </c>
      <c r="R1868" s="51">
        <f>IF(Q1868=1,F1868-D1868,0)</f>
        <v/>
      </c>
      <c r="S1868" s="51">
        <f>IF(Q1868=1,IF(F1868&lt;=E1868,1,0),0)</f>
        <v/>
      </c>
      <c r="T1868" s="51">
        <f>IF(Q1868=1,IF(H1868&gt;=G1868,1,0),0)</f>
        <v/>
      </c>
      <c r="U1868" s="51">
        <f>S1868*T1868</f>
        <v/>
      </c>
      <c r="V1868" s="51">
        <f>IF(Q1868=1,MAX(0,F1868-E1868),0)</f>
        <v/>
      </c>
    </row>
    <row r="1869">
      <c r="A1869" s="43" t="inlineStr">
        <is>
          <t>PO100290</t>
        </is>
      </c>
      <c r="B1869" s="43" t="inlineStr">
        <is>
          <t>CMD-0013</t>
        </is>
      </c>
      <c r="C1869" s="43" t="inlineStr">
        <is>
          <t>S11</t>
        </is>
      </c>
      <c r="D1869" s="47" t="n">
        <v>46253</v>
      </c>
      <c r="E1869" s="47" t="n">
        <v>46372</v>
      </c>
      <c r="F1869" s="47" t="n"/>
      <c r="G1869" s="46" t="n">
        <v>906</v>
      </c>
      <c r="H1869" s="46" t="n">
        <v>0</v>
      </c>
      <c r="I1869" s="46" t="n">
        <v>0</v>
      </c>
      <c r="J1869" s="44" t="n">
        <v>7.965</v>
      </c>
      <c r="K1869" s="43" t="inlineStr">
        <is>
          <t>Open</t>
        </is>
      </c>
      <c r="L1869" s="17">
        <f>INDEX(Items!$C$2:$C$117,MATCH(B1869,Items!$A$2:$A$117,0))</f>
        <v/>
      </c>
      <c r="M1869" s="49">
        <f>INDEX(Items!$E$2:$E$117,MATCH(B1869,Items!$A$2:$A$117,0))</f>
        <v/>
      </c>
      <c r="N1869" s="17">
        <f>TEXT(D1869,"yyyy-mm")</f>
        <v/>
      </c>
      <c r="O1869" s="50">
        <f>G1869*J1869</f>
        <v/>
      </c>
      <c r="P1869" s="50">
        <f>(J1869-M1869)*G1869</f>
        <v/>
      </c>
      <c r="Q1869" s="51">
        <f>IF(K1869="Received",1,0)</f>
        <v/>
      </c>
      <c r="R1869" s="51">
        <f>IF(Q1869=1,F1869-D1869,0)</f>
        <v/>
      </c>
      <c r="S1869" s="51">
        <f>IF(Q1869=1,IF(F1869&lt;=E1869,1,0),0)</f>
        <v/>
      </c>
      <c r="T1869" s="51">
        <f>IF(Q1869=1,IF(H1869&gt;=G1869,1,0),0)</f>
        <v/>
      </c>
      <c r="U1869" s="51">
        <f>S1869*T1869</f>
        <v/>
      </c>
      <c r="V1869" s="51">
        <f>IF(Q1869=1,MAX(0,F1869-E1869),0)</f>
        <v/>
      </c>
    </row>
    <row r="1870">
      <c r="A1870" s="43" t="inlineStr">
        <is>
          <t>PO101298</t>
        </is>
      </c>
      <c r="B1870" s="43" t="inlineStr">
        <is>
          <t>CMD-0062</t>
        </is>
      </c>
      <c r="C1870" s="43" t="inlineStr">
        <is>
          <t>S01</t>
        </is>
      </c>
      <c r="D1870" s="47" t="n">
        <v>46253</v>
      </c>
      <c r="E1870" s="47" t="n">
        <v>46274</v>
      </c>
      <c r="F1870" s="47" t="n">
        <v>46272</v>
      </c>
      <c r="G1870" s="46" t="n">
        <v>88311</v>
      </c>
      <c r="H1870" s="46" t="n">
        <v>88311</v>
      </c>
      <c r="I1870" s="46" t="n">
        <v>178</v>
      </c>
      <c r="J1870" s="44" t="n">
        <v>0.1173</v>
      </c>
      <c r="K1870" s="43" t="inlineStr">
        <is>
          <t>Received</t>
        </is>
      </c>
      <c r="L1870" s="17">
        <f>INDEX(Items!$C$2:$C$117,MATCH(B1870,Items!$A$2:$A$117,0))</f>
        <v/>
      </c>
      <c r="M1870" s="49">
        <f>INDEX(Items!$E$2:$E$117,MATCH(B1870,Items!$A$2:$A$117,0))</f>
        <v/>
      </c>
      <c r="N1870" s="17">
        <f>TEXT(D1870,"yyyy-mm")</f>
        <v/>
      </c>
      <c r="O1870" s="50">
        <f>G1870*J1870</f>
        <v/>
      </c>
      <c r="P1870" s="50">
        <f>(J1870-M1870)*G1870</f>
        <v/>
      </c>
      <c r="Q1870" s="51">
        <f>IF(K1870="Received",1,0)</f>
        <v/>
      </c>
      <c r="R1870" s="51">
        <f>IF(Q1870=1,F1870-D1870,0)</f>
        <v/>
      </c>
      <c r="S1870" s="51">
        <f>IF(Q1870=1,IF(F1870&lt;=E1870,1,0),0)</f>
        <v/>
      </c>
      <c r="T1870" s="51">
        <f>IF(Q1870=1,IF(H1870&gt;=G1870,1,0),0)</f>
        <v/>
      </c>
      <c r="U1870" s="51">
        <f>S1870*T1870</f>
        <v/>
      </c>
      <c r="V1870" s="51">
        <f>IF(Q1870=1,MAX(0,F1870-E1870),0)</f>
        <v/>
      </c>
    </row>
    <row r="1871">
      <c r="A1871" s="43" t="inlineStr">
        <is>
          <t>PO101890</t>
        </is>
      </c>
      <c r="B1871" s="43" t="inlineStr">
        <is>
          <t>CMD-0102</t>
        </is>
      </c>
      <c r="C1871" s="43" t="inlineStr">
        <is>
          <t>S09</t>
        </is>
      </c>
      <c r="D1871" s="47" t="n">
        <v>46253</v>
      </c>
      <c r="E1871" s="47" t="n">
        <v>46274</v>
      </c>
      <c r="F1871" s="47" t="n">
        <v>46274</v>
      </c>
      <c r="G1871" s="46" t="n">
        <v>2392</v>
      </c>
      <c r="H1871" s="46" t="n">
        <v>2392</v>
      </c>
      <c r="I1871" s="46" t="n">
        <v>5</v>
      </c>
      <c r="J1871" s="44" t="n">
        <v>6.9113</v>
      </c>
      <c r="K1871" s="43" t="inlineStr">
        <is>
          <t>Received</t>
        </is>
      </c>
      <c r="L1871" s="17">
        <f>INDEX(Items!$C$2:$C$117,MATCH(B1871,Items!$A$2:$A$117,0))</f>
        <v/>
      </c>
      <c r="M1871" s="49">
        <f>INDEX(Items!$E$2:$E$117,MATCH(B1871,Items!$A$2:$A$117,0))</f>
        <v/>
      </c>
      <c r="N1871" s="17">
        <f>TEXT(D1871,"yyyy-mm")</f>
        <v/>
      </c>
      <c r="O1871" s="50">
        <f>G1871*J1871</f>
        <v/>
      </c>
      <c r="P1871" s="50">
        <f>(J1871-M1871)*G1871</f>
        <v/>
      </c>
      <c r="Q1871" s="51">
        <f>IF(K1871="Received",1,0)</f>
        <v/>
      </c>
      <c r="R1871" s="51">
        <f>IF(Q1871=1,F1871-D1871,0)</f>
        <v/>
      </c>
      <c r="S1871" s="51">
        <f>IF(Q1871=1,IF(F1871&lt;=E1871,1,0),0)</f>
        <v/>
      </c>
      <c r="T1871" s="51">
        <f>IF(Q1871=1,IF(H1871&gt;=G1871,1,0),0)</f>
        <v/>
      </c>
      <c r="U1871" s="51">
        <f>S1871*T1871</f>
        <v/>
      </c>
      <c r="V1871" s="51">
        <f>IF(Q1871=1,MAX(0,F1871-E1871),0)</f>
        <v/>
      </c>
    </row>
    <row r="1872">
      <c r="A1872" s="43" t="inlineStr">
        <is>
          <t>PO100022</t>
        </is>
      </c>
      <c r="B1872" s="43" t="inlineStr">
        <is>
          <t>CMD-0001</t>
        </is>
      </c>
      <c r="C1872" s="43" t="inlineStr">
        <is>
          <t>S07</t>
        </is>
      </c>
      <c r="D1872" s="47" t="n">
        <v>46253</v>
      </c>
      <c r="E1872" s="47" t="n">
        <v>46344</v>
      </c>
      <c r="F1872" s="47" t="n"/>
      <c r="G1872" s="46" t="n">
        <v>7240</v>
      </c>
      <c r="H1872" s="46" t="n">
        <v>0</v>
      </c>
      <c r="I1872" s="46" t="n">
        <v>0</v>
      </c>
      <c r="J1872" s="44" t="n">
        <v>16.8268</v>
      </c>
      <c r="K1872" s="43" t="inlineStr">
        <is>
          <t>Open</t>
        </is>
      </c>
      <c r="L1872" s="17">
        <f>INDEX(Items!$C$2:$C$117,MATCH(B1872,Items!$A$2:$A$117,0))</f>
        <v/>
      </c>
      <c r="M1872" s="49">
        <f>INDEX(Items!$E$2:$E$117,MATCH(B1872,Items!$A$2:$A$117,0))</f>
        <v/>
      </c>
      <c r="N1872" s="17">
        <f>TEXT(D1872,"yyyy-mm")</f>
        <v/>
      </c>
      <c r="O1872" s="50">
        <f>G1872*J1872</f>
        <v/>
      </c>
      <c r="P1872" s="50">
        <f>(J1872-M1872)*G1872</f>
        <v/>
      </c>
      <c r="Q1872" s="51">
        <f>IF(K1872="Received",1,0)</f>
        <v/>
      </c>
      <c r="R1872" s="51">
        <f>IF(Q1872=1,F1872-D1872,0)</f>
        <v/>
      </c>
      <c r="S1872" s="51">
        <f>IF(Q1872=1,IF(F1872&lt;=E1872,1,0),0)</f>
        <v/>
      </c>
      <c r="T1872" s="51">
        <f>IF(Q1872=1,IF(H1872&gt;=G1872,1,0),0)</f>
        <v/>
      </c>
      <c r="U1872" s="51">
        <f>S1872*T1872</f>
        <v/>
      </c>
      <c r="V1872" s="51">
        <f>IF(Q1872=1,MAX(0,F1872-E1872),0)</f>
        <v/>
      </c>
    </row>
    <row r="1873">
      <c r="A1873" s="43" t="inlineStr">
        <is>
          <t>PO101586</t>
        </is>
      </c>
      <c r="B1873" s="43" t="inlineStr">
        <is>
          <t>CMD-0085</t>
        </is>
      </c>
      <c r="C1873" s="43" t="inlineStr">
        <is>
          <t>S06</t>
        </is>
      </c>
      <c r="D1873" s="47" t="n">
        <v>46253</v>
      </c>
      <c r="E1873" s="47" t="n">
        <v>46274</v>
      </c>
      <c r="F1873" s="47" t="n">
        <v>46271</v>
      </c>
      <c r="G1873" s="46" t="n">
        <v>903</v>
      </c>
      <c r="H1873" s="46" t="n">
        <v>903</v>
      </c>
      <c r="I1873" s="46" t="n">
        <v>3</v>
      </c>
      <c r="J1873" s="44" t="n">
        <v>10.8768</v>
      </c>
      <c r="K1873" s="43" t="inlineStr">
        <is>
          <t>Received</t>
        </is>
      </c>
      <c r="L1873" s="17">
        <f>INDEX(Items!$C$2:$C$117,MATCH(B1873,Items!$A$2:$A$117,0))</f>
        <v/>
      </c>
      <c r="M1873" s="49">
        <f>INDEX(Items!$E$2:$E$117,MATCH(B1873,Items!$A$2:$A$117,0))</f>
        <v/>
      </c>
      <c r="N1873" s="17">
        <f>TEXT(D1873,"yyyy-mm")</f>
        <v/>
      </c>
      <c r="O1873" s="50">
        <f>G1873*J1873</f>
        <v/>
      </c>
      <c r="P1873" s="50">
        <f>(J1873-M1873)*G1873</f>
        <v/>
      </c>
      <c r="Q1873" s="51">
        <f>IF(K1873="Received",1,0)</f>
        <v/>
      </c>
      <c r="R1873" s="51">
        <f>IF(Q1873=1,F1873-D1873,0)</f>
        <v/>
      </c>
      <c r="S1873" s="51">
        <f>IF(Q1873=1,IF(F1873&lt;=E1873,1,0),0)</f>
        <v/>
      </c>
      <c r="T1873" s="51">
        <f>IF(Q1873=1,IF(H1873&gt;=G1873,1,0),0)</f>
        <v/>
      </c>
      <c r="U1873" s="51">
        <f>S1873*T1873</f>
        <v/>
      </c>
      <c r="V1873" s="51">
        <f>IF(Q1873=1,MAX(0,F1873-E1873),0)</f>
        <v/>
      </c>
    </row>
    <row r="1874">
      <c r="A1874" s="43" t="inlineStr">
        <is>
          <t>PO100094</t>
        </is>
      </c>
      <c r="B1874" s="43" t="inlineStr">
        <is>
          <t>CMD-0004</t>
        </is>
      </c>
      <c r="C1874" s="43" t="inlineStr">
        <is>
          <t>S07</t>
        </is>
      </c>
      <c r="D1874" s="47" t="n">
        <v>46253</v>
      </c>
      <c r="E1874" s="47" t="n">
        <v>46344</v>
      </c>
      <c r="F1874" s="47" t="n"/>
      <c r="G1874" s="46" t="n">
        <v>3045</v>
      </c>
      <c r="H1874" s="46" t="n">
        <v>0</v>
      </c>
      <c r="I1874" s="46" t="n">
        <v>0</v>
      </c>
      <c r="J1874" s="44" t="n">
        <v>4.779</v>
      </c>
      <c r="K1874" s="43" t="inlineStr">
        <is>
          <t>Open</t>
        </is>
      </c>
      <c r="L1874" s="17">
        <f>INDEX(Items!$C$2:$C$117,MATCH(B1874,Items!$A$2:$A$117,0))</f>
        <v/>
      </c>
      <c r="M1874" s="49">
        <f>INDEX(Items!$E$2:$E$117,MATCH(B1874,Items!$A$2:$A$117,0))</f>
        <v/>
      </c>
      <c r="N1874" s="17">
        <f>TEXT(D1874,"yyyy-mm")</f>
        <v/>
      </c>
      <c r="O1874" s="50">
        <f>G1874*J1874</f>
        <v/>
      </c>
      <c r="P1874" s="50">
        <f>(J1874-M1874)*G1874</f>
        <v/>
      </c>
      <c r="Q1874" s="51">
        <f>IF(K1874="Received",1,0)</f>
        <v/>
      </c>
      <c r="R1874" s="51">
        <f>IF(Q1874=1,F1874-D1874,0)</f>
        <v/>
      </c>
      <c r="S1874" s="51">
        <f>IF(Q1874=1,IF(F1874&lt;=E1874,1,0),0)</f>
        <v/>
      </c>
      <c r="T1874" s="51">
        <f>IF(Q1874=1,IF(H1874&gt;=G1874,1,0),0)</f>
        <v/>
      </c>
      <c r="U1874" s="51">
        <f>S1874*T1874</f>
        <v/>
      </c>
      <c r="V1874" s="51">
        <f>IF(Q1874=1,MAX(0,F1874-E1874),0)</f>
        <v/>
      </c>
    </row>
    <row r="1875">
      <c r="A1875" s="43" t="inlineStr">
        <is>
          <t>PO100864</t>
        </is>
      </c>
      <c r="B1875" s="43" t="inlineStr">
        <is>
          <t>CMD-0038</t>
        </is>
      </c>
      <c r="C1875" s="43" t="inlineStr">
        <is>
          <t>S01</t>
        </is>
      </c>
      <c r="D1875" s="47" t="n">
        <v>46253</v>
      </c>
      <c r="E1875" s="47" t="n">
        <v>46281</v>
      </c>
      <c r="F1875" s="47" t="n">
        <v>46282</v>
      </c>
      <c r="G1875" s="46" t="n">
        <v>718</v>
      </c>
      <c r="H1875" s="46" t="n">
        <v>718</v>
      </c>
      <c r="I1875" s="46" t="n">
        <v>0</v>
      </c>
      <c r="J1875" s="44" t="n">
        <v>22.1347</v>
      </c>
      <c r="K1875" s="43" t="inlineStr">
        <is>
          <t>Received</t>
        </is>
      </c>
      <c r="L1875" s="17">
        <f>INDEX(Items!$C$2:$C$117,MATCH(B1875,Items!$A$2:$A$117,0))</f>
        <v/>
      </c>
      <c r="M1875" s="49">
        <f>INDEX(Items!$E$2:$E$117,MATCH(B1875,Items!$A$2:$A$117,0))</f>
        <v/>
      </c>
      <c r="N1875" s="17">
        <f>TEXT(D1875,"yyyy-mm")</f>
        <v/>
      </c>
      <c r="O1875" s="50">
        <f>G1875*J1875</f>
        <v/>
      </c>
      <c r="P1875" s="50">
        <f>(J1875-M1875)*G1875</f>
        <v/>
      </c>
      <c r="Q1875" s="51">
        <f>IF(K1875="Received",1,0)</f>
        <v/>
      </c>
      <c r="R1875" s="51">
        <f>IF(Q1875=1,F1875-D1875,0)</f>
        <v/>
      </c>
      <c r="S1875" s="51">
        <f>IF(Q1875=1,IF(F1875&lt;=E1875,1,0),0)</f>
        <v/>
      </c>
      <c r="T1875" s="51">
        <f>IF(Q1875=1,IF(H1875&gt;=G1875,1,0),0)</f>
        <v/>
      </c>
      <c r="U1875" s="51">
        <f>S1875*T1875</f>
        <v/>
      </c>
      <c r="V1875" s="51">
        <f>IF(Q1875=1,MAX(0,F1875-E1875),0)</f>
        <v/>
      </c>
    </row>
    <row r="1876">
      <c r="A1876" s="43" t="inlineStr">
        <is>
          <t>PO100142</t>
        </is>
      </c>
      <c r="B1876" s="43" t="inlineStr">
        <is>
          <t>CMD-0006</t>
        </is>
      </c>
      <c r="C1876" s="43" t="inlineStr">
        <is>
          <t>S03</t>
        </is>
      </c>
      <c r="D1876" s="47" t="n">
        <v>46253</v>
      </c>
      <c r="E1876" s="47" t="n">
        <v>46386</v>
      </c>
      <c r="F1876" s="47" t="n"/>
      <c r="G1876" s="46" t="n">
        <v>756</v>
      </c>
      <c r="H1876" s="46" t="n">
        <v>0</v>
      </c>
      <c r="I1876" s="46" t="n">
        <v>0</v>
      </c>
      <c r="J1876" s="44" t="n">
        <v>36.049</v>
      </c>
      <c r="K1876" s="43" t="inlineStr">
        <is>
          <t>Open</t>
        </is>
      </c>
      <c r="L1876" s="17">
        <f>INDEX(Items!$C$2:$C$117,MATCH(B1876,Items!$A$2:$A$117,0))</f>
        <v/>
      </c>
      <c r="M1876" s="49">
        <f>INDEX(Items!$E$2:$E$117,MATCH(B1876,Items!$A$2:$A$117,0))</f>
        <v/>
      </c>
      <c r="N1876" s="17">
        <f>TEXT(D1876,"yyyy-mm")</f>
        <v/>
      </c>
      <c r="O1876" s="50">
        <f>G1876*J1876</f>
        <v/>
      </c>
      <c r="P1876" s="50">
        <f>(J1876-M1876)*G1876</f>
        <v/>
      </c>
      <c r="Q1876" s="51">
        <f>IF(K1876="Received",1,0)</f>
        <v/>
      </c>
      <c r="R1876" s="51">
        <f>IF(Q1876=1,F1876-D1876,0)</f>
        <v/>
      </c>
      <c r="S1876" s="51">
        <f>IF(Q1876=1,IF(F1876&lt;=E1876,1,0),0)</f>
        <v/>
      </c>
      <c r="T1876" s="51">
        <f>IF(Q1876=1,IF(H1876&gt;=G1876,1,0),0)</f>
        <v/>
      </c>
      <c r="U1876" s="51">
        <f>S1876*T1876</f>
        <v/>
      </c>
      <c r="V1876" s="51">
        <f>IF(Q1876=1,MAX(0,F1876-E1876),0)</f>
        <v/>
      </c>
    </row>
    <row r="1877">
      <c r="A1877" s="43" t="inlineStr">
        <is>
          <t>PO100542</t>
        </is>
      </c>
      <c r="B1877" s="43" t="inlineStr">
        <is>
          <t>CMD-0024</t>
        </is>
      </c>
      <c r="C1877" s="43" t="inlineStr">
        <is>
          <t>S04</t>
        </is>
      </c>
      <c r="D1877" s="47" t="n">
        <v>46253</v>
      </c>
      <c r="E1877" s="47" t="n">
        <v>46323</v>
      </c>
      <c r="F1877" s="47" t="n"/>
      <c r="G1877" s="46" t="n">
        <v>4445</v>
      </c>
      <c r="H1877" s="46" t="n">
        <v>0</v>
      </c>
      <c r="I1877" s="46" t="n">
        <v>0</v>
      </c>
      <c r="J1877" s="44" t="n">
        <v>3.4093</v>
      </c>
      <c r="K1877" s="43" t="inlineStr">
        <is>
          <t>Open</t>
        </is>
      </c>
      <c r="L1877" s="17">
        <f>INDEX(Items!$C$2:$C$117,MATCH(B1877,Items!$A$2:$A$117,0))</f>
        <v/>
      </c>
      <c r="M1877" s="49">
        <f>INDEX(Items!$E$2:$E$117,MATCH(B1877,Items!$A$2:$A$117,0))</f>
        <v/>
      </c>
      <c r="N1877" s="17">
        <f>TEXT(D1877,"yyyy-mm")</f>
        <v/>
      </c>
      <c r="O1877" s="50">
        <f>G1877*J1877</f>
        <v/>
      </c>
      <c r="P1877" s="50">
        <f>(J1877-M1877)*G1877</f>
        <v/>
      </c>
      <c r="Q1877" s="51">
        <f>IF(K1877="Received",1,0)</f>
        <v/>
      </c>
      <c r="R1877" s="51">
        <f>IF(Q1877=1,F1877-D1877,0)</f>
        <v/>
      </c>
      <c r="S1877" s="51">
        <f>IF(Q1877=1,IF(F1877&lt;=E1877,1,0),0)</f>
        <v/>
      </c>
      <c r="T1877" s="51">
        <f>IF(Q1877=1,IF(H1877&gt;=G1877,1,0),0)</f>
        <v/>
      </c>
      <c r="U1877" s="51">
        <f>S1877*T1877</f>
        <v/>
      </c>
      <c r="V1877" s="51">
        <f>IF(Q1877=1,MAX(0,F1877-E1877),0)</f>
        <v/>
      </c>
    </row>
    <row r="1878">
      <c r="A1878" s="43" t="inlineStr">
        <is>
          <t>PO100956</t>
        </is>
      </c>
      <c r="B1878" s="43" t="inlineStr">
        <is>
          <t>CMD-0043</t>
        </is>
      </c>
      <c r="C1878" s="43" t="inlineStr">
        <is>
          <t>S05</t>
        </is>
      </c>
      <c r="D1878" s="47" t="n">
        <v>46254</v>
      </c>
      <c r="E1878" s="47" t="n">
        <v>46359</v>
      </c>
      <c r="F1878" s="47" t="n"/>
      <c r="G1878" s="46" t="n">
        <v>5223</v>
      </c>
      <c r="H1878" s="46" t="n">
        <v>0</v>
      </c>
      <c r="I1878" s="46" t="n">
        <v>0</v>
      </c>
      <c r="J1878" s="44" t="n">
        <v>3.8007</v>
      </c>
      <c r="K1878" s="43" t="inlineStr">
        <is>
          <t>Open</t>
        </is>
      </c>
      <c r="L1878" s="17">
        <f>INDEX(Items!$C$2:$C$117,MATCH(B1878,Items!$A$2:$A$117,0))</f>
        <v/>
      </c>
      <c r="M1878" s="49">
        <f>INDEX(Items!$E$2:$E$117,MATCH(B1878,Items!$A$2:$A$117,0))</f>
        <v/>
      </c>
      <c r="N1878" s="17">
        <f>TEXT(D1878,"yyyy-mm")</f>
        <v/>
      </c>
      <c r="O1878" s="50">
        <f>G1878*J1878</f>
        <v/>
      </c>
      <c r="P1878" s="50">
        <f>(J1878-M1878)*G1878</f>
        <v/>
      </c>
      <c r="Q1878" s="51">
        <f>IF(K1878="Received",1,0)</f>
        <v/>
      </c>
      <c r="R1878" s="51">
        <f>IF(Q1878=1,F1878-D1878,0)</f>
        <v/>
      </c>
      <c r="S1878" s="51">
        <f>IF(Q1878=1,IF(F1878&lt;=E1878,1,0),0)</f>
        <v/>
      </c>
      <c r="T1878" s="51">
        <f>IF(Q1878=1,IF(H1878&gt;=G1878,1,0),0)</f>
        <v/>
      </c>
      <c r="U1878" s="51">
        <f>S1878*T1878</f>
        <v/>
      </c>
      <c r="V1878" s="51">
        <f>IF(Q1878=1,MAX(0,F1878-E1878),0)</f>
        <v/>
      </c>
    </row>
    <row r="1879">
      <c r="A1879" s="43" t="inlineStr">
        <is>
          <t>PO101954</t>
        </is>
      </c>
      <c r="B1879" s="43" t="inlineStr">
        <is>
          <t>CMD-0107</t>
        </is>
      </c>
      <c r="C1879" s="43" t="inlineStr">
        <is>
          <t>S09</t>
        </is>
      </c>
      <c r="D1879" s="47" t="n">
        <v>46254</v>
      </c>
      <c r="E1879" s="47" t="n">
        <v>46275</v>
      </c>
      <c r="F1879" s="47" t="n">
        <v>46278</v>
      </c>
      <c r="G1879" s="46" t="n">
        <v>1227</v>
      </c>
      <c r="H1879" s="46" t="n">
        <v>1227</v>
      </c>
      <c r="I1879" s="46" t="n">
        <v>6</v>
      </c>
      <c r="J1879" s="44" t="n">
        <v>7.1585</v>
      </c>
      <c r="K1879" s="43" t="inlineStr">
        <is>
          <t>Received</t>
        </is>
      </c>
      <c r="L1879" s="17">
        <f>INDEX(Items!$C$2:$C$117,MATCH(B1879,Items!$A$2:$A$117,0))</f>
        <v/>
      </c>
      <c r="M1879" s="49">
        <f>INDEX(Items!$E$2:$E$117,MATCH(B1879,Items!$A$2:$A$117,0))</f>
        <v/>
      </c>
      <c r="N1879" s="17">
        <f>TEXT(D1879,"yyyy-mm")</f>
        <v/>
      </c>
      <c r="O1879" s="50">
        <f>G1879*J1879</f>
        <v/>
      </c>
      <c r="P1879" s="50">
        <f>(J1879-M1879)*G1879</f>
        <v/>
      </c>
      <c r="Q1879" s="51">
        <f>IF(K1879="Received",1,0)</f>
        <v/>
      </c>
      <c r="R1879" s="51">
        <f>IF(Q1879=1,F1879-D1879,0)</f>
        <v/>
      </c>
      <c r="S1879" s="51">
        <f>IF(Q1879=1,IF(F1879&lt;=E1879,1,0),0)</f>
        <v/>
      </c>
      <c r="T1879" s="51">
        <f>IF(Q1879=1,IF(H1879&gt;=G1879,1,0),0)</f>
        <v/>
      </c>
      <c r="U1879" s="51">
        <f>S1879*T1879</f>
        <v/>
      </c>
      <c r="V1879" s="51">
        <f>IF(Q1879=1,MAX(0,F1879-E1879),0)</f>
        <v/>
      </c>
    </row>
    <row r="1880">
      <c r="A1880" s="43" t="inlineStr">
        <is>
          <t>PO101982</t>
        </is>
      </c>
      <c r="B1880" s="43" t="inlineStr">
        <is>
          <t>CMD-0109</t>
        </is>
      </c>
      <c r="C1880" s="43" t="inlineStr">
        <is>
          <t>S12</t>
        </is>
      </c>
      <c r="D1880" s="47" t="n">
        <v>46254</v>
      </c>
      <c r="E1880" s="47" t="n">
        <v>46261</v>
      </c>
      <c r="F1880" s="47" t="n">
        <v>46260</v>
      </c>
      <c r="G1880" s="46" t="n">
        <v>7337</v>
      </c>
      <c r="H1880" s="46" t="n">
        <v>7337</v>
      </c>
      <c r="I1880" s="46" t="n">
        <v>4</v>
      </c>
      <c r="J1880" s="44" t="n">
        <v>1.751</v>
      </c>
      <c r="K1880" s="43" t="inlineStr">
        <is>
          <t>Received</t>
        </is>
      </c>
      <c r="L1880" s="17">
        <f>INDEX(Items!$C$2:$C$117,MATCH(B1880,Items!$A$2:$A$117,0))</f>
        <v/>
      </c>
      <c r="M1880" s="49">
        <f>INDEX(Items!$E$2:$E$117,MATCH(B1880,Items!$A$2:$A$117,0))</f>
        <v/>
      </c>
      <c r="N1880" s="17">
        <f>TEXT(D1880,"yyyy-mm")</f>
        <v/>
      </c>
      <c r="O1880" s="50">
        <f>G1880*J1880</f>
        <v/>
      </c>
      <c r="P1880" s="50">
        <f>(J1880-M1880)*G1880</f>
        <v/>
      </c>
      <c r="Q1880" s="51">
        <f>IF(K1880="Received",1,0)</f>
        <v/>
      </c>
      <c r="R1880" s="51">
        <f>IF(Q1880=1,F1880-D1880,0)</f>
        <v/>
      </c>
      <c r="S1880" s="51">
        <f>IF(Q1880=1,IF(F1880&lt;=E1880,1,0),0)</f>
        <v/>
      </c>
      <c r="T1880" s="51">
        <f>IF(Q1880=1,IF(H1880&gt;=G1880,1,0),0)</f>
        <v/>
      </c>
      <c r="U1880" s="51">
        <f>S1880*T1880</f>
        <v/>
      </c>
      <c r="V1880" s="51">
        <f>IF(Q1880=1,MAX(0,F1880-E1880),0)</f>
        <v/>
      </c>
    </row>
    <row r="1881">
      <c r="A1881" s="43" t="inlineStr">
        <is>
          <t>PO101004</t>
        </is>
      </c>
      <c r="B1881" s="43" t="inlineStr">
        <is>
          <t>CMD-0045</t>
        </is>
      </c>
      <c r="C1881" s="43" t="inlineStr">
        <is>
          <t>S05</t>
        </is>
      </c>
      <c r="D1881" s="47" t="n">
        <v>46254</v>
      </c>
      <c r="E1881" s="47" t="n">
        <v>46359</v>
      </c>
      <c r="F1881" s="47" t="n"/>
      <c r="G1881" s="46" t="n">
        <v>4082</v>
      </c>
      <c r="H1881" s="46" t="n">
        <v>0</v>
      </c>
      <c r="I1881" s="46" t="n">
        <v>0</v>
      </c>
      <c r="J1881" s="44" t="n">
        <v>9.2597</v>
      </c>
      <c r="K1881" s="43" t="inlineStr">
        <is>
          <t>Open</t>
        </is>
      </c>
      <c r="L1881" s="17">
        <f>INDEX(Items!$C$2:$C$117,MATCH(B1881,Items!$A$2:$A$117,0))</f>
        <v/>
      </c>
      <c r="M1881" s="49">
        <f>INDEX(Items!$E$2:$E$117,MATCH(B1881,Items!$A$2:$A$117,0))</f>
        <v/>
      </c>
      <c r="N1881" s="17">
        <f>TEXT(D1881,"yyyy-mm")</f>
        <v/>
      </c>
      <c r="O1881" s="50">
        <f>G1881*J1881</f>
        <v/>
      </c>
      <c r="P1881" s="50">
        <f>(J1881-M1881)*G1881</f>
        <v/>
      </c>
      <c r="Q1881" s="51">
        <f>IF(K1881="Received",1,0)</f>
        <v/>
      </c>
      <c r="R1881" s="51">
        <f>IF(Q1881=1,F1881-D1881,0)</f>
        <v/>
      </c>
      <c r="S1881" s="51">
        <f>IF(Q1881=1,IF(F1881&lt;=E1881,1,0),0)</f>
        <v/>
      </c>
      <c r="T1881" s="51">
        <f>IF(Q1881=1,IF(H1881&gt;=G1881,1,0),0)</f>
        <v/>
      </c>
      <c r="U1881" s="51">
        <f>S1881*T1881</f>
        <v/>
      </c>
      <c r="V1881" s="51">
        <f>IF(Q1881=1,MAX(0,F1881-E1881),0)</f>
        <v/>
      </c>
    </row>
    <row r="1882">
      <c r="A1882" s="43" t="inlineStr">
        <is>
          <t>PO100118</t>
        </is>
      </c>
      <c r="B1882" s="43" t="inlineStr">
        <is>
          <t>CMD-0005</t>
        </is>
      </c>
      <c r="C1882" s="43" t="inlineStr">
        <is>
          <t>S07</t>
        </is>
      </c>
      <c r="D1882" s="47" t="n">
        <v>46254</v>
      </c>
      <c r="E1882" s="47" t="n">
        <v>46345</v>
      </c>
      <c r="F1882" s="47" t="n"/>
      <c r="G1882" s="46" t="n">
        <v>4650</v>
      </c>
      <c r="H1882" s="46" t="n">
        <v>0</v>
      </c>
      <c r="I1882" s="46" t="n">
        <v>0</v>
      </c>
      <c r="J1882" s="44" t="n">
        <v>6.6434</v>
      </c>
      <c r="K1882" s="43" t="inlineStr">
        <is>
          <t>Open</t>
        </is>
      </c>
      <c r="L1882" s="17">
        <f>INDEX(Items!$C$2:$C$117,MATCH(B1882,Items!$A$2:$A$117,0))</f>
        <v/>
      </c>
      <c r="M1882" s="49">
        <f>INDEX(Items!$E$2:$E$117,MATCH(B1882,Items!$A$2:$A$117,0))</f>
        <v/>
      </c>
      <c r="N1882" s="17">
        <f>TEXT(D1882,"yyyy-mm")</f>
        <v/>
      </c>
      <c r="O1882" s="50">
        <f>G1882*J1882</f>
        <v/>
      </c>
      <c r="P1882" s="50">
        <f>(J1882-M1882)*G1882</f>
        <v/>
      </c>
      <c r="Q1882" s="51">
        <f>IF(K1882="Received",1,0)</f>
        <v/>
      </c>
      <c r="R1882" s="51">
        <f>IF(Q1882=1,F1882-D1882,0)</f>
        <v/>
      </c>
      <c r="S1882" s="51">
        <f>IF(Q1882=1,IF(F1882&lt;=E1882,1,0),0)</f>
        <v/>
      </c>
      <c r="T1882" s="51">
        <f>IF(Q1882=1,IF(H1882&gt;=G1882,1,0),0)</f>
        <v/>
      </c>
      <c r="U1882" s="51">
        <f>S1882*T1882</f>
        <v/>
      </c>
      <c r="V1882" s="51">
        <f>IF(Q1882=1,MAX(0,F1882-E1882),0)</f>
        <v/>
      </c>
    </row>
    <row r="1883">
      <c r="A1883" s="43" t="inlineStr">
        <is>
          <t>PO101142</t>
        </is>
      </c>
      <c r="B1883" s="43" t="inlineStr">
        <is>
          <t>CMD-0052</t>
        </is>
      </c>
      <c r="C1883" s="43" t="inlineStr">
        <is>
          <t>S01</t>
        </is>
      </c>
      <c r="D1883" s="47" t="n">
        <v>46254</v>
      </c>
      <c r="E1883" s="47" t="n">
        <v>46275</v>
      </c>
      <c r="F1883" s="47" t="n">
        <v>46274</v>
      </c>
      <c r="G1883" s="46" t="n">
        <v>128864</v>
      </c>
      <c r="H1883" s="46" t="n">
        <v>128864</v>
      </c>
      <c r="I1883" s="46" t="n">
        <v>242</v>
      </c>
      <c r="J1883" s="44" t="n">
        <v>0.2076</v>
      </c>
      <c r="K1883" s="43" t="inlineStr">
        <is>
          <t>Received</t>
        </is>
      </c>
      <c r="L1883" s="17">
        <f>INDEX(Items!$C$2:$C$117,MATCH(B1883,Items!$A$2:$A$117,0))</f>
        <v/>
      </c>
      <c r="M1883" s="49">
        <f>INDEX(Items!$E$2:$E$117,MATCH(B1883,Items!$A$2:$A$117,0))</f>
        <v/>
      </c>
      <c r="N1883" s="17">
        <f>TEXT(D1883,"yyyy-mm")</f>
        <v/>
      </c>
      <c r="O1883" s="50">
        <f>G1883*J1883</f>
        <v/>
      </c>
      <c r="P1883" s="50">
        <f>(J1883-M1883)*G1883</f>
        <v/>
      </c>
      <c r="Q1883" s="51">
        <f>IF(K1883="Received",1,0)</f>
        <v/>
      </c>
      <c r="R1883" s="51">
        <f>IF(Q1883=1,F1883-D1883,0)</f>
        <v/>
      </c>
      <c r="S1883" s="51">
        <f>IF(Q1883=1,IF(F1883&lt;=E1883,1,0),0)</f>
        <v/>
      </c>
      <c r="T1883" s="51">
        <f>IF(Q1883=1,IF(H1883&gt;=G1883,1,0),0)</f>
        <v/>
      </c>
      <c r="U1883" s="51">
        <f>S1883*T1883</f>
        <v/>
      </c>
      <c r="V1883" s="51">
        <f>IF(Q1883=1,MAX(0,F1883-E1883),0)</f>
        <v/>
      </c>
    </row>
    <row r="1884">
      <c r="A1884" s="43" t="inlineStr">
        <is>
          <t>PO100744</t>
        </is>
      </c>
      <c r="B1884" s="43" t="inlineStr">
        <is>
          <t>CMD-0033</t>
        </is>
      </c>
      <c r="C1884" s="43" t="inlineStr">
        <is>
          <t>S07</t>
        </is>
      </c>
      <c r="D1884" s="47" t="n">
        <v>46254</v>
      </c>
      <c r="E1884" s="47" t="n">
        <v>46296</v>
      </c>
      <c r="F1884" s="47" t="n"/>
      <c r="G1884" s="46" t="n">
        <v>3367</v>
      </c>
      <c r="H1884" s="46" t="n">
        <v>0</v>
      </c>
      <c r="I1884" s="46" t="n">
        <v>0</v>
      </c>
      <c r="J1884" s="44" t="n">
        <v>60.1108</v>
      </c>
      <c r="K1884" s="43" t="inlineStr">
        <is>
          <t>Open</t>
        </is>
      </c>
      <c r="L1884" s="17">
        <f>INDEX(Items!$C$2:$C$117,MATCH(B1884,Items!$A$2:$A$117,0))</f>
        <v/>
      </c>
      <c r="M1884" s="49">
        <f>INDEX(Items!$E$2:$E$117,MATCH(B1884,Items!$A$2:$A$117,0))</f>
        <v/>
      </c>
      <c r="N1884" s="17">
        <f>TEXT(D1884,"yyyy-mm")</f>
        <v/>
      </c>
      <c r="O1884" s="50">
        <f>G1884*J1884</f>
        <v/>
      </c>
      <c r="P1884" s="50">
        <f>(J1884-M1884)*G1884</f>
        <v/>
      </c>
      <c r="Q1884" s="51">
        <f>IF(K1884="Received",1,0)</f>
        <v/>
      </c>
      <c r="R1884" s="51">
        <f>IF(Q1884=1,F1884-D1884,0)</f>
        <v/>
      </c>
      <c r="S1884" s="51">
        <f>IF(Q1884=1,IF(F1884&lt;=E1884,1,0),0)</f>
        <v/>
      </c>
      <c r="T1884" s="51">
        <f>IF(Q1884=1,IF(H1884&gt;=G1884,1,0),0)</f>
        <v/>
      </c>
      <c r="U1884" s="51">
        <f>S1884*T1884</f>
        <v/>
      </c>
      <c r="V1884" s="51">
        <f>IF(Q1884=1,MAX(0,F1884-E1884),0)</f>
        <v/>
      </c>
    </row>
    <row r="1885">
      <c r="A1885" s="43" t="inlineStr">
        <is>
          <t>PO100686</t>
        </is>
      </c>
      <c r="B1885" s="43" t="inlineStr">
        <is>
          <t>CMD-0030</t>
        </is>
      </c>
      <c r="C1885" s="43" t="inlineStr">
        <is>
          <t>S11</t>
        </is>
      </c>
      <c r="D1885" s="47" t="n">
        <v>46254</v>
      </c>
      <c r="E1885" s="47" t="n">
        <v>46331</v>
      </c>
      <c r="F1885" s="47" t="n"/>
      <c r="G1885" s="46" t="n">
        <v>7684</v>
      </c>
      <c r="H1885" s="46" t="n">
        <v>0</v>
      </c>
      <c r="I1885" s="46" t="n">
        <v>0</v>
      </c>
      <c r="J1885" s="44" t="n">
        <v>23.8857</v>
      </c>
      <c r="K1885" s="43" t="inlineStr">
        <is>
          <t>Open</t>
        </is>
      </c>
      <c r="L1885" s="17">
        <f>INDEX(Items!$C$2:$C$117,MATCH(B1885,Items!$A$2:$A$117,0))</f>
        <v/>
      </c>
      <c r="M1885" s="49">
        <f>INDEX(Items!$E$2:$E$117,MATCH(B1885,Items!$A$2:$A$117,0))</f>
        <v/>
      </c>
      <c r="N1885" s="17">
        <f>TEXT(D1885,"yyyy-mm")</f>
        <v/>
      </c>
      <c r="O1885" s="50">
        <f>G1885*J1885</f>
        <v/>
      </c>
      <c r="P1885" s="50">
        <f>(J1885-M1885)*G1885</f>
        <v/>
      </c>
      <c r="Q1885" s="51">
        <f>IF(K1885="Received",1,0)</f>
        <v/>
      </c>
      <c r="R1885" s="51">
        <f>IF(Q1885=1,F1885-D1885,0)</f>
        <v/>
      </c>
      <c r="S1885" s="51">
        <f>IF(Q1885=1,IF(F1885&lt;=E1885,1,0),0)</f>
        <v/>
      </c>
      <c r="T1885" s="51">
        <f>IF(Q1885=1,IF(H1885&gt;=G1885,1,0),0)</f>
        <v/>
      </c>
      <c r="U1885" s="51">
        <f>S1885*T1885</f>
        <v/>
      </c>
      <c r="V1885" s="51">
        <f>IF(Q1885=1,MAX(0,F1885-E1885),0)</f>
        <v/>
      </c>
    </row>
    <row r="1886">
      <c r="A1886" s="43" t="inlineStr">
        <is>
          <t>PO101454</t>
        </is>
      </c>
      <c r="B1886" s="43" t="inlineStr">
        <is>
          <t>CMD-0077</t>
        </is>
      </c>
      <c r="C1886" s="43" t="inlineStr">
        <is>
          <t>S01</t>
        </is>
      </c>
      <c r="D1886" s="47" t="n">
        <v>46254</v>
      </c>
      <c r="E1886" s="47" t="n">
        <v>46268</v>
      </c>
      <c r="F1886" s="47" t="n">
        <v>46267</v>
      </c>
      <c r="G1886" s="46" t="n">
        <v>3862</v>
      </c>
      <c r="H1886" s="46" t="n">
        <v>3862</v>
      </c>
      <c r="I1886" s="46" t="n">
        <v>6</v>
      </c>
      <c r="J1886" s="44" t="n">
        <v>9.012499999999999</v>
      </c>
      <c r="K1886" s="43" t="inlineStr">
        <is>
          <t>Received</t>
        </is>
      </c>
      <c r="L1886" s="17">
        <f>INDEX(Items!$C$2:$C$117,MATCH(B1886,Items!$A$2:$A$117,0))</f>
        <v/>
      </c>
      <c r="M1886" s="49">
        <f>INDEX(Items!$E$2:$E$117,MATCH(B1886,Items!$A$2:$A$117,0))</f>
        <v/>
      </c>
      <c r="N1886" s="17">
        <f>TEXT(D1886,"yyyy-mm")</f>
        <v/>
      </c>
      <c r="O1886" s="50">
        <f>G1886*J1886</f>
        <v/>
      </c>
      <c r="P1886" s="50">
        <f>(J1886-M1886)*G1886</f>
        <v/>
      </c>
      <c r="Q1886" s="51">
        <f>IF(K1886="Received",1,0)</f>
        <v/>
      </c>
      <c r="R1886" s="51">
        <f>IF(Q1886=1,F1886-D1886,0)</f>
        <v/>
      </c>
      <c r="S1886" s="51">
        <f>IF(Q1886=1,IF(F1886&lt;=E1886,1,0),0)</f>
        <v/>
      </c>
      <c r="T1886" s="51">
        <f>IF(Q1886=1,IF(H1886&gt;=G1886,1,0),0)</f>
        <v/>
      </c>
      <c r="U1886" s="51">
        <f>S1886*T1886</f>
        <v/>
      </c>
      <c r="V1886" s="51">
        <f>IF(Q1886=1,MAX(0,F1886-E1886),0)</f>
        <v/>
      </c>
    </row>
    <row r="1887">
      <c r="A1887" s="43" t="inlineStr">
        <is>
          <t>PO100638</t>
        </is>
      </c>
      <c r="B1887" s="43" t="inlineStr">
        <is>
          <t>CMD-0028</t>
        </is>
      </c>
      <c r="C1887" s="43" t="inlineStr">
        <is>
          <t>S11</t>
        </is>
      </c>
      <c r="D1887" s="47" t="n">
        <v>46254</v>
      </c>
      <c r="E1887" s="47" t="n">
        <v>46331</v>
      </c>
      <c r="F1887" s="47" t="n"/>
      <c r="G1887" s="46" t="n">
        <v>3402</v>
      </c>
      <c r="H1887" s="46" t="n">
        <v>0</v>
      </c>
      <c r="I1887" s="46" t="n">
        <v>0</v>
      </c>
      <c r="J1887" s="44" t="n">
        <v>16.3152</v>
      </c>
      <c r="K1887" s="43" t="inlineStr">
        <is>
          <t>Open</t>
        </is>
      </c>
      <c r="L1887" s="17">
        <f>INDEX(Items!$C$2:$C$117,MATCH(B1887,Items!$A$2:$A$117,0))</f>
        <v/>
      </c>
      <c r="M1887" s="49">
        <f>INDEX(Items!$E$2:$E$117,MATCH(B1887,Items!$A$2:$A$117,0))</f>
        <v/>
      </c>
      <c r="N1887" s="17">
        <f>TEXT(D1887,"yyyy-mm")</f>
        <v/>
      </c>
      <c r="O1887" s="50">
        <f>G1887*J1887</f>
        <v/>
      </c>
      <c r="P1887" s="50">
        <f>(J1887-M1887)*G1887</f>
        <v/>
      </c>
      <c r="Q1887" s="51">
        <f>IF(K1887="Received",1,0)</f>
        <v/>
      </c>
      <c r="R1887" s="51">
        <f>IF(Q1887=1,F1887-D1887,0)</f>
        <v/>
      </c>
      <c r="S1887" s="51">
        <f>IF(Q1887=1,IF(F1887&lt;=E1887,1,0),0)</f>
        <v/>
      </c>
      <c r="T1887" s="51">
        <f>IF(Q1887=1,IF(H1887&gt;=G1887,1,0),0)</f>
        <v/>
      </c>
      <c r="U1887" s="51">
        <f>S1887*T1887</f>
        <v/>
      </c>
      <c r="V1887" s="51">
        <f>IF(Q1887=1,MAX(0,F1887-E1887),0)</f>
        <v/>
      </c>
    </row>
    <row r="1888">
      <c r="A1888" s="43" t="inlineStr">
        <is>
          <t>PO101204</t>
        </is>
      </c>
      <c r="B1888" s="43" t="inlineStr">
        <is>
          <t>CMD-0055</t>
        </is>
      </c>
      <c r="C1888" s="43" t="inlineStr">
        <is>
          <t>S04</t>
        </is>
      </c>
      <c r="D1888" s="47" t="n">
        <v>46254</v>
      </c>
      <c r="E1888" s="47" t="n">
        <v>46289</v>
      </c>
      <c r="F1888" s="47" t="n">
        <v>46286</v>
      </c>
      <c r="G1888" s="46" t="n">
        <v>107356</v>
      </c>
      <c r="H1888" s="46" t="n">
        <v>107356</v>
      </c>
      <c r="I1888" s="46" t="n">
        <v>1129</v>
      </c>
      <c r="J1888" s="44" t="n">
        <v>0.09660000000000001</v>
      </c>
      <c r="K1888" s="43" t="inlineStr">
        <is>
          <t>Received</t>
        </is>
      </c>
      <c r="L1888" s="17">
        <f>INDEX(Items!$C$2:$C$117,MATCH(B1888,Items!$A$2:$A$117,0))</f>
        <v/>
      </c>
      <c r="M1888" s="49">
        <f>INDEX(Items!$E$2:$E$117,MATCH(B1888,Items!$A$2:$A$117,0))</f>
        <v/>
      </c>
      <c r="N1888" s="17">
        <f>TEXT(D1888,"yyyy-mm")</f>
        <v/>
      </c>
      <c r="O1888" s="50">
        <f>G1888*J1888</f>
        <v/>
      </c>
      <c r="P1888" s="50">
        <f>(J1888-M1888)*G1888</f>
        <v/>
      </c>
      <c r="Q1888" s="51">
        <f>IF(K1888="Received",1,0)</f>
        <v/>
      </c>
      <c r="R1888" s="51">
        <f>IF(Q1888=1,F1888-D1888,0)</f>
        <v/>
      </c>
      <c r="S1888" s="51">
        <f>IF(Q1888=1,IF(F1888&lt;=E1888,1,0),0)</f>
        <v/>
      </c>
      <c r="T1888" s="51">
        <f>IF(Q1888=1,IF(H1888&gt;=G1888,1,0),0)</f>
        <v/>
      </c>
      <c r="U1888" s="51">
        <f>S1888*T1888</f>
        <v/>
      </c>
      <c r="V1888" s="51">
        <f>IF(Q1888=1,MAX(0,F1888-E1888),0)</f>
        <v/>
      </c>
    </row>
    <row r="1889">
      <c r="A1889" s="43" t="inlineStr">
        <is>
          <t>PO100840</t>
        </is>
      </c>
      <c r="B1889" s="43" t="inlineStr">
        <is>
          <t>CMD-0037</t>
        </is>
      </c>
      <c r="C1889" s="43" t="inlineStr">
        <is>
          <t>S07</t>
        </is>
      </c>
      <c r="D1889" s="47" t="n">
        <v>46254</v>
      </c>
      <c r="E1889" s="47" t="n">
        <v>46296</v>
      </c>
      <c r="F1889" s="47" t="n"/>
      <c r="G1889" s="46" t="n">
        <v>477</v>
      </c>
      <c r="H1889" s="46" t="n">
        <v>0</v>
      </c>
      <c r="I1889" s="46" t="n">
        <v>0</v>
      </c>
      <c r="J1889" s="44" t="n">
        <v>55.2286</v>
      </c>
      <c r="K1889" s="43" t="inlineStr">
        <is>
          <t>Open</t>
        </is>
      </c>
      <c r="L1889" s="17">
        <f>INDEX(Items!$C$2:$C$117,MATCH(B1889,Items!$A$2:$A$117,0))</f>
        <v/>
      </c>
      <c r="M1889" s="49">
        <f>INDEX(Items!$E$2:$E$117,MATCH(B1889,Items!$A$2:$A$117,0))</f>
        <v/>
      </c>
      <c r="N1889" s="17">
        <f>TEXT(D1889,"yyyy-mm")</f>
        <v/>
      </c>
      <c r="O1889" s="50">
        <f>G1889*J1889</f>
        <v/>
      </c>
      <c r="P1889" s="50">
        <f>(J1889-M1889)*G1889</f>
        <v/>
      </c>
      <c r="Q1889" s="51">
        <f>IF(K1889="Received",1,0)</f>
        <v/>
      </c>
      <c r="R1889" s="51">
        <f>IF(Q1889=1,F1889-D1889,0)</f>
        <v/>
      </c>
      <c r="S1889" s="51">
        <f>IF(Q1889=1,IF(F1889&lt;=E1889,1,0),0)</f>
        <v/>
      </c>
      <c r="T1889" s="51">
        <f>IF(Q1889=1,IF(H1889&gt;=G1889,1,0),0)</f>
        <v/>
      </c>
      <c r="U1889" s="51">
        <f>S1889*T1889</f>
        <v/>
      </c>
      <c r="V1889" s="51">
        <f>IF(Q1889=1,MAX(0,F1889-E1889),0)</f>
        <v/>
      </c>
    </row>
    <row r="1890">
      <c r="A1890" s="43" t="inlineStr">
        <is>
          <t>PO100768</t>
        </is>
      </c>
      <c r="B1890" s="43" t="inlineStr">
        <is>
          <t>CMD-0034</t>
        </is>
      </c>
      <c r="C1890" s="43" t="inlineStr">
        <is>
          <t>S04</t>
        </is>
      </c>
      <c r="D1890" s="47" t="n">
        <v>46254</v>
      </c>
      <c r="E1890" s="47" t="n">
        <v>46296</v>
      </c>
      <c r="F1890" s="47" t="n">
        <v>46294</v>
      </c>
      <c r="G1890" s="46" t="n">
        <v>602</v>
      </c>
      <c r="H1890" s="46" t="n">
        <v>602</v>
      </c>
      <c r="I1890" s="46" t="n">
        <v>2</v>
      </c>
      <c r="J1890" s="44" t="n">
        <v>10.8665</v>
      </c>
      <c r="K1890" s="43" t="inlineStr">
        <is>
          <t>Received</t>
        </is>
      </c>
      <c r="L1890" s="17">
        <f>INDEX(Items!$C$2:$C$117,MATCH(B1890,Items!$A$2:$A$117,0))</f>
        <v/>
      </c>
      <c r="M1890" s="49">
        <f>INDEX(Items!$E$2:$E$117,MATCH(B1890,Items!$A$2:$A$117,0))</f>
        <v/>
      </c>
      <c r="N1890" s="17">
        <f>TEXT(D1890,"yyyy-mm")</f>
        <v/>
      </c>
      <c r="O1890" s="50">
        <f>G1890*J1890</f>
        <v/>
      </c>
      <c r="P1890" s="50">
        <f>(J1890-M1890)*G1890</f>
        <v/>
      </c>
      <c r="Q1890" s="51">
        <f>IF(K1890="Received",1,0)</f>
        <v/>
      </c>
      <c r="R1890" s="51">
        <f>IF(Q1890=1,F1890-D1890,0)</f>
        <v/>
      </c>
      <c r="S1890" s="51">
        <f>IF(Q1890=1,IF(F1890&lt;=E1890,1,0),0)</f>
        <v/>
      </c>
      <c r="T1890" s="51">
        <f>IF(Q1890=1,IF(H1890&gt;=G1890,1,0),0)</f>
        <v/>
      </c>
      <c r="U1890" s="51">
        <f>S1890*T1890</f>
        <v/>
      </c>
      <c r="V1890" s="51">
        <f>IF(Q1890=1,MAX(0,F1890-E1890),0)</f>
        <v/>
      </c>
    </row>
    <row r="1891">
      <c r="A1891" s="43" t="inlineStr">
        <is>
          <t>PO100166</t>
        </is>
      </c>
      <c r="B1891" s="43" t="inlineStr">
        <is>
          <t>CMD-0007</t>
        </is>
      </c>
      <c r="C1891" s="43" t="inlineStr">
        <is>
          <t>S03</t>
        </is>
      </c>
      <c r="D1891" s="47" t="n">
        <v>46255</v>
      </c>
      <c r="E1891" s="47" t="n">
        <v>46388</v>
      </c>
      <c r="F1891" s="47" t="n"/>
      <c r="G1891" s="46" t="n">
        <v>4237</v>
      </c>
      <c r="H1891" s="46" t="n">
        <v>0</v>
      </c>
      <c r="I1891" s="46" t="n">
        <v>0</v>
      </c>
      <c r="J1891" s="44" t="n">
        <v>22.8802</v>
      </c>
      <c r="K1891" s="43" t="inlineStr">
        <is>
          <t>Open</t>
        </is>
      </c>
      <c r="L1891" s="17">
        <f>INDEX(Items!$C$2:$C$117,MATCH(B1891,Items!$A$2:$A$117,0))</f>
        <v/>
      </c>
      <c r="M1891" s="49">
        <f>INDEX(Items!$E$2:$E$117,MATCH(B1891,Items!$A$2:$A$117,0))</f>
        <v/>
      </c>
      <c r="N1891" s="17">
        <f>TEXT(D1891,"yyyy-mm")</f>
        <v/>
      </c>
      <c r="O1891" s="50">
        <f>G1891*J1891</f>
        <v/>
      </c>
      <c r="P1891" s="50">
        <f>(J1891-M1891)*G1891</f>
        <v/>
      </c>
      <c r="Q1891" s="51">
        <f>IF(K1891="Received",1,0)</f>
        <v/>
      </c>
      <c r="R1891" s="51">
        <f>IF(Q1891=1,F1891-D1891,0)</f>
        <v/>
      </c>
      <c r="S1891" s="51">
        <f>IF(Q1891=1,IF(F1891&lt;=E1891,1,0),0)</f>
        <v/>
      </c>
      <c r="T1891" s="51">
        <f>IF(Q1891=1,IF(H1891&gt;=G1891,1,0),0)</f>
        <v/>
      </c>
      <c r="U1891" s="51">
        <f>S1891*T1891</f>
        <v/>
      </c>
      <c r="V1891" s="51">
        <f>IF(Q1891=1,MAX(0,F1891-E1891),0)</f>
        <v/>
      </c>
    </row>
    <row r="1892">
      <c r="A1892" s="43" t="inlineStr">
        <is>
          <t>PO100386</t>
        </is>
      </c>
      <c r="B1892" s="43" t="inlineStr">
        <is>
          <t>CMD-0017</t>
        </is>
      </c>
      <c r="C1892" s="43" t="inlineStr">
        <is>
          <t>S11</t>
        </is>
      </c>
      <c r="D1892" s="47" t="n">
        <v>46255</v>
      </c>
      <c r="E1892" s="47" t="n">
        <v>46332</v>
      </c>
      <c r="F1892" s="47" t="n"/>
      <c r="G1892" s="46" t="n">
        <v>7415</v>
      </c>
      <c r="H1892" s="46" t="n">
        <v>0</v>
      </c>
      <c r="I1892" s="46" t="n">
        <v>0</v>
      </c>
      <c r="J1892" s="44" t="n">
        <v>13.0707</v>
      </c>
      <c r="K1892" s="43" t="inlineStr">
        <is>
          <t>Open</t>
        </is>
      </c>
      <c r="L1892" s="17">
        <f>INDEX(Items!$C$2:$C$117,MATCH(B1892,Items!$A$2:$A$117,0))</f>
        <v/>
      </c>
      <c r="M1892" s="49">
        <f>INDEX(Items!$E$2:$E$117,MATCH(B1892,Items!$A$2:$A$117,0))</f>
        <v/>
      </c>
      <c r="N1892" s="17">
        <f>TEXT(D1892,"yyyy-mm")</f>
        <v/>
      </c>
      <c r="O1892" s="50">
        <f>G1892*J1892</f>
        <v/>
      </c>
      <c r="P1892" s="50">
        <f>(J1892-M1892)*G1892</f>
        <v/>
      </c>
      <c r="Q1892" s="51">
        <f>IF(K1892="Received",1,0)</f>
        <v/>
      </c>
      <c r="R1892" s="51">
        <f>IF(Q1892=1,F1892-D1892,0)</f>
        <v/>
      </c>
      <c r="S1892" s="51">
        <f>IF(Q1892=1,IF(F1892&lt;=E1892,1,0),0)</f>
        <v/>
      </c>
      <c r="T1892" s="51">
        <f>IF(Q1892=1,IF(H1892&gt;=G1892,1,0),0)</f>
        <v/>
      </c>
      <c r="U1892" s="51">
        <f>S1892*T1892</f>
        <v/>
      </c>
      <c r="V1892" s="51">
        <f>IF(Q1892=1,MAX(0,F1892-E1892),0)</f>
        <v/>
      </c>
    </row>
    <row r="1893">
      <c r="A1893" s="43" t="inlineStr">
        <is>
          <t>PO100070</t>
        </is>
      </c>
      <c r="B1893" s="43" t="inlineStr">
        <is>
          <t>CMD-0003</t>
        </is>
      </c>
      <c r="C1893" s="43" t="inlineStr">
        <is>
          <t>S11</t>
        </is>
      </c>
      <c r="D1893" s="47" t="n">
        <v>46255</v>
      </c>
      <c r="E1893" s="47" t="n">
        <v>46374</v>
      </c>
      <c r="F1893" s="47" t="n"/>
      <c r="G1893" s="46" t="n">
        <v>6635</v>
      </c>
      <c r="H1893" s="46" t="n">
        <v>0</v>
      </c>
      <c r="I1893" s="46" t="n">
        <v>0</v>
      </c>
      <c r="J1893" s="44" t="n">
        <v>25.3582</v>
      </c>
      <c r="K1893" s="43" t="inlineStr">
        <is>
          <t>Open</t>
        </is>
      </c>
      <c r="L1893" s="17">
        <f>INDEX(Items!$C$2:$C$117,MATCH(B1893,Items!$A$2:$A$117,0))</f>
        <v/>
      </c>
      <c r="M1893" s="49">
        <f>INDEX(Items!$E$2:$E$117,MATCH(B1893,Items!$A$2:$A$117,0))</f>
        <v/>
      </c>
      <c r="N1893" s="17">
        <f>TEXT(D1893,"yyyy-mm")</f>
        <v/>
      </c>
      <c r="O1893" s="50">
        <f>G1893*J1893</f>
        <v/>
      </c>
      <c r="P1893" s="50">
        <f>(J1893-M1893)*G1893</f>
        <v/>
      </c>
      <c r="Q1893" s="51">
        <f>IF(K1893="Received",1,0)</f>
        <v/>
      </c>
      <c r="R1893" s="51">
        <f>IF(Q1893=1,F1893-D1893,0)</f>
        <v/>
      </c>
      <c r="S1893" s="51">
        <f>IF(Q1893=1,IF(F1893&lt;=E1893,1,0),0)</f>
        <v/>
      </c>
      <c r="T1893" s="51">
        <f>IF(Q1893=1,IF(H1893&gt;=G1893,1,0),0)</f>
        <v/>
      </c>
      <c r="U1893" s="51">
        <f>S1893*T1893</f>
        <v/>
      </c>
      <c r="V1893" s="51">
        <f>IF(Q1893=1,MAX(0,F1893-E1893),0)</f>
        <v/>
      </c>
    </row>
    <row r="1894">
      <c r="A1894" s="43" t="inlineStr">
        <is>
          <t>PO101074</t>
        </is>
      </c>
      <c r="B1894" s="43" t="inlineStr">
        <is>
          <t>CMD-0048</t>
        </is>
      </c>
      <c r="C1894" s="43" t="inlineStr">
        <is>
          <t>S10</t>
        </is>
      </c>
      <c r="D1894" s="47" t="n">
        <v>46256</v>
      </c>
      <c r="E1894" s="47" t="n">
        <v>46284</v>
      </c>
      <c r="F1894" s="47" t="n">
        <v>46281</v>
      </c>
      <c r="G1894" s="46" t="n">
        <v>19018</v>
      </c>
      <c r="H1894" s="46" t="n">
        <v>19018</v>
      </c>
      <c r="I1894" s="46" t="n">
        <v>12</v>
      </c>
      <c r="J1894" s="44" t="n">
        <v>0.3328</v>
      </c>
      <c r="K1894" s="43" t="inlineStr">
        <is>
          <t>Received</t>
        </is>
      </c>
      <c r="L1894" s="17">
        <f>INDEX(Items!$C$2:$C$117,MATCH(B1894,Items!$A$2:$A$117,0))</f>
        <v/>
      </c>
      <c r="M1894" s="49">
        <f>INDEX(Items!$E$2:$E$117,MATCH(B1894,Items!$A$2:$A$117,0))</f>
        <v/>
      </c>
      <c r="N1894" s="17">
        <f>TEXT(D1894,"yyyy-mm")</f>
        <v/>
      </c>
      <c r="O1894" s="50">
        <f>G1894*J1894</f>
        <v/>
      </c>
      <c r="P1894" s="50">
        <f>(J1894-M1894)*G1894</f>
        <v/>
      </c>
      <c r="Q1894" s="51">
        <f>IF(K1894="Received",1,0)</f>
        <v/>
      </c>
      <c r="R1894" s="51">
        <f>IF(Q1894=1,F1894-D1894,0)</f>
        <v/>
      </c>
      <c r="S1894" s="51">
        <f>IF(Q1894=1,IF(F1894&lt;=E1894,1,0),0)</f>
        <v/>
      </c>
      <c r="T1894" s="51">
        <f>IF(Q1894=1,IF(H1894&gt;=G1894,1,0),0)</f>
        <v/>
      </c>
      <c r="U1894" s="51">
        <f>S1894*T1894</f>
        <v/>
      </c>
      <c r="V1894" s="51">
        <f>IF(Q1894=1,MAX(0,F1894-E1894),0)</f>
        <v/>
      </c>
    </row>
    <row r="1895">
      <c r="A1895" s="43" t="inlineStr">
        <is>
          <t>PO100816</t>
        </is>
      </c>
      <c r="B1895" s="43" t="inlineStr">
        <is>
          <t>CMD-0036</t>
        </is>
      </c>
      <c r="C1895" s="43" t="inlineStr">
        <is>
          <t>S04</t>
        </is>
      </c>
      <c r="D1895" s="47" t="n">
        <v>46256</v>
      </c>
      <c r="E1895" s="47" t="n">
        <v>46298</v>
      </c>
      <c r="F1895" s="47" t="n"/>
      <c r="G1895" s="46" t="n">
        <v>457</v>
      </c>
      <c r="H1895" s="46" t="n">
        <v>0</v>
      </c>
      <c r="I1895" s="46" t="n">
        <v>0</v>
      </c>
      <c r="J1895" s="44" t="n">
        <v>12.7308</v>
      </c>
      <c r="K1895" s="43" t="inlineStr">
        <is>
          <t>Open</t>
        </is>
      </c>
      <c r="L1895" s="17">
        <f>INDEX(Items!$C$2:$C$117,MATCH(B1895,Items!$A$2:$A$117,0))</f>
        <v/>
      </c>
      <c r="M1895" s="49">
        <f>INDEX(Items!$E$2:$E$117,MATCH(B1895,Items!$A$2:$A$117,0))</f>
        <v/>
      </c>
      <c r="N1895" s="17">
        <f>TEXT(D1895,"yyyy-mm")</f>
        <v/>
      </c>
      <c r="O1895" s="50">
        <f>G1895*J1895</f>
        <v/>
      </c>
      <c r="P1895" s="50">
        <f>(J1895-M1895)*G1895</f>
        <v/>
      </c>
      <c r="Q1895" s="51">
        <f>IF(K1895="Received",1,0)</f>
        <v/>
      </c>
      <c r="R1895" s="51">
        <f>IF(Q1895=1,F1895-D1895,0)</f>
        <v/>
      </c>
      <c r="S1895" s="51">
        <f>IF(Q1895=1,IF(F1895&lt;=E1895,1,0),0)</f>
        <v/>
      </c>
      <c r="T1895" s="51">
        <f>IF(Q1895=1,IF(H1895&gt;=G1895,1,0),0)</f>
        <v/>
      </c>
      <c r="U1895" s="51">
        <f>S1895*T1895</f>
        <v/>
      </c>
      <c r="V1895" s="51">
        <f>IF(Q1895=1,MAX(0,F1895-E1895),0)</f>
        <v/>
      </c>
    </row>
    <row r="1896">
      <c r="A1896" s="43" t="inlineStr">
        <is>
          <t>PO101250</t>
        </is>
      </c>
      <c r="B1896" s="43" t="inlineStr">
        <is>
          <t>CMD-0058</t>
        </is>
      </c>
      <c r="C1896" s="43" t="inlineStr">
        <is>
          <t>S04</t>
        </is>
      </c>
      <c r="D1896" s="47" t="n">
        <v>46256</v>
      </c>
      <c r="E1896" s="47" t="n">
        <v>46291</v>
      </c>
      <c r="F1896" s="47" t="n">
        <v>46290</v>
      </c>
      <c r="G1896" s="46" t="n">
        <v>57190</v>
      </c>
      <c r="H1896" s="46" t="n">
        <v>57190</v>
      </c>
      <c r="I1896" s="46" t="n">
        <v>560</v>
      </c>
      <c r="J1896" s="44" t="n">
        <v>0.1213</v>
      </c>
      <c r="K1896" s="43" t="inlineStr">
        <is>
          <t>Received</t>
        </is>
      </c>
      <c r="L1896" s="17">
        <f>INDEX(Items!$C$2:$C$117,MATCH(B1896,Items!$A$2:$A$117,0))</f>
        <v/>
      </c>
      <c r="M1896" s="49">
        <f>INDEX(Items!$E$2:$E$117,MATCH(B1896,Items!$A$2:$A$117,0))</f>
        <v/>
      </c>
      <c r="N1896" s="17">
        <f>TEXT(D1896,"yyyy-mm")</f>
        <v/>
      </c>
      <c r="O1896" s="50">
        <f>G1896*J1896</f>
        <v/>
      </c>
      <c r="P1896" s="50">
        <f>(J1896-M1896)*G1896</f>
        <v/>
      </c>
      <c r="Q1896" s="51">
        <f>IF(K1896="Received",1,0)</f>
        <v/>
      </c>
      <c r="R1896" s="51">
        <f>IF(Q1896=1,F1896-D1896,0)</f>
        <v/>
      </c>
      <c r="S1896" s="51">
        <f>IF(Q1896=1,IF(F1896&lt;=E1896,1,0),0)</f>
        <v/>
      </c>
      <c r="T1896" s="51">
        <f>IF(Q1896=1,IF(H1896&gt;=G1896,1,0),0)</f>
        <v/>
      </c>
      <c r="U1896" s="51">
        <f>S1896*T1896</f>
        <v/>
      </c>
      <c r="V1896" s="51">
        <f>IF(Q1896=1,MAX(0,F1896-E1896),0)</f>
        <v/>
      </c>
    </row>
    <row r="1897">
      <c r="A1897" s="43" t="inlineStr">
        <is>
          <t>PO101664</t>
        </is>
      </c>
      <c r="B1897" s="43" t="inlineStr">
        <is>
          <t>CMD-0091</t>
        </is>
      </c>
      <c r="C1897" s="43" t="inlineStr">
        <is>
          <t>S08</t>
        </is>
      </c>
      <c r="D1897" s="47" t="n">
        <v>46256</v>
      </c>
      <c r="E1897" s="47" t="n">
        <v>46333</v>
      </c>
      <c r="F1897" s="47" t="n"/>
      <c r="G1897" s="46" t="n">
        <v>932</v>
      </c>
      <c r="H1897" s="46" t="n">
        <v>0</v>
      </c>
      <c r="I1897" s="46" t="n">
        <v>0</v>
      </c>
      <c r="J1897" s="44" t="n">
        <v>24.514</v>
      </c>
      <c r="K1897" s="43" t="inlineStr">
        <is>
          <t>Open</t>
        </is>
      </c>
      <c r="L1897" s="17">
        <f>INDEX(Items!$C$2:$C$117,MATCH(B1897,Items!$A$2:$A$117,0))</f>
        <v/>
      </c>
      <c r="M1897" s="49">
        <f>INDEX(Items!$E$2:$E$117,MATCH(B1897,Items!$A$2:$A$117,0))</f>
        <v/>
      </c>
      <c r="N1897" s="17">
        <f>TEXT(D1897,"yyyy-mm")</f>
        <v/>
      </c>
      <c r="O1897" s="50">
        <f>G1897*J1897</f>
        <v/>
      </c>
      <c r="P1897" s="50">
        <f>(J1897-M1897)*G1897</f>
        <v/>
      </c>
      <c r="Q1897" s="51">
        <f>IF(K1897="Received",1,0)</f>
        <v/>
      </c>
      <c r="R1897" s="51">
        <f>IF(Q1897=1,F1897-D1897,0)</f>
        <v/>
      </c>
      <c r="S1897" s="51">
        <f>IF(Q1897=1,IF(F1897&lt;=E1897,1,0),0)</f>
        <v/>
      </c>
      <c r="T1897" s="51">
        <f>IF(Q1897=1,IF(H1897&gt;=G1897,1,0),0)</f>
        <v/>
      </c>
      <c r="U1897" s="51">
        <f>S1897*T1897</f>
        <v/>
      </c>
      <c r="V1897" s="51">
        <f>IF(Q1897=1,MAX(0,F1897-E1897),0)</f>
        <v/>
      </c>
    </row>
    <row r="1898">
      <c r="A1898" s="43" t="inlineStr">
        <is>
          <t>PO101418</t>
        </is>
      </c>
      <c r="B1898" s="43" t="inlineStr">
        <is>
          <t>CMD-0074</t>
        </is>
      </c>
      <c r="C1898" s="43" t="inlineStr">
        <is>
          <t>S10</t>
        </is>
      </c>
      <c r="D1898" s="47" t="n">
        <v>46256</v>
      </c>
      <c r="E1898" s="47" t="n">
        <v>46284</v>
      </c>
      <c r="F1898" s="47" t="n">
        <v>46283</v>
      </c>
      <c r="G1898" s="46" t="n">
        <v>57127</v>
      </c>
      <c r="H1898" s="46" t="n">
        <v>57127</v>
      </c>
      <c r="I1898" s="46" t="n">
        <v>69</v>
      </c>
      <c r="J1898" s="44" t="n">
        <v>0.3601</v>
      </c>
      <c r="K1898" s="43" t="inlineStr">
        <is>
          <t>Received</t>
        </is>
      </c>
      <c r="L1898" s="17">
        <f>INDEX(Items!$C$2:$C$117,MATCH(B1898,Items!$A$2:$A$117,0))</f>
        <v/>
      </c>
      <c r="M1898" s="49">
        <f>INDEX(Items!$E$2:$E$117,MATCH(B1898,Items!$A$2:$A$117,0))</f>
        <v/>
      </c>
      <c r="N1898" s="17">
        <f>TEXT(D1898,"yyyy-mm")</f>
        <v/>
      </c>
      <c r="O1898" s="50">
        <f>G1898*J1898</f>
        <v/>
      </c>
      <c r="P1898" s="50">
        <f>(J1898-M1898)*G1898</f>
        <v/>
      </c>
      <c r="Q1898" s="51">
        <f>IF(K1898="Received",1,0)</f>
        <v/>
      </c>
      <c r="R1898" s="51">
        <f>IF(Q1898=1,F1898-D1898,0)</f>
        <v/>
      </c>
      <c r="S1898" s="51">
        <f>IF(Q1898=1,IF(F1898&lt;=E1898,1,0),0)</f>
        <v/>
      </c>
      <c r="T1898" s="51">
        <f>IF(Q1898=1,IF(H1898&gt;=G1898,1,0),0)</f>
        <v/>
      </c>
      <c r="U1898" s="51">
        <f>S1898*T1898</f>
        <v/>
      </c>
      <c r="V1898" s="51">
        <f>IF(Q1898=1,MAX(0,F1898-E1898),0)</f>
        <v/>
      </c>
    </row>
    <row r="1899">
      <c r="A1899" s="43" t="inlineStr">
        <is>
          <t>PO100518</t>
        </is>
      </c>
      <c r="B1899" s="43" t="inlineStr">
        <is>
          <t>CMD-0023</t>
        </is>
      </c>
      <c r="C1899" s="43" t="inlineStr">
        <is>
          <t>S04</t>
        </is>
      </c>
      <c r="D1899" s="47" t="n">
        <v>46256</v>
      </c>
      <c r="E1899" s="47" t="n">
        <v>46326</v>
      </c>
      <c r="F1899" s="47" t="n"/>
      <c r="G1899" s="46" t="n">
        <v>4576</v>
      </c>
      <c r="H1899" s="46" t="n">
        <v>0</v>
      </c>
      <c r="I1899" s="46" t="n">
        <v>0</v>
      </c>
      <c r="J1899" s="44" t="n">
        <v>9.064</v>
      </c>
      <c r="K1899" s="43" t="inlineStr">
        <is>
          <t>Open</t>
        </is>
      </c>
      <c r="L1899" s="17">
        <f>INDEX(Items!$C$2:$C$117,MATCH(B1899,Items!$A$2:$A$117,0))</f>
        <v/>
      </c>
      <c r="M1899" s="49">
        <f>INDEX(Items!$E$2:$E$117,MATCH(B1899,Items!$A$2:$A$117,0))</f>
        <v/>
      </c>
      <c r="N1899" s="17">
        <f>TEXT(D1899,"yyyy-mm")</f>
        <v/>
      </c>
      <c r="O1899" s="50">
        <f>G1899*J1899</f>
        <v/>
      </c>
      <c r="P1899" s="50">
        <f>(J1899-M1899)*G1899</f>
        <v/>
      </c>
      <c r="Q1899" s="51">
        <f>IF(K1899="Received",1,0)</f>
        <v/>
      </c>
      <c r="R1899" s="51">
        <f>IF(Q1899=1,F1899-D1899,0)</f>
        <v/>
      </c>
      <c r="S1899" s="51">
        <f>IF(Q1899=1,IF(F1899&lt;=E1899,1,0),0)</f>
        <v/>
      </c>
      <c r="T1899" s="51">
        <f>IF(Q1899=1,IF(H1899&gt;=G1899,1,0),0)</f>
        <v/>
      </c>
      <c r="U1899" s="51">
        <f>S1899*T1899</f>
        <v/>
      </c>
      <c r="V1899" s="51">
        <f>IF(Q1899=1,MAX(0,F1899-E1899),0)</f>
        <v/>
      </c>
    </row>
    <row r="1900">
      <c r="A1900" s="43" t="inlineStr">
        <is>
          <t>PO100980</t>
        </is>
      </c>
      <c r="B1900" s="43" t="inlineStr">
        <is>
          <t>CMD-0044</t>
        </is>
      </c>
      <c r="C1900" s="43" t="inlineStr">
        <is>
          <t>S05</t>
        </is>
      </c>
      <c r="D1900" s="47" t="n">
        <v>46256</v>
      </c>
      <c r="E1900" s="47" t="n">
        <v>46361</v>
      </c>
      <c r="F1900" s="47" t="n"/>
      <c r="G1900" s="46" t="n">
        <v>7211</v>
      </c>
      <c r="H1900" s="46" t="n">
        <v>0</v>
      </c>
      <c r="I1900" s="46" t="n">
        <v>0</v>
      </c>
      <c r="J1900" s="44" t="n">
        <v>11.9171</v>
      </c>
      <c r="K1900" s="43" t="inlineStr">
        <is>
          <t>Open</t>
        </is>
      </c>
      <c r="L1900" s="17">
        <f>INDEX(Items!$C$2:$C$117,MATCH(B1900,Items!$A$2:$A$117,0))</f>
        <v/>
      </c>
      <c r="M1900" s="49">
        <f>INDEX(Items!$E$2:$E$117,MATCH(B1900,Items!$A$2:$A$117,0))</f>
        <v/>
      </c>
      <c r="N1900" s="17">
        <f>TEXT(D1900,"yyyy-mm")</f>
        <v/>
      </c>
      <c r="O1900" s="50">
        <f>G1900*J1900</f>
        <v/>
      </c>
      <c r="P1900" s="50">
        <f>(J1900-M1900)*G1900</f>
        <v/>
      </c>
      <c r="Q1900" s="51">
        <f>IF(K1900="Received",1,0)</f>
        <v/>
      </c>
      <c r="R1900" s="51">
        <f>IF(Q1900=1,F1900-D1900,0)</f>
        <v/>
      </c>
      <c r="S1900" s="51">
        <f>IF(Q1900=1,IF(F1900&lt;=E1900,1,0),0)</f>
        <v/>
      </c>
      <c r="T1900" s="51">
        <f>IF(Q1900=1,IF(H1900&gt;=G1900,1,0),0)</f>
        <v/>
      </c>
      <c r="U1900" s="51">
        <f>S1900*T1900</f>
        <v/>
      </c>
      <c r="V1900" s="51">
        <f>IF(Q1900=1,MAX(0,F1900-E1900),0)</f>
        <v/>
      </c>
    </row>
    <row r="1901">
      <c r="A1901" s="43" t="inlineStr">
        <is>
          <t>PO100190</t>
        </is>
      </c>
      <c r="B1901" s="43" t="inlineStr">
        <is>
          <t>CMD-0008</t>
        </is>
      </c>
      <c r="C1901" s="43" t="inlineStr">
        <is>
          <t>S03</t>
        </is>
      </c>
      <c r="D1901" s="47" t="n">
        <v>46257</v>
      </c>
      <c r="E1901" s="47" t="n">
        <v>46390</v>
      </c>
      <c r="F1901" s="47" t="n"/>
      <c r="G1901" s="46" t="n">
        <v>1146</v>
      </c>
      <c r="H1901" s="46" t="n">
        <v>0</v>
      </c>
      <c r="I1901" s="46" t="n">
        <v>0</v>
      </c>
      <c r="J1901" s="44" t="n">
        <v>27.9188</v>
      </c>
      <c r="K1901" s="43" t="inlineStr">
        <is>
          <t>Open</t>
        </is>
      </c>
      <c r="L1901" s="17">
        <f>INDEX(Items!$C$2:$C$117,MATCH(B1901,Items!$A$2:$A$117,0))</f>
        <v/>
      </c>
      <c r="M1901" s="49">
        <f>INDEX(Items!$E$2:$E$117,MATCH(B1901,Items!$A$2:$A$117,0))</f>
        <v/>
      </c>
      <c r="N1901" s="17">
        <f>TEXT(D1901,"yyyy-mm")</f>
        <v/>
      </c>
      <c r="O1901" s="50">
        <f>G1901*J1901</f>
        <v/>
      </c>
      <c r="P1901" s="50">
        <f>(J1901-M1901)*G1901</f>
        <v/>
      </c>
      <c r="Q1901" s="51">
        <f>IF(K1901="Received",1,0)</f>
        <v/>
      </c>
      <c r="R1901" s="51">
        <f>IF(Q1901=1,F1901-D1901,0)</f>
        <v/>
      </c>
      <c r="S1901" s="51">
        <f>IF(Q1901=1,IF(F1901&lt;=E1901,1,0),0)</f>
        <v/>
      </c>
      <c r="T1901" s="51">
        <f>IF(Q1901=1,IF(H1901&gt;=G1901,1,0),0)</f>
        <v/>
      </c>
      <c r="U1901" s="51">
        <f>S1901*T1901</f>
        <v/>
      </c>
      <c r="V1901" s="51">
        <f>IF(Q1901=1,MAX(0,F1901-E1901),0)</f>
        <v/>
      </c>
    </row>
    <row r="1902">
      <c r="A1902" s="43" t="inlineStr">
        <is>
          <t>PO100046</t>
        </is>
      </c>
      <c r="B1902" s="43" t="inlineStr">
        <is>
          <t>CMD-0002</t>
        </is>
      </c>
      <c r="C1902" s="43" t="inlineStr">
        <is>
          <t>S11</t>
        </is>
      </c>
      <c r="D1902" s="47" t="n">
        <v>46257</v>
      </c>
      <c r="E1902" s="47" t="n">
        <v>46376</v>
      </c>
      <c r="F1902" s="47" t="n"/>
      <c r="G1902" s="46" t="n">
        <v>8612</v>
      </c>
      <c r="H1902" s="46" t="n">
        <v>0</v>
      </c>
      <c r="I1902" s="46" t="n">
        <v>0</v>
      </c>
      <c r="J1902" s="44" t="n">
        <v>8.083</v>
      </c>
      <c r="K1902" s="43" t="inlineStr">
        <is>
          <t>Open</t>
        </is>
      </c>
      <c r="L1902" s="17">
        <f>INDEX(Items!$C$2:$C$117,MATCH(B1902,Items!$A$2:$A$117,0))</f>
        <v/>
      </c>
      <c r="M1902" s="49">
        <f>INDEX(Items!$E$2:$E$117,MATCH(B1902,Items!$A$2:$A$117,0))</f>
        <v/>
      </c>
      <c r="N1902" s="17">
        <f>TEXT(D1902,"yyyy-mm")</f>
        <v/>
      </c>
      <c r="O1902" s="50">
        <f>G1902*J1902</f>
        <v/>
      </c>
      <c r="P1902" s="50">
        <f>(J1902-M1902)*G1902</f>
        <v/>
      </c>
      <c r="Q1902" s="51">
        <f>IF(K1902="Received",1,0)</f>
        <v/>
      </c>
      <c r="R1902" s="51">
        <f>IF(Q1902=1,F1902-D1902,0)</f>
        <v/>
      </c>
      <c r="S1902" s="51">
        <f>IF(Q1902=1,IF(F1902&lt;=E1902,1,0),0)</f>
        <v/>
      </c>
      <c r="T1902" s="51">
        <f>IF(Q1902=1,IF(H1902&gt;=G1902,1,0),0)</f>
        <v/>
      </c>
      <c r="U1902" s="51">
        <f>S1902*T1902</f>
        <v/>
      </c>
      <c r="V1902" s="51">
        <f>IF(Q1902=1,MAX(0,F1902-E1902),0)</f>
        <v/>
      </c>
    </row>
    <row r="1903">
      <c r="A1903" s="43" t="inlineStr">
        <is>
          <t>PO100888</t>
        </is>
      </c>
      <c r="B1903" s="43" t="inlineStr">
        <is>
          <t>CMD-0039</t>
        </is>
      </c>
      <c r="C1903" s="43" t="inlineStr">
        <is>
          <t>S07</t>
        </is>
      </c>
      <c r="D1903" s="47" t="n">
        <v>46257</v>
      </c>
      <c r="E1903" s="47" t="n">
        <v>46299</v>
      </c>
      <c r="F1903" s="47" t="n"/>
      <c r="G1903" s="46" t="n">
        <v>299</v>
      </c>
      <c r="H1903" s="46" t="n">
        <v>0</v>
      </c>
      <c r="I1903" s="46" t="n">
        <v>0</v>
      </c>
      <c r="J1903" s="44" t="n">
        <v>53.5497</v>
      </c>
      <c r="K1903" s="43" t="inlineStr">
        <is>
          <t>Open</t>
        </is>
      </c>
      <c r="L1903" s="17">
        <f>INDEX(Items!$C$2:$C$117,MATCH(B1903,Items!$A$2:$A$117,0))</f>
        <v/>
      </c>
      <c r="M1903" s="49">
        <f>INDEX(Items!$E$2:$E$117,MATCH(B1903,Items!$A$2:$A$117,0))</f>
        <v/>
      </c>
      <c r="N1903" s="17">
        <f>TEXT(D1903,"yyyy-mm")</f>
        <v/>
      </c>
      <c r="O1903" s="50">
        <f>G1903*J1903</f>
        <v/>
      </c>
      <c r="P1903" s="50">
        <f>(J1903-M1903)*G1903</f>
        <v/>
      </c>
      <c r="Q1903" s="51">
        <f>IF(K1903="Received",1,0)</f>
        <v/>
      </c>
      <c r="R1903" s="51">
        <f>IF(Q1903=1,F1903-D1903,0)</f>
        <v/>
      </c>
      <c r="S1903" s="51">
        <f>IF(Q1903=1,IF(F1903&lt;=E1903,1,0),0)</f>
        <v/>
      </c>
      <c r="T1903" s="51">
        <f>IF(Q1903=1,IF(H1903&gt;=G1903,1,0),0)</f>
        <v/>
      </c>
      <c r="U1903" s="51">
        <f>S1903*T1903</f>
        <v/>
      </c>
      <c r="V1903" s="51">
        <f>IF(Q1903=1,MAX(0,F1903-E1903),0)</f>
        <v/>
      </c>
    </row>
    <row r="1904">
      <c r="A1904" s="43" t="inlineStr">
        <is>
          <t>PO100662</t>
        </is>
      </c>
      <c r="B1904" s="43" t="inlineStr">
        <is>
          <t>CMD-0029</t>
        </is>
      </c>
      <c r="C1904" s="43" t="inlineStr">
        <is>
          <t>S11</t>
        </is>
      </c>
      <c r="D1904" s="47" t="n">
        <v>46257</v>
      </c>
      <c r="E1904" s="47" t="n">
        <v>46334</v>
      </c>
      <c r="F1904" s="47" t="n"/>
      <c r="G1904" s="46" t="n">
        <v>4003</v>
      </c>
      <c r="H1904" s="46" t="n">
        <v>0</v>
      </c>
      <c r="I1904" s="46" t="n">
        <v>0</v>
      </c>
      <c r="J1904" s="44" t="n">
        <v>7.0761</v>
      </c>
      <c r="K1904" s="43" t="inlineStr">
        <is>
          <t>Open</t>
        </is>
      </c>
      <c r="L1904" s="17">
        <f>INDEX(Items!$C$2:$C$117,MATCH(B1904,Items!$A$2:$A$117,0))</f>
        <v/>
      </c>
      <c r="M1904" s="49">
        <f>INDEX(Items!$E$2:$E$117,MATCH(B1904,Items!$A$2:$A$117,0))</f>
        <v/>
      </c>
      <c r="N1904" s="17">
        <f>TEXT(D1904,"yyyy-mm")</f>
        <v/>
      </c>
      <c r="O1904" s="50">
        <f>G1904*J1904</f>
        <v/>
      </c>
      <c r="P1904" s="50">
        <f>(J1904-M1904)*G1904</f>
        <v/>
      </c>
      <c r="Q1904" s="51">
        <f>IF(K1904="Received",1,0)</f>
        <v/>
      </c>
      <c r="R1904" s="51">
        <f>IF(Q1904=1,F1904-D1904,0)</f>
        <v/>
      </c>
      <c r="S1904" s="51">
        <f>IF(Q1904=1,IF(F1904&lt;=E1904,1,0),0)</f>
        <v/>
      </c>
      <c r="T1904" s="51">
        <f>IF(Q1904=1,IF(H1904&gt;=G1904,1,0),0)</f>
        <v/>
      </c>
      <c r="U1904" s="51">
        <f>S1904*T1904</f>
        <v/>
      </c>
      <c r="V1904" s="51">
        <f>IF(Q1904=1,MAX(0,F1904-E1904),0)</f>
        <v/>
      </c>
    </row>
    <row r="1905">
      <c r="A1905" s="43" t="inlineStr">
        <is>
          <t>PO101688</t>
        </is>
      </c>
      <c r="B1905" s="43" t="inlineStr">
        <is>
          <t>CMD-0092</t>
        </is>
      </c>
      <c r="C1905" s="43" t="inlineStr">
        <is>
          <t>S08</t>
        </is>
      </c>
      <c r="D1905" s="47" t="n">
        <v>46257</v>
      </c>
      <c r="E1905" s="47" t="n">
        <v>46334</v>
      </c>
      <c r="F1905" s="47" t="n"/>
      <c r="G1905" s="46" t="n">
        <v>381</v>
      </c>
      <c r="H1905" s="46" t="n">
        <v>0</v>
      </c>
      <c r="I1905" s="46" t="n">
        <v>0</v>
      </c>
      <c r="J1905" s="44" t="n">
        <v>30.3541</v>
      </c>
      <c r="K1905" s="43" t="inlineStr">
        <is>
          <t>Open</t>
        </is>
      </c>
      <c r="L1905" s="17">
        <f>INDEX(Items!$C$2:$C$117,MATCH(B1905,Items!$A$2:$A$117,0))</f>
        <v/>
      </c>
      <c r="M1905" s="49">
        <f>INDEX(Items!$E$2:$E$117,MATCH(B1905,Items!$A$2:$A$117,0))</f>
        <v/>
      </c>
      <c r="N1905" s="17">
        <f>TEXT(D1905,"yyyy-mm")</f>
        <v/>
      </c>
      <c r="O1905" s="50">
        <f>G1905*J1905</f>
        <v/>
      </c>
      <c r="P1905" s="50">
        <f>(J1905-M1905)*G1905</f>
        <v/>
      </c>
      <c r="Q1905" s="51">
        <f>IF(K1905="Received",1,0)</f>
        <v/>
      </c>
      <c r="R1905" s="51">
        <f>IF(Q1905=1,F1905-D1905,0)</f>
        <v/>
      </c>
      <c r="S1905" s="51">
        <f>IF(Q1905=1,IF(F1905&lt;=E1905,1,0),0)</f>
        <v/>
      </c>
      <c r="T1905" s="51">
        <f>IF(Q1905=1,IF(H1905&gt;=G1905,1,0),0)</f>
        <v/>
      </c>
      <c r="U1905" s="51">
        <f>S1905*T1905</f>
        <v/>
      </c>
      <c r="V1905" s="51">
        <f>IF(Q1905=1,MAX(0,F1905-E1905),0)</f>
        <v/>
      </c>
    </row>
    <row r="1906">
      <c r="A1906" s="43" t="inlineStr">
        <is>
          <t>PO100238</t>
        </is>
      </c>
      <c r="B1906" s="43" t="inlineStr">
        <is>
          <t>CMD-0010</t>
        </is>
      </c>
      <c r="C1906" s="43" t="inlineStr">
        <is>
          <t>S03</t>
        </is>
      </c>
      <c r="D1906" s="47" t="n">
        <v>46257</v>
      </c>
      <c r="E1906" s="47" t="n">
        <v>46390</v>
      </c>
      <c r="F1906" s="47" t="n"/>
      <c r="G1906" s="46" t="n">
        <v>4605</v>
      </c>
      <c r="H1906" s="46" t="n">
        <v>0</v>
      </c>
      <c r="I1906" s="46" t="n">
        <v>0</v>
      </c>
      <c r="J1906" s="44" t="n">
        <v>5.4634</v>
      </c>
      <c r="K1906" s="43" t="inlineStr">
        <is>
          <t>Open</t>
        </is>
      </c>
      <c r="L1906" s="17">
        <f>INDEX(Items!$C$2:$C$117,MATCH(B1906,Items!$A$2:$A$117,0))</f>
        <v/>
      </c>
      <c r="M1906" s="49">
        <f>INDEX(Items!$E$2:$E$117,MATCH(B1906,Items!$A$2:$A$117,0))</f>
        <v/>
      </c>
      <c r="N1906" s="17">
        <f>TEXT(D1906,"yyyy-mm")</f>
        <v/>
      </c>
      <c r="O1906" s="50">
        <f>G1906*J1906</f>
        <v/>
      </c>
      <c r="P1906" s="50">
        <f>(J1906-M1906)*G1906</f>
        <v/>
      </c>
      <c r="Q1906" s="51">
        <f>IF(K1906="Received",1,0)</f>
        <v/>
      </c>
      <c r="R1906" s="51">
        <f>IF(Q1906=1,F1906-D1906,0)</f>
        <v/>
      </c>
      <c r="S1906" s="51">
        <f>IF(Q1906=1,IF(F1906&lt;=E1906,1,0),0)</f>
        <v/>
      </c>
      <c r="T1906" s="51">
        <f>IF(Q1906=1,IF(H1906&gt;=G1906,1,0),0)</f>
        <v/>
      </c>
      <c r="U1906" s="51">
        <f>S1906*T1906</f>
        <v/>
      </c>
      <c r="V1906" s="51">
        <f>IF(Q1906=1,MAX(0,F1906-E1906),0)</f>
        <v/>
      </c>
    </row>
    <row r="1907">
      <c r="A1907" s="43" t="inlineStr">
        <is>
          <t>PO101526</t>
        </is>
      </c>
      <c r="B1907" s="43" t="inlineStr">
        <is>
          <t>CMD-0080</t>
        </is>
      </c>
      <c r="C1907" s="43" t="inlineStr">
        <is>
          <t>S06</t>
        </is>
      </c>
      <c r="D1907" s="47" t="n">
        <v>46257</v>
      </c>
      <c r="E1907" s="47" t="n">
        <v>46278</v>
      </c>
      <c r="F1907" s="47" t="n">
        <v>46277</v>
      </c>
      <c r="G1907" s="46" t="n">
        <v>4621</v>
      </c>
      <c r="H1907" s="46" t="n">
        <v>4621</v>
      </c>
      <c r="I1907" s="46" t="n">
        <v>25</v>
      </c>
      <c r="J1907" s="44" t="n">
        <v>5.6959</v>
      </c>
      <c r="K1907" s="43" t="inlineStr">
        <is>
          <t>Received</t>
        </is>
      </c>
      <c r="L1907" s="17">
        <f>INDEX(Items!$C$2:$C$117,MATCH(B1907,Items!$A$2:$A$117,0))</f>
        <v/>
      </c>
      <c r="M1907" s="49">
        <f>INDEX(Items!$E$2:$E$117,MATCH(B1907,Items!$A$2:$A$117,0))</f>
        <v/>
      </c>
      <c r="N1907" s="17">
        <f>TEXT(D1907,"yyyy-mm")</f>
        <v/>
      </c>
      <c r="O1907" s="50">
        <f>G1907*J1907</f>
        <v/>
      </c>
      <c r="P1907" s="50">
        <f>(J1907-M1907)*G1907</f>
        <v/>
      </c>
      <c r="Q1907" s="51">
        <f>IF(K1907="Received",1,0)</f>
        <v/>
      </c>
      <c r="R1907" s="51">
        <f>IF(Q1907=1,F1907-D1907,0)</f>
        <v/>
      </c>
      <c r="S1907" s="51">
        <f>IF(Q1907=1,IF(F1907&lt;=E1907,1,0),0)</f>
        <v/>
      </c>
      <c r="T1907" s="51">
        <f>IF(Q1907=1,IF(H1907&gt;=G1907,1,0),0)</f>
        <v/>
      </c>
      <c r="U1907" s="51">
        <f>S1907*T1907</f>
        <v/>
      </c>
      <c r="V1907" s="51">
        <f>IF(Q1907=1,MAX(0,F1907-E1907),0)</f>
        <v/>
      </c>
    </row>
    <row r="1908">
      <c r="A1908" s="43" t="inlineStr">
        <is>
          <t>PO101736</t>
        </is>
      </c>
      <c r="B1908" s="43" t="inlineStr">
        <is>
          <t>CMD-0094</t>
        </is>
      </c>
      <c r="C1908" s="43" t="inlineStr">
        <is>
          <t>S08</t>
        </is>
      </c>
      <c r="D1908" s="47" t="n">
        <v>46257</v>
      </c>
      <c r="E1908" s="47" t="n">
        <v>46334</v>
      </c>
      <c r="F1908" s="47" t="n"/>
      <c r="G1908" s="46" t="n">
        <v>435</v>
      </c>
      <c r="H1908" s="46" t="n">
        <v>0</v>
      </c>
      <c r="I1908" s="46" t="n">
        <v>0</v>
      </c>
      <c r="J1908" s="44" t="n">
        <v>76.31270000000001</v>
      </c>
      <c r="K1908" s="43" t="inlineStr">
        <is>
          <t>Open</t>
        </is>
      </c>
      <c r="L1908" s="17">
        <f>INDEX(Items!$C$2:$C$117,MATCH(B1908,Items!$A$2:$A$117,0))</f>
        <v/>
      </c>
      <c r="M1908" s="49">
        <f>INDEX(Items!$E$2:$E$117,MATCH(B1908,Items!$A$2:$A$117,0))</f>
        <v/>
      </c>
      <c r="N1908" s="17">
        <f>TEXT(D1908,"yyyy-mm")</f>
        <v/>
      </c>
      <c r="O1908" s="50">
        <f>G1908*J1908</f>
        <v/>
      </c>
      <c r="P1908" s="50">
        <f>(J1908-M1908)*G1908</f>
        <v/>
      </c>
      <c r="Q1908" s="51">
        <f>IF(K1908="Received",1,0)</f>
        <v/>
      </c>
      <c r="R1908" s="51">
        <f>IF(Q1908=1,F1908-D1908,0)</f>
        <v/>
      </c>
      <c r="S1908" s="51">
        <f>IF(Q1908=1,IF(F1908&lt;=E1908,1,0),0)</f>
        <v/>
      </c>
      <c r="T1908" s="51">
        <f>IF(Q1908=1,IF(H1908&gt;=G1908,1,0),0)</f>
        <v/>
      </c>
      <c r="U1908" s="51">
        <f>S1908*T1908</f>
        <v/>
      </c>
      <c r="V1908" s="51">
        <f>IF(Q1908=1,MAX(0,F1908-E1908),0)</f>
        <v/>
      </c>
    </row>
    <row r="1909">
      <c r="A1909" s="43" t="inlineStr">
        <is>
          <t>PO100452</t>
        </is>
      </c>
      <c r="B1909" s="43" t="inlineStr">
        <is>
          <t>CMD-0020</t>
        </is>
      </c>
      <c r="C1909" s="43" t="inlineStr">
        <is>
          <t>S04</t>
        </is>
      </c>
      <c r="D1909" s="47" t="n">
        <v>46257</v>
      </c>
      <c r="E1909" s="47" t="n">
        <v>46327</v>
      </c>
      <c r="F1909" s="47" t="n"/>
      <c r="G1909" s="46" t="n">
        <v>4144</v>
      </c>
      <c r="H1909" s="46" t="n">
        <v>0</v>
      </c>
      <c r="I1909" s="46" t="n">
        <v>0</v>
      </c>
      <c r="J1909" s="44" t="n">
        <v>5.1809</v>
      </c>
      <c r="K1909" s="43" t="inlineStr">
        <is>
          <t>Open</t>
        </is>
      </c>
      <c r="L1909" s="17">
        <f>INDEX(Items!$C$2:$C$117,MATCH(B1909,Items!$A$2:$A$117,0))</f>
        <v/>
      </c>
      <c r="M1909" s="49">
        <f>INDEX(Items!$E$2:$E$117,MATCH(B1909,Items!$A$2:$A$117,0))</f>
        <v/>
      </c>
      <c r="N1909" s="17">
        <f>TEXT(D1909,"yyyy-mm")</f>
        <v/>
      </c>
      <c r="O1909" s="50">
        <f>G1909*J1909</f>
        <v/>
      </c>
      <c r="P1909" s="50">
        <f>(J1909-M1909)*G1909</f>
        <v/>
      </c>
      <c r="Q1909" s="51">
        <f>IF(K1909="Received",1,0)</f>
        <v/>
      </c>
      <c r="R1909" s="51">
        <f>IF(Q1909=1,F1909-D1909,0)</f>
        <v/>
      </c>
      <c r="S1909" s="51">
        <f>IF(Q1909=1,IF(F1909&lt;=E1909,1,0),0)</f>
        <v/>
      </c>
      <c r="T1909" s="51">
        <f>IF(Q1909=1,IF(H1909&gt;=G1909,1,0),0)</f>
        <v/>
      </c>
      <c r="U1909" s="51">
        <f>S1909*T1909</f>
        <v/>
      </c>
      <c r="V1909" s="51">
        <f>IF(Q1909=1,MAX(0,F1909-E1909),0)</f>
        <v/>
      </c>
    </row>
    <row r="1910">
      <c r="A1910" s="43" t="inlineStr">
        <is>
          <t>PO101219</t>
        </is>
      </c>
      <c r="B1910" s="43" t="inlineStr">
        <is>
          <t>CMD-0056</t>
        </is>
      </c>
      <c r="C1910" s="43" t="inlineStr">
        <is>
          <t>S04</t>
        </is>
      </c>
      <c r="D1910" s="47" t="n">
        <v>46281</v>
      </c>
      <c r="E1910" s="47" t="n">
        <v>46316</v>
      </c>
      <c r="F1910" s="47" t="n"/>
      <c r="G1910" s="46" t="n">
        <v>53006</v>
      </c>
      <c r="H1910" s="46" t="n">
        <v>0</v>
      </c>
      <c r="I1910" s="46" t="n">
        <v>0</v>
      </c>
      <c r="J1910" s="44" t="n">
        <v>0.1045</v>
      </c>
      <c r="K1910" s="43" t="inlineStr">
        <is>
          <t>Open</t>
        </is>
      </c>
      <c r="L1910" s="17">
        <f>INDEX(Items!$C$2:$C$117,MATCH(B1910,Items!$A$2:$A$117,0))</f>
        <v/>
      </c>
      <c r="M1910" s="49">
        <f>INDEX(Items!$E$2:$E$117,MATCH(B1910,Items!$A$2:$A$117,0))</f>
        <v/>
      </c>
      <c r="N1910" s="17">
        <f>TEXT(D1910,"yyyy-mm")</f>
        <v/>
      </c>
      <c r="O1910" s="50">
        <f>G1910*J1910</f>
        <v/>
      </c>
      <c r="P1910" s="50">
        <f>(J1910-M1910)*G1910</f>
        <v/>
      </c>
      <c r="Q1910" s="51">
        <f>IF(K1910="Received",1,0)</f>
        <v/>
      </c>
      <c r="R1910" s="51">
        <f>IF(Q1910=1,F1910-D1910,0)</f>
        <v/>
      </c>
      <c r="S1910" s="51">
        <f>IF(Q1910=1,IF(F1910&lt;=E1910,1,0),0)</f>
        <v/>
      </c>
      <c r="T1910" s="51">
        <f>IF(Q1910=1,IF(H1910&gt;=G1910,1,0),0)</f>
        <v/>
      </c>
      <c r="U1910" s="51">
        <f>S1910*T1910</f>
        <v/>
      </c>
      <c r="V1910" s="51">
        <f>IF(Q1910=1,MAX(0,F1910-E1910),0)</f>
        <v/>
      </c>
    </row>
    <row r="1911">
      <c r="A1911" s="43" t="inlineStr">
        <is>
          <t>PO101265</t>
        </is>
      </c>
      <c r="B1911" s="43" t="inlineStr">
        <is>
          <t>CMD-0059</t>
        </is>
      </c>
      <c r="C1911" s="43" t="inlineStr">
        <is>
          <t>S01</t>
        </is>
      </c>
      <c r="D1911" s="47" t="n">
        <v>46281</v>
      </c>
      <c r="E1911" s="47" t="n">
        <v>46302</v>
      </c>
      <c r="F1911" s="47" t="n"/>
      <c r="G1911" s="46" t="n">
        <v>223305</v>
      </c>
      <c r="H1911" s="46" t="n">
        <v>0</v>
      </c>
      <c r="I1911" s="46" t="n">
        <v>0</v>
      </c>
      <c r="J1911" s="44" t="n">
        <v>0.0289</v>
      </c>
      <c r="K1911" s="43" t="inlineStr">
        <is>
          <t>Open</t>
        </is>
      </c>
      <c r="L1911" s="17">
        <f>INDEX(Items!$C$2:$C$117,MATCH(B1911,Items!$A$2:$A$117,0))</f>
        <v/>
      </c>
      <c r="M1911" s="49">
        <f>INDEX(Items!$E$2:$E$117,MATCH(B1911,Items!$A$2:$A$117,0))</f>
        <v/>
      </c>
      <c r="N1911" s="17">
        <f>TEXT(D1911,"yyyy-mm")</f>
        <v/>
      </c>
      <c r="O1911" s="50">
        <f>G1911*J1911</f>
        <v/>
      </c>
      <c r="P1911" s="50">
        <f>(J1911-M1911)*G1911</f>
        <v/>
      </c>
      <c r="Q1911" s="51">
        <f>IF(K1911="Received",1,0)</f>
        <v/>
      </c>
      <c r="R1911" s="51">
        <f>IF(Q1911=1,F1911-D1911,0)</f>
        <v/>
      </c>
      <c r="S1911" s="51">
        <f>IF(Q1911=1,IF(F1911&lt;=E1911,1,0),0)</f>
        <v/>
      </c>
      <c r="T1911" s="51">
        <f>IF(Q1911=1,IF(H1911&gt;=G1911,1,0),0)</f>
        <v/>
      </c>
      <c r="U1911" s="51">
        <f>S1911*T1911</f>
        <v/>
      </c>
      <c r="V1911" s="51">
        <f>IF(Q1911=1,MAX(0,F1911-E1911),0)</f>
        <v/>
      </c>
    </row>
    <row r="1912">
      <c r="A1912" s="43" t="inlineStr">
        <is>
          <t>PO101271</t>
        </is>
      </c>
      <c r="B1912" s="43" t="inlineStr">
        <is>
          <t>CMD-0060</t>
        </is>
      </c>
      <c r="C1912" s="43" t="inlineStr">
        <is>
          <t>S04</t>
        </is>
      </c>
      <c r="D1912" s="47" t="n">
        <v>46281</v>
      </c>
      <c r="E1912" s="47" t="n">
        <v>46316</v>
      </c>
      <c r="F1912" s="47" t="n"/>
      <c r="G1912" s="46" t="n">
        <v>431685</v>
      </c>
      <c r="H1912" s="46" t="n">
        <v>0</v>
      </c>
      <c r="I1912" s="46" t="n">
        <v>0</v>
      </c>
      <c r="J1912" s="44" t="n">
        <v>0.014</v>
      </c>
      <c r="K1912" s="43" t="inlineStr">
        <is>
          <t>Open</t>
        </is>
      </c>
      <c r="L1912" s="17">
        <f>INDEX(Items!$C$2:$C$117,MATCH(B1912,Items!$A$2:$A$117,0))</f>
        <v/>
      </c>
      <c r="M1912" s="49">
        <f>INDEX(Items!$E$2:$E$117,MATCH(B1912,Items!$A$2:$A$117,0))</f>
        <v/>
      </c>
      <c r="N1912" s="17">
        <f>TEXT(D1912,"yyyy-mm")</f>
        <v/>
      </c>
      <c r="O1912" s="50">
        <f>G1912*J1912</f>
        <v/>
      </c>
      <c r="P1912" s="50">
        <f>(J1912-M1912)*G1912</f>
        <v/>
      </c>
      <c r="Q1912" s="51">
        <f>IF(K1912="Received",1,0)</f>
        <v/>
      </c>
      <c r="R1912" s="51">
        <f>IF(Q1912=1,F1912-D1912,0)</f>
        <v/>
      </c>
      <c r="S1912" s="51">
        <f>IF(Q1912=1,IF(F1912&lt;=E1912,1,0),0)</f>
        <v/>
      </c>
      <c r="T1912" s="51">
        <f>IF(Q1912=1,IF(H1912&gt;=G1912,1,0),0)</f>
        <v/>
      </c>
      <c r="U1912" s="51">
        <f>S1912*T1912</f>
        <v/>
      </c>
      <c r="V1912" s="51">
        <f>IF(Q1912=1,MAX(0,F1912-E1912),0)</f>
        <v/>
      </c>
    </row>
    <row r="1913">
      <c r="A1913" s="43" t="inlineStr">
        <is>
          <t>PO100023</t>
        </is>
      </c>
      <c r="B1913" s="43" t="inlineStr">
        <is>
          <t>CMD-0001</t>
        </is>
      </c>
      <c r="C1913" s="43" t="inlineStr">
        <is>
          <t>S07</t>
        </is>
      </c>
      <c r="D1913" s="47" t="n">
        <v>46281</v>
      </c>
      <c r="E1913" s="47" t="n">
        <v>46372</v>
      </c>
      <c r="F1913" s="47" t="n"/>
      <c r="G1913" s="46" t="n">
        <v>8681</v>
      </c>
      <c r="H1913" s="46" t="n">
        <v>0</v>
      </c>
      <c r="I1913" s="46" t="n">
        <v>0</v>
      </c>
      <c r="J1913" s="44" t="n">
        <v>16.8268</v>
      </c>
      <c r="K1913" s="43" t="inlineStr">
        <is>
          <t>Open</t>
        </is>
      </c>
      <c r="L1913" s="17">
        <f>INDEX(Items!$C$2:$C$117,MATCH(B1913,Items!$A$2:$A$117,0))</f>
        <v/>
      </c>
      <c r="M1913" s="49">
        <f>INDEX(Items!$E$2:$E$117,MATCH(B1913,Items!$A$2:$A$117,0))</f>
        <v/>
      </c>
      <c r="N1913" s="17">
        <f>TEXT(D1913,"yyyy-mm")</f>
        <v/>
      </c>
      <c r="O1913" s="50">
        <f>G1913*J1913</f>
        <v/>
      </c>
      <c r="P1913" s="50">
        <f>(J1913-M1913)*G1913</f>
        <v/>
      </c>
      <c r="Q1913" s="51">
        <f>IF(K1913="Received",1,0)</f>
        <v/>
      </c>
      <c r="R1913" s="51">
        <f>IF(Q1913=1,F1913-D1913,0)</f>
        <v/>
      </c>
      <c r="S1913" s="51">
        <f>IF(Q1913=1,IF(F1913&lt;=E1913,1,0),0)</f>
        <v/>
      </c>
      <c r="T1913" s="51">
        <f>IF(Q1913=1,IF(H1913&gt;=G1913,1,0),0)</f>
        <v/>
      </c>
      <c r="U1913" s="51">
        <f>S1913*T1913</f>
        <v/>
      </c>
      <c r="V1913" s="51">
        <f>IF(Q1913=1,MAX(0,F1913-E1913),0)</f>
        <v/>
      </c>
    </row>
    <row r="1914">
      <c r="A1914" s="43" t="inlineStr">
        <is>
          <t>PO100591</t>
        </is>
      </c>
      <c r="B1914" s="43" t="inlineStr">
        <is>
          <t>CMD-0026</t>
        </is>
      </c>
      <c r="C1914" s="43" t="inlineStr">
        <is>
          <t>S04</t>
        </is>
      </c>
      <c r="D1914" s="47" t="n">
        <v>46281</v>
      </c>
      <c r="E1914" s="47" t="n">
        <v>46351</v>
      </c>
      <c r="F1914" s="47" t="n"/>
      <c r="G1914" s="46" t="n">
        <v>8158</v>
      </c>
      <c r="H1914" s="46" t="n">
        <v>0</v>
      </c>
      <c r="I1914" s="46" t="n">
        <v>0</v>
      </c>
      <c r="J1914" s="44" t="n">
        <v>6.1388</v>
      </c>
      <c r="K1914" s="43" t="inlineStr">
        <is>
          <t>Open</t>
        </is>
      </c>
      <c r="L1914" s="17">
        <f>INDEX(Items!$C$2:$C$117,MATCH(B1914,Items!$A$2:$A$117,0))</f>
        <v/>
      </c>
      <c r="M1914" s="49">
        <f>INDEX(Items!$E$2:$E$117,MATCH(B1914,Items!$A$2:$A$117,0))</f>
        <v/>
      </c>
      <c r="N1914" s="17">
        <f>TEXT(D1914,"yyyy-mm")</f>
        <v/>
      </c>
      <c r="O1914" s="50">
        <f>G1914*J1914</f>
        <v/>
      </c>
      <c r="P1914" s="50">
        <f>(J1914-M1914)*G1914</f>
        <v/>
      </c>
      <c r="Q1914" s="51">
        <f>IF(K1914="Received",1,0)</f>
        <v/>
      </c>
      <c r="R1914" s="51">
        <f>IF(Q1914=1,F1914-D1914,0)</f>
        <v/>
      </c>
      <c r="S1914" s="51">
        <f>IF(Q1914=1,IF(F1914&lt;=E1914,1,0),0)</f>
        <v/>
      </c>
      <c r="T1914" s="51">
        <f>IF(Q1914=1,IF(H1914&gt;=G1914,1,0),0)</f>
        <v/>
      </c>
      <c r="U1914" s="51">
        <f>S1914*T1914</f>
        <v/>
      </c>
      <c r="V1914" s="51">
        <f>IF(Q1914=1,MAX(0,F1914-E1914),0)</f>
        <v/>
      </c>
    </row>
    <row r="1915">
      <c r="A1915" s="43" t="inlineStr">
        <is>
          <t>PO100263</t>
        </is>
      </c>
      <c r="B1915" s="43" t="inlineStr">
        <is>
          <t>CMD-0011</t>
        </is>
      </c>
      <c r="C1915" s="43" t="inlineStr">
        <is>
          <t>S07</t>
        </is>
      </c>
      <c r="D1915" s="47" t="n">
        <v>46281</v>
      </c>
      <c r="E1915" s="47" t="n">
        <v>46372</v>
      </c>
      <c r="F1915" s="47" t="n"/>
      <c r="G1915" s="46" t="n">
        <v>2906</v>
      </c>
      <c r="H1915" s="46" t="n">
        <v>0</v>
      </c>
      <c r="I1915" s="46" t="n">
        <v>0</v>
      </c>
      <c r="J1915" s="44" t="n">
        <v>9.5344</v>
      </c>
      <c r="K1915" s="43" t="inlineStr">
        <is>
          <t>Open</t>
        </is>
      </c>
      <c r="L1915" s="17">
        <f>INDEX(Items!$C$2:$C$117,MATCH(B1915,Items!$A$2:$A$117,0))</f>
        <v/>
      </c>
      <c r="M1915" s="49">
        <f>INDEX(Items!$E$2:$E$117,MATCH(B1915,Items!$A$2:$A$117,0))</f>
        <v/>
      </c>
      <c r="N1915" s="17">
        <f>TEXT(D1915,"yyyy-mm")</f>
        <v/>
      </c>
      <c r="O1915" s="50">
        <f>G1915*J1915</f>
        <v/>
      </c>
      <c r="P1915" s="50">
        <f>(J1915-M1915)*G1915</f>
        <v/>
      </c>
      <c r="Q1915" s="51">
        <f>IF(K1915="Received",1,0)</f>
        <v/>
      </c>
      <c r="R1915" s="51">
        <f>IF(Q1915=1,F1915-D1915,0)</f>
        <v/>
      </c>
      <c r="S1915" s="51">
        <f>IF(Q1915=1,IF(F1915&lt;=E1915,1,0),0)</f>
        <v/>
      </c>
      <c r="T1915" s="51">
        <f>IF(Q1915=1,IF(H1915&gt;=G1915,1,0),0)</f>
        <v/>
      </c>
      <c r="U1915" s="51">
        <f>S1915*T1915</f>
        <v/>
      </c>
      <c r="V1915" s="51">
        <f>IF(Q1915=1,MAX(0,F1915-E1915),0)</f>
        <v/>
      </c>
    </row>
    <row r="1916">
      <c r="A1916" s="43" t="inlineStr">
        <is>
          <t>PO102023</t>
        </is>
      </c>
      <c r="B1916" s="43" t="inlineStr">
        <is>
          <t>CMD-0116</t>
        </is>
      </c>
      <c r="C1916" s="43" t="inlineStr">
        <is>
          <t>S12</t>
        </is>
      </c>
      <c r="D1916" s="47" t="n">
        <v>46281</v>
      </c>
      <c r="E1916" s="47" t="n">
        <v>46288</v>
      </c>
      <c r="F1916" s="47" t="n">
        <v>46285</v>
      </c>
      <c r="G1916" s="46" t="n">
        <v>17662</v>
      </c>
      <c r="H1916" s="46" t="n">
        <v>17662</v>
      </c>
      <c r="I1916" s="46" t="n">
        <v>15</v>
      </c>
      <c r="J1916" s="44" t="n">
        <v>0.3753</v>
      </c>
      <c r="K1916" s="43" t="inlineStr">
        <is>
          <t>Received</t>
        </is>
      </c>
      <c r="L1916" s="17">
        <f>INDEX(Items!$C$2:$C$117,MATCH(B1916,Items!$A$2:$A$117,0))</f>
        <v/>
      </c>
      <c r="M1916" s="49">
        <f>INDEX(Items!$E$2:$E$117,MATCH(B1916,Items!$A$2:$A$117,0))</f>
        <v/>
      </c>
      <c r="N1916" s="17">
        <f>TEXT(D1916,"yyyy-mm")</f>
        <v/>
      </c>
      <c r="O1916" s="50">
        <f>G1916*J1916</f>
        <v/>
      </c>
      <c r="P1916" s="50">
        <f>(J1916-M1916)*G1916</f>
        <v/>
      </c>
      <c r="Q1916" s="51">
        <f>IF(K1916="Received",1,0)</f>
        <v/>
      </c>
      <c r="R1916" s="51">
        <f>IF(Q1916=1,F1916-D1916,0)</f>
        <v/>
      </c>
      <c r="S1916" s="51">
        <f>IF(Q1916=1,IF(F1916&lt;=E1916,1,0),0)</f>
        <v/>
      </c>
      <c r="T1916" s="51">
        <f>IF(Q1916=1,IF(H1916&gt;=G1916,1,0),0)</f>
        <v/>
      </c>
      <c r="U1916" s="51">
        <f>S1916*T1916</f>
        <v/>
      </c>
      <c r="V1916" s="51">
        <f>IF(Q1916=1,MAX(0,F1916-E1916),0)</f>
        <v/>
      </c>
    </row>
    <row r="1917">
      <c r="A1917" s="43" t="inlineStr">
        <is>
          <t>PO100769</t>
        </is>
      </c>
      <c r="B1917" s="43" t="inlineStr">
        <is>
          <t>CMD-0034</t>
        </is>
      </c>
      <c r="C1917" s="43" t="inlineStr">
        <is>
          <t>S04</t>
        </is>
      </c>
      <c r="D1917" s="47" t="n">
        <v>46281</v>
      </c>
      <c r="E1917" s="47" t="n">
        <v>46323</v>
      </c>
      <c r="F1917" s="47" t="n"/>
      <c r="G1917" s="46" t="n">
        <v>601</v>
      </c>
      <c r="H1917" s="46" t="n">
        <v>0</v>
      </c>
      <c r="I1917" s="46" t="n">
        <v>0</v>
      </c>
      <c r="J1917" s="44" t="n">
        <v>10.8665</v>
      </c>
      <c r="K1917" s="43" t="inlineStr">
        <is>
          <t>Open</t>
        </is>
      </c>
      <c r="L1917" s="17">
        <f>INDEX(Items!$C$2:$C$117,MATCH(B1917,Items!$A$2:$A$117,0))</f>
        <v/>
      </c>
      <c r="M1917" s="49">
        <f>INDEX(Items!$E$2:$E$117,MATCH(B1917,Items!$A$2:$A$117,0))</f>
        <v/>
      </c>
      <c r="N1917" s="17">
        <f>TEXT(D1917,"yyyy-mm")</f>
        <v/>
      </c>
      <c r="O1917" s="50">
        <f>G1917*J1917</f>
        <v/>
      </c>
      <c r="P1917" s="50">
        <f>(J1917-M1917)*G1917</f>
        <v/>
      </c>
      <c r="Q1917" s="51">
        <f>IF(K1917="Received",1,0)</f>
        <v/>
      </c>
      <c r="R1917" s="51">
        <f>IF(Q1917=1,F1917-D1917,0)</f>
        <v/>
      </c>
      <c r="S1917" s="51">
        <f>IF(Q1917=1,IF(F1917&lt;=E1917,1,0),0)</f>
        <v/>
      </c>
      <c r="T1917" s="51">
        <f>IF(Q1917=1,IF(H1917&gt;=G1917,1,0),0)</f>
        <v/>
      </c>
      <c r="U1917" s="51">
        <f>S1917*T1917</f>
        <v/>
      </c>
      <c r="V1917" s="51">
        <f>IF(Q1917=1,MAX(0,F1917-E1917),0)</f>
        <v/>
      </c>
    </row>
    <row r="1918">
      <c r="A1918" s="43" t="inlineStr">
        <is>
          <t>PO101737</t>
        </is>
      </c>
      <c r="B1918" s="43" t="inlineStr">
        <is>
          <t>CMD-0094</t>
        </is>
      </c>
      <c r="C1918" s="43" t="inlineStr">
        <is>
          <t>S08</t>
        </is>
      </c>
      <c r="D1918" s="47" t="n">
        <v>46281</v>
      </c>
      <c r="E1918" s="47" t="n">
        <v>46358</v>
      </c>
      <c r="F1918" s="47" t="n"/>
      <c r="G1918" s="46" t="n">
        <v>449</v>
      </c>
      <c r="H1918" s="46" t="n">
        <v>0</v>
      </c>
      <c r="I1918" s="46" t="n">
        <v>0</v>
      </c>
      <c r="J1918" s="44" t="n">
        <v>76.31270000000001</v>
      </c>
      <c r="K1918" s="43" t="inlineStr">
        <is>
          <t>Open</t>
        </is>
      </c>
      <c r="L1918" s="17">
        <f>INDEX(Items!$C$2:$C$117,MATCH(B1918,Items!$A$2:$A$117,0))</f>
        <v/>
      </c>
      <c r="M1918" s="49">
        <f>INDEX(Items!$E$2:$E$117,MATCH(B1918,Items!$A$2:$A$117,0))</f>
        <v/>
      </c>
      <c r="N1918" s="17">
        <f>TEXT(D1918,"yyyy-mm")</f>
        <v/>
      </c>
      <c r="O1918" s="50">
        <f>G1918*J1918</f>
        <v/>
      </c>
      <c r="P1918" s="50">
        <f>(J1918-M1918)*G1918</f>
        <v/>
      </c>
      <c r="Q1918" s="51">
        <f>IF(K1918="Received",1,0)</f>
        <v/>
      </c>
      <c r="R1918" s="51">
        <f>IF(Q1918=1,F1918-D1918,0)</f>
        <v/>
      </c>
      <c r="S1918" s="51">
        <f>IF(Q1918=1,IF(F1918&lt;=E1918,1,0),0)</f>
        <v/>
      </c>
      <c r="T1918" s="51">
        <f>IF(Q1918=1,IF(H1918&gt;=G1918,1,0),0)</f>
        <v/>
      </c>
      <c r="U1918" s="51">
        <f>S1918*T1918</f>
        <v/>
      </c>
      <c r="V1918" s="51">
        <f>IF(Q1918=1,MAX(0,F1918-E1918),0)</f>
        <v/>
      </c>
    </row>
    <row r="1919">
      <c r="A1919" s="43" t="inlineStr">
        <is>
          <t>PO101395</t>
        </is>
      </c>
      <c r="B1919" s="43" t="inlineStr">
        <is>
          <t>CMD-0073</t>
        </is>
      </c>
      <c r="C1919" s="43" t="inlineStr">
        <is>
          <t>S04</t>
        </is>
      </c>
      <c r="D1919" s="47" t="n">
        <v>46281</v>
      </c>
      <c r="E1919" s="47" t="n">
        <v>46316</v>
      </c>
      <c r="F1919" s="47" t="n"/>
      <c r="G1919" s="46" t="n">
        <v>453903</v>
      </c>
      <c r="H1919" s="46" t="n">
        <v>0</v>
      </c>
      <c r="I1919" s="46" t="n">
        <v>0</v>
      </c>
      <c r="J1919" s="44" t="n">
        <v>0.015</v>
      </c>
      <c r="K1919" s="43" t="inlineStr">
        <is>
          <t>Open</t>
        </is>
      </c>
      <c r="L1919" s="17">
        <f>INDEX(Items!$C$2:$C$117,MATCH(B1919,Items!$A$2:$A$117,0))</f>
        <v/>
      </c>
      <c r="M1919" s="49">
        <f>INDEX(Items!$E$2:$E$117,MATCH(B1919,Items!$A$2:$A$117,0))</f>
        <v/>
      </c>
      <c r="N1919" s="17">
        <f>TEXT(D1919,"yyyy-mm")</f>
        <v/>
      </c>
      <c r="O1919" s="50">
        <f>G1919*J1919</f>
        <v/>
      </c>
      <c r="P1919" s="50">
        <f>(J1919-M1919)*G1919</f>
        <v/>
      </c>
      <c r="Q1919" s="51">
        <f>IF(K1919="Received",1,0)</f>
        <v/>
      </c>
      <c r="R1919" s="51">
        <f>IF(Q1919=1,F1919-D1919,0)</f>
        <v/>
      </c>
      <c r="S1919" s="51">
        <f>IF(Q1919=1,IF(F1919&lt;=E1919,1,0),0)</f>
        <v/>
      </c>
      <c r="T1919" s="51">
        <f>IF(Q1919=1,IF(H1919&gt;=G1919,1,0),0)</f>
        <v/>
      </c>
      <c r="U1919" s="51">
        <f>S1919*T1919</f>
        <v/>
      </c>
      <c r="V1919" s="51">
        <f>IF(Q1919=1,MAX(0,F1919-E1919),0)</f>
        <v/>
      </c>
    </row>
    <row r="1920">
      <c r="A1920" s="43" t="inlineStr">
        <is>
          <t>PO101391</t>
        </is>
      </c>
      <c r="B1920" s="43" t="inlineStr">
        <is>
          <t>CMD-0072</t>
        </is>
      </c>
      <c r="C1920" s="43" t="inlineStr">
        <is>
          <t>S01</t>
        </is>
      </c>
      <c r="D1920" s="47" t="n">
        <v>46281</v>
      </c>
      <c r="E1920" s="47" t="n">
        <v>46302</v>
      </c>
      <c r="F1920" s="47" t="n"/>
      <c r="G1920" s="46" t="n">
        <v>78504</v>
      </c>
      <c r="H1920" s="46" t="n">
        <v>0</v>
      </c>
      <c r="I1920" s="46" t="n">
        <v>0</v>
      </c>
      <c r="J1920" s="44" t="n">
        <v>0.0958</v>
      </c>
      <c r="K1920" s="43" t="inlineStr">
        <is>
          <t>Open</t>
        </is>
      </c>
      <c r="L1920" s="17">
        <f>INDEX(Items!$C$2:$C$117,MATCH(B1920,Items!$A$2:$A$117,0))</f>
        <v/>
      </c>
      <c r="M1920" s="49">
        <f>INDEX(Items!$E$2:$E$117,MATCH(B1920,Items!$A$2:$A$117,0))</f>
        <v/>
      </c>
      <c r="N1920" s="17">
        <f>TEXT(D1920,"yyyy-mm")</f>
        <v/>
      </c>
      <c r="O1920" s="50">
        <f>G1920*J1920</f>
        <v/>
      </c>
      <c r="P1920" s="50">
        <f>(J1920-M1920)*G1920</f>
        <v/>
      </c>
      <c r="Q1920" s="51">
        <f>IF(K1920="Received",1,0)</f>
        <v/>
      </c>
      <c r="R1920" s="51">
        <f>IF(Q1920=1,F1920-D1920,0)</f>
        <v/>
      </c>
      <c r="S1920" s="51">
        <f>IF(Q1920=1,IF(F1920&lt;=E1920,1,0),0)</f>
        <v/>
      </c>
      <c r="T1920" s="51">
        <f>IF(Q1920=1,IF(H1920&gt;=G1920,1,0),0)</f>
        <v/>
      </c>
      <c r="U1920" s="51">
        <f>S1920*T1920</f>
        <v/>
      </c>
      <c r="V1920" s="51">
        <f>IF(Q1920=1,MAX(0,F1920-E1920),0)</f>
        <v/>
      </c>
    </row>
    <row r="1921">
      <c r="A1921" s="43" t="inlineStr">
        <is>
          <t>PO101891</t>
        </is>
      </c>
      <c r="B1921" s="43" t="inlineStr">
        <is>
          <t>CMD-0102</t>
        </is>
      </c>
      <c r="C1921" s="43" t="inlineStr">
        <is>
          <t>S09</t>
        </is>
      </c>
      <c r="D1921" s="47" t="n">
        <v>46281</v>
      </c>
      <c r="E1921" s="47" t="n">
        <v>46302</v>
      </c>
      <c r="F1921" s="47" t="n"/>
      <c r="G1921" s="46" t="n">
        <v>2718</v>
      </c>
      <c r="H1921" s="46" t="n">
        <v>0</v>
      </c>
      <c r="I1921" s="46" t="n">
        <v>0</v>
      </c>
      <c r="J1921" s="44" t="n">
        <v>6.9113</v>
      </c>
      <c r="K1921" s="43" t="inlineStr">
        <is>
          <t>Open</t>
        </is>
      </c>
      <c r="L1921" s="17">
        <f>INDEX(Items!$C$2:$C$117,MATCH(B1921,Items!$A$2:$A$117,0))</f>
        <v/>
      </c>
      <c r="M1921" s="49">
        <f>INDEX(Items!$E$2:$E$117,MATCH(B1921,Items!$A$2:$A$117,0))</f>
        <v/>
      </c>
      <c r="N1921" s="17">
        <f>TEXT(D1921,"yyyy-mm")</f>
        <v/>
      </c>
      <c r="O1921" s="50">
        <f>G1921*J1921</f>
        <v/>
      </c>
      <c r="P1921" s="50">
        <f>(J1921-M1921)*G1921</f>
        <v/>
      </c>
      <c r="Q1921" s="51">
        <f>IF(K1921="Received",1,0)</f>
        <v/>
      </c>
      <c r="R1921" s="51">
        <f>IF(Q1921=1,F1921-D1921,0)</f>
        <v/>
      </c>
      <c r="S1921" s="51">
        <f>IF(Q1921=1,IF(F1921&lt;=E1921,1,0),0)</f>
        <v/>
      </c>
      <c r="T1921" s="51">
        <f>IF(Q1921=1,IF(H1921&gt;=G1921,1,0),0)</f>
        <v/>
      </c>
      <c r="U1921" s="51">
        <f>S1921*T1921</f>
        <v/>
      </c>
      <c r="V1921" s="51">
        <f>IF(Q1921=1,MAX(0,F1921-E1921),0)</f>
        <v/>
      </c>
    </row>
    <row r="1922">
      <c r="A1922" s="43" t="inlineStr">
        <is>
          <t>PO101051</t>
        </is>
      </c>
      <c r="B1922" s="43" t="inlineStr">
        <is>
          <t>CMD-0047</t>
        </is>
      </c>
      <c r="C1922" s="43" t="inlineStr">
        <is>
          <t>S04</t>
        </is>
      </c>
      <c r="D1922" s="47" t="n">
        <v>46281</v>
      </c>
      <c r="E1922" s="47" t="n">
        <v>46316</v>
      </c>
      <c r="F1922" s="47" t="n"/>
      <c r="G1922" s="46" t="n">
        <v>22682</v>
      </c>
      <c r="H1922" s="46" t="n">
        <v>0</v>
      </c>
      <c r="I1922" s="46" t="n">
        <v>0</v>
      </c>
      <c r="J1922" s="44" t="n">
        <v>0.3049</v>
      </c>
      <c r="K1922" s="43" t="inlineStr">
        <is>
          <t>Open</t>
        </is>
      </c>
      <c r="L1922" s="17">
        <f>INDEX(Items!$C$2:$C$117,MATCH(B1922,Items!$A$2:$A$117,0))</f>
        <v/>
      </c>
      <c r="M1922" s="49">
        <f>INDEX(Items!$E$2:$E$117,MATCH(B1922,Items!$A$2:$A$117,0))</f>
        <v/>
      </c>
      <c r="N1922" s="17">
        <f>TEXT(D1922,"yyyy-mm")</f>
        <v/>
      </c>
      <c r="O1922" s="50">
        <f>G1922*J1922</f>
        <v/>
      </c>
      <c r="P1922" s="50">
        <f>(J1922-M1922)*G1922</f>
        <v/>
      </c>
      <c r="Q1922" s="51">
        <f>IF(K1922="Received",1,0)</f>
        <v/>
      </c>
      <c r="R1922" s="51">
        <f>IF(Q1922=1,F1922-D1922,0)</f>
        <v/>
      </c>
      <c r="S1922" s="51">
        <f>IF(Q1922=1,IF(F1922&lt;=E1922,1,0),0)</f>
        <v/>
      </c>
      <c r="T1922" s="51">
        <f>IF(Q1922=1,IF(H1922&gt;=G1922,1,0),0)</f>
        <v/>
      </c>
      <c r="U1922" s="51">
        <f>S1922*T1922</f>
        <v/>
      </c>
      <c r="V1922" s="51">
        <f>IF(Q1922=1,MAX(0,F1922-E1922),0)</f>
        <v/>
      </c>
    </row>
    <row r="1923">
      <c r="A1923" s="43" t="inlineStr">
        <is>
          <t>PO101867</t>
        </is>
      </c>
      <c r="B1923" s="43" t="inlineStr">
        <is>
          <t>CMD-0101</t>
        </is>
      </c>
      <c r="C1923" s="43" t="inlineStr">
        <is>
          <t>S09</t>
        </is>
      </c>
      <c r="D1923" s="47" t="n">
        <v>46281</v>
      </c>
      <c r="E1923" s="47" t="n">
        <v>46302</v>
      </c>
      <c r="F1923" s="47" t="n"/>
      <c r="G1923" s="46" t="n">
        <v>3594</v>
      </c>
      <c r="H1923" s="46" t="n">
        <v>0</v>
      </c>
      <c r="I1923" s="46" t="n">
        <v>0</v>
      </c>
      <c r="J1923" s="44" t="n">
        <v>3.811</v>
      </c>
      <c r="K1923" s="43" t="inlineStr">
        <is>
          <t>Open</t>
        </is>
      </c>
      <c r="L1923" s="17">
        <f>INDEX(Items!$C$2:$C$117,MATCH(B1923,Items!$A$2:$A$117,0))</f>
        <v/>
      </c>
      <c r="M1923" s="49">
        <f>INDEX(Items!$E$2:$E$117,MATCH(B1923,Items!$A$2:$A$117,0))</f>
        <v/>
      </c>
      <c r="N1923" s="17">
        <f>TEXT(D1923,"yyyy-mm")</f>
        <v/>
      </c>
      <c r="O1923" s="50">
        <f>G1923*J1923</f>
        <v/>
      </c>
      <c r="P1923" s="50">
        <f>(J1923-M1923)*G1923</f>
        <v/>
      </c>
      <c r="Q1923" s="51">
        <f>IF(K1923="Received",1,0)</f>
        <v/>
      </c>
      <c r="R1923" s="51">
        <f>IF(Q1923=1,F1923-D1923,0)</f>
        <v/>
      </c>
      <c r="S1923" s="51">
        <f>IF(Q1923=1,IF(F1923&lt;=E1923,1,0),0)</f>
        <v/>
      </c>
      <c r="T1923" s="51">
        <f>IF(Q1923=1,IF(H1923&gt;=G1923,1,0),0)</f>
        <v/>
      </c>
      <c r="U1923" s="51">
        <f>S1923*T1923</f>
        <v/>
      </c>
      <c r="V1923" s="51">
        <f>IF(Q1923=1,MAX(0,F1923-E1923),0)</f>
        <v/>
      </c>
    </row>
    <row r="1924">
      <c r="A1924" s="43" t="inlineStr">
        <is>
          <t>PO101819</t>
        </is>
      </c>
      <c r="B1924" s="43" t="inlineStr">
        <is>
          <t>CMD-0099</t>
        </is>
      </c>
      <c r="C1924" s="43" t="inlineStr">
        <is>
          <t>S09</t>
        </is>
      </c>
      <c r="D1924" s="47" t="n">
        <v>46281</v>
      </c>
      <c r="E1924" s="47" t="n">
        <v>46302</v>
      </c>
      <c r="F1924" s="47" t="n"/>
      <c r="G1924" s="46" t="n">
        <v>2492</v>
      </c>
      <c r="H1924" s="46" t="n">
        <v>0</v>
      </c>
      <c r="I1924" s="46" t="n">
        <v>0</v>
      </c>
      <c r="J1924" s="44" t="n">
        <v>2.3896</v>
      </c>
      <c r="K1924" s="43" t="inlineStr">
        <is>
          <t>Open</t>
        </is>
      </c>
      <c r="L1924" s="17">
        <f>INDEX(Items!$C$2:$C$117,MATCH(B1924,Items!$A$2:$A$117,0))</f>
        <v/>
      </c>
      <c r="M1924" s="49">
        <f>INDEX(Items!$E$2:$E$117,MATCH(B1924,Items!$A$2:$A$117,0))</f>
        <v/>
      </c>
      <c r="N1924" s="17">
        <f>TEXT(D1924,"yyyy-mm")</f>
        <v/>
      </c>
      <c r="O1924" s="50">
        <f>G1924*J1924</f>
        <v/>
      </c>
      <c r="P1924" s="50">
        <f>(J1924-M1924)*G1924</f>
        <v/>
      </c>
      <c r="Q1924" s="51">
        <f>IF(K1924="Received",1,0)</f>
        <v/>
      </c>
      <c r="R1924" s="51">
        <f>IF(Q1924=1,F1924-D1924,0)</f>
        <v/>
      </c>
      <c r="S1924" s="51">
        <f>IF(Q1924=1,IF(F1924&lt;=E1924,1,0),0)</f>
        <v/>
      </c>
      <c r="T1924" s="51">
        <f>IF(Q1924=1,IF(H1924&gt;=G1924,1,0),0)</f>
        <v/>
      </c>
      <c r="U1924" s="51">
        <f>S1924*T1924</f>
        <v/>
      </c>
      <c r="V1924" s="51">
        <f>IF(Q1924=1,MAX(0,F1924-E1924),0)</f>
        <v/>
      </c>
    </row>
    <row r="1925">
      <c r="A1925" s="43" t="inlineStr">
        <is>
          <t>PO100705</t>
        </is>
      </c>
      <c r="B1925" s="43" t="inlineStr">
        <is>
          <t>CMD-0031</t>
        </is>
      </c>
      <c r="C1925" s="43" t="inlineStr">
        <is>
          <t>S01</t>
        </is>
      </c>
      <c r="D1925" s="47" t="n">
        <v>46281</v>
      </c>
      <c r="E1925" s="47" t="n">
        <v>46309</v>
      </c>
      <c r="F1925" s="47" t="n"/>
      <c r="G1925" s="46" t="n">
        <v>596</v>
      </c>
      <c r="H1925" s="46" t="n">
        <v>0</v>
      </c>
      <c r="I1925" s="46" t="n">
        <v>0</v>
      </c>
      <c r="J1925" s="44" t="n">
        <v>9.980700000000001</v>
      </c>
      <c r="K1925" s="43" t="inlineStr">
        <is>
          <t>Open</t>
        </is>
      </c>
      <c r="L1925" s="17">
        <f>INDEX(Items!$C$2:$C$117,MATCH(B1925,Items!$A$2:$A$117,0))</f>
        <v/>
      </c>
      <c r="M1925" s="49">
        <f>INDEX(Items!$E$2:$E$117,MATCH(B1925,Items!$A$2:$A$117,0))</f>
        <v/>
      </c>
      <c r="N1925" s="17">
        <f>TEXT(D1925,"yyyy-mm")</f>
        <v/>
      </c>
      <c r="O1925" s="50">
        <f>G1925*J1925</f>
        <v/>
      </c>
      <c r="P1925" s="50">
        <f>(J1925-M1925)*G1925</f>
        <v/>
      </c>
      <c r="Q1925" s="51">
        <f>IF(K1925="Received",1,0)</f>
        <v/>
      </c>
      <c r="R1925" s="51">
        <f>IF(Q1925=1,F1925-D1925,0)</f>
        <v/>
      </c>
      <c r="S1925" s="51">
        <f>IF(Q1925=1,IF(F1925&lt;=E1925,1,0),0)</f>
        <v/>
      </c>
      <c r="T1925" s="51">
        <f>IF(Q1925=1,IF(H1925&gt;=G1925,1,0),0)</f>
        <v/>
      </c>
      <c r="U1925" s="51">
        <f>S1925*T1925</f>
        <v/>
      </c>
      <c r="V1925" s="51">
        <f>IF(Q1925=1,MAX(0,F1925-E1925),0)</f>
        <v/>
      </c>
    </row>
    <row r="1926">
      <c r="A1926" s="43" t="inlineStr">
        <is>
          <t>PO101365</t>
        </is>
      </c>
      <c r="B1926" s="43" t="inlineStr">
        <is>
          <t>CMD-0069</t>
        </is>
      </c>
      <c r="C1926" s="43" t="inlineStr">
        <is>
          <t>S04</t>
        </is>
      </c>
      <c r="D1926" s="47" t="n">
        <v>46281</v>
      </c>
      <c r="E1926" s="47" t="n">
        <v>46316</v>
      </c>
      <c r="F1926" s="47" t="n"/>
      <c r="G1926" s="46" t="n">
        <v>52711</v>
      </c>
      <c r="H1926" s="46" t="n">
        <v>0</v>
      </c>
      <c r="I1926" s="46" t="n">
        <v>0</v>
      </c>
      <c r="J1926" s="44" t="n">
        <v>0.0229</v>
      </c>
      <c r="K1926" s="43" t="inlineStr">
        <is>
          <t>Open</t>
        </is>
      </c>
      <c r="L1926" s="17">
        <f>INDEX(Items!$C$2:$C$117,MATCH(B1926,Items!$A$2:$A$117,0))</f>
        <v/>
      </c>
      <c r="M1926" s="49">
        <f>INDEX(Items!$E$2:$E$117,MATCH(B1926,Items!$A$2:$A$117,0))</f>
        <v/>
      </c>
      <c r="N1926" s="17">
        <f>TEXT(D1926,"yyyy-mm")</f>
        <v/>
      </c>
      <c r="O1926" s="50">
        <f>G1926*J1926</f>
        <v/>
      </c>
      <c r="P1926" s="50">
        <f>(J1926-M1926)*G1926</f>
        <v/>
      </c>
      <c r="Q1926" s="51">
        <f>IF(K1926="Received",1,0)</f>
        <v/>
      </c>
      <c r="R1926" s="51">
        <f>IF(Q1926=1,F1926-D1926,0)</f>
        <v/>
      </c>
      <c r="S1926" s="51">
        <f>IF(Q1926=1,IF(F1926&lt;=E1926,1,0),0)</f>
        <v/>
      </c>
      <c r="T1926" s="51">
        <f>IF(Q1926=1,IF(H1926&gt;=G1926,1,0),0)</f>
        <v/>
      </c>
      <c r="U1926" s="51">
        <f>S1926*T1926</f>
        <v/>
      </c>
      <c r="V1926" s="51">
        <f>IF(Q1926=1,MAX(0,F1926-E1926),0)</f>
        <v/>
      </c>
    </row>
    <row r="1927">
      <c r="A1927" s="43" t="inlineStr">
        <is>
          <t>PO101005</t>
        </is>
      </c>
      <c r="B1927" s="43" t="inlineStr">
        <is>
          <t>CMD-0045</t>
        </is>
      </c>
      <c r="C1927" s="43" t="inlineStr">
        <is>
          <t>S05</t>
        </is>
      </c>
      <c r="D1927" s="47" t="n">
        <v>46282</v>
      </c>
      <c r="E1927" s="47" t="n">
        <v>46387</v>
      </c>
      <c r="F1927" s="47" t="n"/>
      <c r="G1927" s="46" t="n">
        <v>3238</v>
      </c>
      <c r="H1927" s="46" t="n">
        <v>0</v>
      </c>
      <c r="I1927" s="46" t="n">
        <v>0</v>
      </c>
      <c r="J1927" s="44" t="n">
        <v>9.2597</v>
      </c>
      <c r="K1927" s="43" t="inlineStr">
        <is>
          <t>Open</t>
        </is>
      </c>
      <c r="L1927" s="17">
        <f>INDEX(Items!$C$2:$C$117,MATCH(B1927,Items!$A$2:$A$117,0))</f>
        <v/>
      </c>
      <c r="M1927" s="49">
        <f>INDEX(Items!$E$2:$E$117,MATCH(B1927,Items!$A$2:$A$117,0))</f>
        <v/>
      </c>
      <c r="N1927" s="17">
        <f>TEXT(D1927,"yyyy-mm")</f>
        <v/>
      </c>
      <c r="O1927" s="50">
        <f>G1927*J1927</f>
        <v/>
      </c>
      <c r="P1927" s="50">
        <f>(J1927-M1927)*G1927</f>
        <v/>
      </c>
      <c r="Q1927" s="51">
        <f>IF(K1927="Received",1,0)</f>
        <v/>
      </c>
      <c r="R1927" s="51">
        <f>IF(Q1927=1,F1927-D1927,0)</f>
        <v/>
      </c>
      <c r="S1927" s="51">
        <f>IF(Q1927=1,IF(F1927&lt;=E1927,1,0),0)</f>
        <v/>
      </c>
      <c r="T1927" s="51">
        <f>IF(Q1927=1,IF(H1927&gt;=G1927,1,0),0)</f>
        <v/>
      </c>
      <c r="U1927" s="51">
        <f>S1927*T1927</f>
        <v/>
      </c>
      <c r="V1927" s="51">
        <f>IF(Q1927=1,MAX(0,F1927-E1927),0)</f>
        <v/>
      </c>
    </row>
    <row r="1928">
      <c r="A1928" s="43" t="inlineStr">
        <is>
          <t>PO101299</t>
        </is>
      </c>
      <c r="B1928" s="43" t="inlineStr">
        <is>
          <t>CMD-0062</t>
        </is>
      </c>
      <c r="C1928" s="43" t="inlineStr">
        <is>
          <t>S01</t>
        </is>
      </c>
      <c r="D1928" s="47" t="n">
        <v>46282</v>
      </c>
      <c r="E1928" s="47" t="n">
        <v>46303</v>
      </c>
      <c r="F1928" s="47" t="n"/>
      <c r="G1928" s="46" t="n">
        <v>80654</v>
      </c>
      <c r="H1928" s="46" t="n">
        <v>0</v>
      </c>
      <c r="I1928" s="46" t="n">
        <v>0</v>
      </c>
      <c r="J1928" s="44" t="n">
        <v>0.1173</v>
      </c>
      <c r="K1928" s="43" t="inlineStr">
        <is>
          <t>Open</t>
        </is>
      </c>
      <c r="L1928" s="17">
        <f>INDEX(Items!$C$2:$C$117,MATCH(B1928,Items!$A$2:$A$117,0))</f>
        <v/>
      </c>
      <c r="M1928" s="49">
        <f>INDEX(Items!$E$2:$E$117,MATCH(B1928,Items!$A$2:$A$117,0))</f>
        <v/>
      </c>
      <c r="N1928" s="17">
        <f>TEXT(D1928,"yyyy-mm")</f>
        <v/>
      </c>
      <c r="O1928" s="50">
        <f>G1928*J1928</f>
        <v/>
      </c>
      <c r="P1928" s="50">
        <f>(J1928-M1928)*G1928</f>
        <v/>
      </c>
      <c r="Q1928" s="51">
        <f>IF(K1928="Received",1,0)</f>
        <v/>
      </c>
      <c r="R1928" s="51">
        <f>IF(Q1928=1,F1928-D1928,0)</f>
        <v/>
      </c>
      <c r="S1928" s="51">
        <f>IF(Q1928=1,IF(F1928&lt;=E1928,1,0),0)</f>
        <v/>
      </c>
      <c r="T1928" s="51">
        <f>IF(Q1928=1,IF(H1928&gt;=G1928,1,0),0)</f>
        <v/>
      </c>
      <c r="U1928" s="51">
        <f>S1928*T1928</f>
        <v/>
      </c>
      <c r="V1928" s="51">
        <f>IF(Q1928=1,MAX(0,F1928-E1928),0)</f>
        <v/>
      </c>
    </row>
    <row r="1929">
      <c r="A1929" s="43" t="inlineStr">
        <is>
          <t>PO101431</t>
        </is>
      </c>
      <c r="B1929" s="43" t="inlineStr">
        <is>
          <t>CMD-0076</t>
        </is>
      </c>
      <c r="C1929" s="43" t="inlineStr">
        <is>
          <t>S04</t>
        </is>
      </c>
      <c r="D1929" s="47" t="n">
        <v>46282</v>
      </c>
      <c r="E1929" s="47" t="n">
        <v>46317</v>
      </c>
      <c r="F1929" s="47" t="n"/>
      <c r="G1929" s="46" t="n">
        <v>462041</v>
      </c>
      <c r="H1929" s="46" t="n">
        <v>0</v>
      </c>
      <c r="I1929" s="46" t="n">
        <v>0</v>
      </c>
      <c r="J1929" s="44" t="n">
        <v>0.0149</v>
      </c>
      <c r="K1929" s="43" t="inlineStr">
        <is>
          <t>Open</t>
        </is>
      </c>
      <c r="L1929" s="17">
        <f>INDEX(Items!$C$2:$C$117,MATCH(B1929,Items!$A$2:$A$117,0))</f>
        <v/>
      </c>
      <c r="M1929" s="49">
        <f>INDEX(Items!$E$2:$E$117,MATCH(B1929,Items!$A$2:$A$117,0))</f>
        <v/>
      </c>
      <c r="N1929" s="17">
        <f>TEXT(D1929,"yyyy-mm")</f>
        <v/>
      </c>
      <c r="O1929" s="50">
        <f>G1929*J1929</f>
        <v/>
      </c>
      <c r="P1929" s="50">
        <f>(J1929-M1929)*G1929</f>
        <v/>
      </c>
      <c r="Q1929" s="51">
        <f>IF(K1929="Received",1,0)</f>
        <v/>
      </c>
      <c r="R1929" s="51">
        <f>IF(Q1929=1,F1929-D1929,0)</f>
        <v/>
      </c>
      <c r="S1929" s="51">
        <f>IF(Q1929=1,IF(F1929&lt;=E1929,1,0),0)</f>
        <v/>
      </c>
      <c r="T1929" s="51">
        <f>IF(Q1929=1,IF(H1929&gt;=G1929,1,0),0)</f>
        <v/>
      </c>
      <c r="U1929" s="51">
        <f>S1929*T1929</f>
        <v/>
      </c>
      <c r="V1929" s="51">
        <f>IF(Q1929=1,MAX(0,F1929-E1929),0)</f>
        <v/>
      </c>
    </row>
    <row r="1930">
      <c r="A1930" s="43" t="inlineStr">
        <is>
          <t>PO100143</t>
        </is>
      </c>
      <c r="B1930" s="43" t="inlineStr">
        <is>
          <t>CMD-0006</t>
        </is>
      </c>
      <c r="C1930" s="43" t="inlineStr">
        <is>
          <t>S03</t>
        </is>
      </c>
      <c r="D1930" s="47" t="n">
        <v>46282</v>
      </c>
      <c r="E1930" s="47" t="n">
        <v>46415</v>
      </c>
      <c r="F1930" s="47" t="n"/>
      <c r="G1930" s="46" t="n">
        <v>623</v>
      </c>
      <c r="H1930" s="46" t="n">
        <v>0</v>
      </c>
      <c r="I1930" s="46" t="n">
        <v>0</v>
      </c>
      <c r="J1930" s="44" t="n">
        <v>36.049</v>
      </c>
      <c r="K1930" s="43" t="inlineStr">
        <is>
          <t>Open</t>
        </is>
      </c>
      <c r="L1930" s="17">
        <f>INDEX(Items!$C$2:$C$117,MATCH(B1930,Items!$A$2:$A$117,0))</f>
        <v/>
      </c>
      <c r="M1930" s="49">
        <f>INDEX(Items!$E$2:$E$117,MATCH(B1930,Items!$A$2:$A$117,0))</f>
        <v/>
      </c>
      <c r="N1930" s="17">
        <f>TEXT(D1930,"yyyy-mm")</f>
        <v/>
      </c>
      <c r="O1930" s="50">
        <f>G1930*J1930</f>
        <v/>
      </c>
      <c r="P1930" s="50">
        <f>(J1930-M1930)*G1930</f>
        <v/>
      </c>
      <c r="Q1930" s="51">
        <f>IF(K1930="Received",1,0)</f>
        <v/>
      </c>
      <c r="R1930" s="51">
        <f>IF(Q1930=1,F1930-D1930,0)</f>
        <v/>
      </c>
      <c r="S1930" s="51">
        <f>IF(Q1930=1,IF(F1930&lt;=E1930,1,0),0)</f>
        <v/>
      </c>
      <c r="T1930" s="51">
        <f>IF(Q1930=1,IF(H1930&gt;=G1930,1,0),0)</f>
        <v/>
      </c>
      <c r="U1930" s="51">
        <f>S1930*T1930</f>
        <v/>
      </c>
      <c r="V1930" s="51">
        <f>IF(Q1930=1,MAX(0,F1930-E1930),0)</f>
        <v/>
      </c>
    </row>
    <row r="1931">
      <c r="A1931" s="43" t="inlineStr">
        <is>
          <t>PO101335</t>
        </is>
      </c>
      <c r="B1931" s="43" t="inlineStr">
        <is>
          <t>CMD-0066</t>
        </is>
      </c>
      <c r="C1931" s="43" t="inlineStr">
        <is>
          <t>S10</t>
        </is>
      </c>
      <c r="D1931" s="47" t="n">
        <v>46282</v>
      </c>
      <c r="E1931" s="47" t="n">
        <v>46310</v>
      </c>
      <c r="F1931" s="47" t="n"/>
      <c r="G1931" s="46" t="n">
        <v>54321</v>
      </c>
      <c r="H1931" s="46" t="n">
        <v>0</v>
      </c>
      <c r="I1931" s="46" t="n">
        <v>0</v>
      </c>
      <c r="J1931" s="44" t="n">
        <v>0.059</v>
      </c>
      <c r="K1931" s="43" t="inlineStr">
        <is>
          <t>Open</t>
        </is>
      </c>
      <c r="L1931" s="17">
        <f>INDEX(Items!$C$2:$C$117,MATCH(B1931,Items!$A$2:$A$117,0))</f>
        <v/>
      </c>
      <c r="M1931" s="49">
        <f>INDEX(Items!$E$2:$E$117,MATCH(B1931,Items!$A$2:$A$117,0))</f>
        <v/>
      </c>
      <c r="N1931" s="17">
        <f>TEXT(D1931,"yyyy-mm")</f>
        <v/>
      </c>
      <c r="O1931" s="50">
        <f>G1931*J1931</f>
        <v/>
      </c>
      <c r="P1931" s="50">
        <f>(J1931-M1931)*G1931</f>
        <v/>
      </c>
      <c r="Q1931" s="51">
        <f>IF(K1931="Received",1,0)</f>
        <v/>
      </c>
      <c r="R1931" s="51">
        <f>IF(Q1931=1,F1931-D1931,0)</f>
        <v/>
      </c>
      <c r="S1931" s="51">
        <f>IF(Q1931=1,IF(F1931&lt;=E1931,1,0),0)</f>
        <v/>
      </c>
      <c r="T1931" s="51">
        <f>IF(Q1931=1,IF(H1931&gt;=G1931,1,0),0)</f>
        <v/>
      </c>
      <c r="U1931" s="51">
        <f>S1931*T1931</f>
        <v/>
      </c>
      <c r="V1931" s="51">
        <f>IF(Q1931=1,MAX(0,F1931-E1931),0)</f>
        <v/>
      </c>
    </row>
    <row r="1932">
      <c r="A1932" s="43" t="inlineStr">
        <is>
          <t>PO101713</t>
        </is>
      </c>
      <c r="B1932" s="43" t="inlineStr">
        <is>
          <t>CMD-0093</t>
        </is>
      </c>
      <c r="C1932" s="43" t="inlineStr">
        <is>
          <t>S08</t>
        </is>
      </c>
      <c r="D1932" s="47" t="n">
        <v>46282</v>
      </c>
      <c r="E1932" s="47" t="n">
        <v>46359</v>
      </c>
      <c r="F1932" s="47" t="n"/>
      <c r="G1932" s="46" t="n">
        <v>561</v>
      </c>
      <c r="H1932" s="46" t="n">
        <v>0</v>
      </c>
      <c r="I1932" s="46" t="n">
        <v>0</v>
      </c>
      <c r="J1932" s="44" t="n">
        <v>61.1923</v>
      </c>
      <c r="K1932" s="43" t="inlineStr">
        <is>
          <t>Open</t>
        </is>
      </c>
      <c r="L1932" s="17">
        <f>INDEX(Items!$C$2:$C$117,MATCH(B1932,Items!$A$2:$A$117,0))</f>
        <v/>
      </c>
      <c r="M1932" s="49">
        <f>INDEX(Items!$E$2:$E$117,MATCH(B1932,Items!$A$2:$A$117,0))</f>
        <v/>
      </c>
      <c r="N1932" s="17">
        <f>TEXT(D1932,"yyyy-mm")</f>
        <v/>
      </c>
      <c r="O1932" s="50">
        <f>G1932*J1932</f>
        <v/>
      </c>
      <c r="P1932" s="50">
        <f>(J1932-M1932)*G1932</f>
        <v/>
      </c>
      <c r="Q1932" s="51">
        <f>IF(K1932="Received",1,0)</f>
        <v/>
      </c>
      <c r="R1932" s="51">
        <f>IF(Q1932=1,F1932-D1932,0)</f>
        <v/>
      </c>
      <c r="S1932" s="51">
        <f>IF(Q1932=1,IF(F1932&lt;=E1932,1,0),0)</f>
        <v/>
      </c>
      <c r="T1932" s="51">
        <f>IF(Q1932=1,IF(H1932&gt;=G1932,1,0),0)</f>
        <v/>
      </c>
      <c r="U1932" s="51">
        <f>S1932*T1932</f>
        <v/>
      </c>
      <c r="V1932" s="51">
        <f>IF(Q1932=1,MAX(0,F1932-E1932),0)</f>
        <v/>
      </c>
    </row>
    <row r="1933">
      <c r="A1933" s="43" t="inlineStr">
        <is>
          <t>PO101075</t>
        </is>
      </c>
      <c r="B1933" s="43" t="inlineStr">
        <is>
          <t>CMD-0048</t>
        </is>
      </c>
      <c r="C1933" s="43" t="inlineStr">
        <is>
          <t>S10</t>
        </is>
      </c>
      <c r="D1933" s="47" t="n">
        <v>46282</v>
      </c>
      <c r="E1933" s="47" t="n">
        <v>46310</v>
      </c>
      <c r="F1933" s="47" t="n"/>
      <c r="G1933" s="46" t="n">
        <v>22533</v>
      </c>
      <c r="H1933" s="46" t="n">
        <v>0</v>
      </c>
      <c r="I1933" s="46" t="n">
        <v>0</v>
      </c>
      <c r="J1933" s="44" t="n">
        <v>0.3328</v>
      </c>
      <c r="K1933" s="43" t="inlineStr">
        <is>
          <t>Open</t>
        </is>
      </c>
      <c r="L1933" s="17">
        <f>INDEX(Items!$C$2:$C$117,MATCH(B1933,Items!$A$2:$A$117,0))</f>
        <v/>
      </c>
      <c r="M1933" s="49">
        <f>INDEX(Items!$E$2:$E$117,MATCH(B1933,Items!$A$2:$A$117,0))</f>
        <v/>
      </c>
      <c r="N1933" s="17">
        <f>TEXT(D1933,"yyyy-mm")</f>
        <v/>
      </c>
      <c r="O1933" s="50">
        <f>G1933*J1933</f>
        <v/>
      </c>
      <c r="P1933" s="50">
        <f>(J1933-M1933)*G1933</f>
        <v/>
      </c>
      <c r="Q1933" s="51">
        <f>IF(K1933="Received",1,0)</f>
        <v/>
      </c>
      <c r="R1933" s="51">
        <f>IF(Q1933=1,F1933-D1933,0)</f>
        <v/>
      </c>
      <c r="S1933" s="51">
        <f>IF(Q1933=1,IF(F1933&lt;=E1933,1,0),0)</f>
        <v/>
      </c>
      <c r="T1933" s="51">
        <f>IF(Q1933=1,IF(H1933&gt;=G1933,1,0),0)</f>
        <v/>
      </c>
      <c r="U1933" s="51">
        <f>S1933*T1933</f>
        <v/>
      </c>
      <c r="V1933" s="51">
        <f>IF(Q1933=1,MAX(0,F1933-E1933),0)</f>
        <v/>
      </c>
    </row>
    <row r="1934">
      <c r="A1934" s="43" t="inlineStr">
        <is>
          <t>PO101361</t>
        </is>
      </c>
      <c r="B1934" s="43" t="inlineStr">
        <is>
          <t>CMD-0068</t>
        </is>
      </c>
      <c r="C1934" s="43" t="inlineStr">
        <is>
          <t>S01</t>
        </is>
      </c>
      <c r="D1934" s="47" t="n">
        <v>46282</v>
      </c>
      <c r="E1934" s="47" t="n">
        <v>46303</v>
      </c>
      <c r="F1934" s="47" t="n"/>
      <c r="G1934" s="46" t="n">
        <v>45987</v>
      </c>
      <c r="H1934" s="46" t="n">
        <v>0</v>
      </c>
      <c r="I1934" s="46" t="n">
        <v>0</v>
      </c>
      <c r="J1934" s="44" t="n">
        <v>0.1609</v>
      </c>
      <c r="K1934" s="43" t="inlineStr">
        <is>
          <t>Open</t>
        </is>
      </c>
      <c r="L1934" s="17">
        <f>INDEX(Items!$C$2:$C$117,MATCH(B1934,Items!$A$2:$A$117,0))</f>
        <v/>
      </c>
      <c r="M1934" s="49">
        <f>INDEX(Items!$E$2:$E$117,MATCH(B1934,Items!$A$2:$A$117,0))</f>
        <v/>
      </c>
      <c r="N1934" s="17">
        <f>TEXT(D1934,"yyyy-mm")</f>
        <v/>
      </c>
      <c r="O1934" s="50">
        <f>G1934*J1934</f>
        <v/>
      </c>
      <c r="P1934" s="50">
        <f>(J1934-M1934)*G1934</f>
        <v/>
      </c>
      <c r="Q1934" s="51">
        <f>IF(K1934="Received",1,0)</f>
        <v/>
      </c>
      <c r="R1934" s="51">
        <f>IF(Q1934=1,F1934-D1934,0)</f>
        <v/>
      </c>
      <c r="S1934" s="51">
        <f>IF(Q1934=1,IF(F1934&lt;=E1934,1,0),0)</f>
        <v/>
      </c>
      <c r="T1934" s="51">
        <f>IF(Q1934=1,IF(H1934&gt;=G1934,1,0),0)</f>
        <v/>
      </c>
      <c r="U1934" s="51">
        <f>S1934*T1934</f>
        <v/>
      </c>
      <c r="V1934" s="51">
        <f>IF(Q1934=1,MAX(0,F1934-E1934),0)</f>
        <v/>
      </c>
    </row>
    <row r="1935">
      <c r="A1935" s="43" t="inlineStr">
        <is>
          <t>PO101527</t>
        </is>
      </c>
      <c r="B1935" s="43" t="inlineStr">
        <is>
          <t>CMD-0080</t>
        </is>
      </c>
      <c r="C1935" s="43" t="inlineStr">
        <is>
          <t>S06</t>
        </is>
      </c>
      <c r="D1935" s="47" t="n">
        <v>46283</v>
      </c>
      <c r="E1935" s="47" t="n">
        <v>46304</v>
      </c>
      <c r="F1935" s="47" t="n"/>
      <c r="G1935" s="46" t="n">
        <v>4863</v>
      </c>
      <c r="H1935" s="46" t="n">
        <v>0</v>
      </c>
      <c r="I1935" s="46" t="n">
        <v>0</v>
      </c>
      <c r="J1935" s="44" t="n">
        <v>5.6959</v>
      </c>
      <c r="K1935" s="43" t="inlineStr">
        <is>
          <t>Open</t>
        </is>
      </c>
      <c r="L1935" s="17">
        <f>INDEX(Items!$C$2:$C$117,MATCH(B1935,Items!$A$2:$A$117,0))</f>
        <v/>
      </c>
      <c r="M1935" s="49">
        <f>INDEX(Items!$E$2:$E$117,MATCH(B1935,Items!$A$2:$A$117,0))</f>
        <v/>
      </c>
      <c r="N1935" s="17">
        <f>TEXT(D1935,"yyyy-mm")</f>
        <v/>
      </c>
      <c r="O1935" s="50">
        <f>G1935*J1935</f>
        <v/>
      </c>
      <c r="P1935" s="50">
        <f>(J1935-M1935)*G1935</f>
        <v/>
      </c>
      <c r="Q1935" s="51">
        <f>IF(K1935="Received",1,0)</f>
        <v/>
      </c>
      <c r="R1935" s="51">
        <f>IF(Q1935=1,F1935-D1935,0)</f>
        <v/>
      </c>
      <c r="S1935" s="51">
        <f>IF(Q1935=1,IF(F1935&lt;=E1935,1,0),0)</f>
        <v/>
      </c>
      <c r="T1935" s="51">
        <f>IF(Q1935=1,IF(H1935&gt;=G1935,1,0),0)</f>
        <v/>
      </c>
      <c r="U1935" s="51">
        <f>S1935*T1935</f>
        <v/>
      </c>
      <c r="V1935" s="51">
        <f>IF(Q1935=1,MAX(0,F1935-E1935),0)</f>
        <v/>
      </c>
    </row>
    <row r="1936">
      <c r="A1936" s="43" t="inlineStr">
        <is>
          <t>PO101599</t>
        </is>
      </c>
      <c r="B1936" s="43" t="inlineStr">
        <is>
          <t>CMD-0088</t>
        </is>
      </c>
      <c r="C1936" s="43" t="inlineStr">
        <is>
          <t>S06</t>
        </is>
      </c>
      <c r="D1936" s="47" t="n">
        <v>46283</v>
      </c>
      <c r="E1936" s="47" t="n">
        <v>46304</v>
      </c>
      <c r="F1936" s="47" t="n"/>
      <c r="G1936" s="46" t="n">
        <v>1843</v>
      </c>
      <c r="H1936" s="46" t="n">
        <v>0</v>
      </c>
      <c r="I1936" s="46" t="n">
        <v>0</v>
      </c>
      <c r="J1936" s="44" t="n">
        <v>2.5029</v>
      </c>
      <c r="K1936" s="43" t="inlineStr">
        <is>
          <t>Open</t>
        </is>
      </c>
      <c r="L1936" s="17">
        <f>INDEX(Items!$C$2:$C$117,MATCH(B1936,Items!$A$2:$A$117,0))</f>
        <v/>
      </c>
      <c r="M1936" s="49">
        <f>INDEX(Items!$E$2:$E$117,MATCH(B1936,Items!$A$2:$A$117,0))</f>
        <v/>
      </c>
      <c r="N1936" s="17">
        <f>TEXT(D1936,"yyyy-mm")</f>
        <v/>
      </c>
      <c r="O1936" s="50">
        <f>G1936*J1936</f>
        <v/>
      </c>
      <c r="P1936" s="50">
        <f>(J1936-M1936)*G1936</f>
        <v/>
      </c>
      <c r="Q1936" s="51">
        <f>IF(K1936="Received",1,0)</f>
        <v/>
      </c>
      <c r="R1936" s="51">
        <f>IF(Q1936=1,F1936-D1936,0)</f>
        <v/>
      </c>
      <c r="S1936" s="51">
        <f>IF(Q1936=1,IF(F1936&lt;=E1936,1,0),0)</f>
        <v/>
      </c>
      <c r="T1936" s="51">
        <f>IF(Q1936=1,IF(H1936&gt;=G1936,1,0),0)</f>
        <v/>
      </c>
      <c r="U1936" s="51">
        <f>S1936*T1936</f>
        <v/>
      </c>
      <c r="V1936" s="51">
        <f>IF(Q1936=1,MAX(0,F1936-E1936),0)</f>
        <v/>
      </c>
    </row>
    <row r="1937">
      <c r="A1937" s="43" t="inlineStr">
        <is>
          <t>PO101383</t>
        </is>
      </c>
      <c r="B1937" s="43" t="inlineStr">
        <is>
          <t>CMD-0070</t>
        </is>
      </c>
      <c r="C1937" s="43" t="inlineStr">
        <is>
          <t>S04</t>
        </is>
      </c>
      <c r="D1937" s="47" t="n">
        <v>46283</v>
      </c>
      <c r="E1937" s="47" t="n">
        <v>46318</v>
      </c>
      <c r="F1937" s="47" t="n"/>
      <c r="G1937" s="46" t="n">
        <v>43976</v>
      </c>
      <c r="H1937" s="46" t="n">
        <v>0</v>
      </c>
      <c r="I1937" s="46" t="n">
        <v>0</v>
      </c>
      <c r="J1937" s="44" t="n">
        <v>0.1452</v>
      </c>
      <c r="K1937" s="43" t="inlineStr">
        <is>
          <t>Open</t>
        </is>
      </c>
      <c r="L1937" s="17">
        <f>INDEX(Items!$C$2:$C$117,MATCH(B1937,Items!$A$2:$A$117,0))</f>
        <v/>
      </c>
      <c r="M1937" s="49">
        <f>INDEX(Items!$E$2:$E$117,MATCH(B1937,Items!$A$2:$A$117,0))</f>
        <v/>
      </c>
      <c r="N1937" s="17">
        <f>TEXT(D1937,"yyyy-mm")</f>
        <v/>
      </c>
      <c r="O1937" s="50">
        <f>G1937*J1937</f>
        <v/>
      </c>
      <c r="P1937" s="50">
        <f>(J1937-M1937)*G1937</f>
        <v/>
      </c>
      <c r="Q1937" s="51">
        <f>IF(K1937="Received",1,0)</f>
        <v/>
      </c>
      <c r="R1937" s="51">
        <f>IF(Q1937=1,F1937-D1937,0)</f>
        <v/>
      </c>
      <c r="S1937" s="51">
        <f>IF(Q1937=1,IF(F1937&lt;=E1937,1,0),0)</f>
        <v/>
      </c>
      <c r="T1937" s="51">
        <f>IF(Q1937=1,IF(H1937&gt;=G1937,1,0),0)</f>
        <v/>
      </c>
      <c r="U1937" s="51">
        <f>S1937*T1937</f>
        <v/>
      </c>
      <c r="V1937" s="51">
        <f>IF(Q1937=1,MAX(0,F1937-E1937),0)</f>
        <v/>
      </c>
    </row>
    <row r="1938">
      <c r="A1938" s="43" t="inlineStr">
        <is>
          <t>PO101419</t>
        </is>
      </c>
      <c r="B1938" s="43" t="inlineStr">
        <is>
          <t>CMD-0074</t>
        </is>
      </c>
      <c r="C1938" s="43" t="inlineStr">
        <is>
          <t>S10</t>
        </is>
      </c>
      <c r="D1938" s="47" t="n">
        <v>46283</v>
      </c>
      <c r="E1938" s="47" t="n">
        <v>46311</v>
      </c>
      <c r="F1938" s="47" t="n"/>
      <c r="G1938" s="46" t="n">
        <v>55477</v>
      </c>
      <c r="H1938" s="46" t="n">
        <v>0</v>
      </c>
      <c r="I1938" s="46" t="n">
        <v>0</v>
      </c>
      <c r="J1938" s="44" t="n">
        <v>0.3601</v>
      </c>
      <c r="K1938" s="43" t="inlineStr">
        <is>
          <t>Open</t>
        </is>
      </c>
      <c r="L1938" s="17">
        <f>INDEX(Items!$C$2:$C$117,MATCH(B1938,Items!$A$2:$A$117,0))</f>
        <v/>
      </c>
      <c r="M1938" s="49">
        <f>INDEX(Items!$E$2:$E$117,MATCH(B1938,Items!$A$2:$A$117,0))</f>
        <v/>
      </c>
      <c r="N1938" s="17">
        <f>TEXT(D1938,"yyyy-mm")</f>
        <v/>
      </c>
      <c r="O1938" s="50">
        <f>G1938*J1938</f>
        <v/>
      </c>
      <c r="P1938" s="50">
        <f>(J1938-M1938)*G1938</f>
        <v/>
      </c>
      <c r="Q1938" s="51">
        <f>IF(K1938="Received",1,0)</f>
        <v/>
      </c>
      <c r="R1938" s="51">
        <f>IF(Q1938=1,F1938-D1938,0)</f>
        <v/>
      </c>
      <c r="S1938" s="51">
        <f>IF(Q1938=1,IF(F1938&lt;=E1938,1,0),0)</f>
        <v/>
      </c>
      <c r="T1938" s="51">
        <f>IF(Q1938=1,IF(H1938&gt;=G1938,1,0),0)</f>
        <v/>
      </c>
      <c r="U1938" s="51">
        <f>S1938*T1938</f>
        <v/>
      </c>
      <c r="V1938" s="51">
        <f>IF(Q1938=1,MAX(0,F1938-E1938),0)</f>
        <v/>
      </c>
    </row>
    <row r="1939">
      <c r="A1939" s="43" t="inlineStr">
        <is>
          <t>PO101559</t>
        </is>
      </c>
      <c r="B1939" s="43" t="inlineStr">
        <is>
          <t>CMD-0083</t>
        </is>
      </c>
      <c r="C1939" s="43" t="inlineStr">
        <is>
          <t>S06</t>
        </is>
      </c>
      <c r="D1939" s="47" t="n">
        <v>46283</v>
      </c>
      <c r="E1939" s="47" t="n">
        <v>46304</v>
      </c>
      <c r="F1939" s="47" t="n"/>
      <c r="G1939" s="46" t="n">
        <v>7444</v>
      </c>
      <c r="H1939" s="46" t="n">
        <v>0</v>
      </c>
      <c r="I1939" s="46" t="n">
        <v>0</v>
      </c>
      <c r="J1939" s="44" t="n">
        <v>0.7507</v>
      </c>
      <c r="K1939" s="43" t="inlineStr">
        <is>
          <t>Open</t>
        </is>
      </c>
      <c r="L1939" s="17">
        <f>INDEX(Items!$C$2:$C$117,MATCH(B1939,Items!$A$2:$A$117,0))</f>
        <v/>
      </c>
      <c r="M1939" s="49">
        <f>INDEX(Items!$E$2:$E$117,MATCH(B1939,Items!$A$2:$A$117,0))</f>
        <v/>
      </c>
      <c r="N1939" s="17">
        <f>TEXT(D1939,"yyyy-mm")</f>
        <v/>
      </c>
      <c r="O1939" s="50">
        <f>G1939*J1939</f>
        <v/>
      </c>
      <c r="P1939" s="50">
        <f>(J1939-M1939)*G1939</f>
        <v/>
      </c>
      <c r="Q1939" s="51">
        <f>IF(K1939="Received",1,0)</f>
        <v/>
      </c>
      <c r="R1939" s="51">
        <f>IF(Q1939=1,F1939-D1939,0)</f>
        <v/>
      </c>
      <c r="S1939" s="51">
        <f>IF(Q1939=1,IF(F1939&lt;=E1939,1,0),0)</f>
        <v/>
      </c>
      <c r="T1939" s="51">
        <f>IF(Q1939=1,IF(H1939&gt;=G1939,1,0),0)</f>
        <v/>
      </c>
      <c r="U1939" s="51">
        <f>S1939*T1939</f>
        <v/>
      </c>
      <c r="V1939" s="51">
        <f>IF(Q1939=1,MAX(0,F1939-E1939),0)</f>
        <v/>
      </c>
    </row>
    <row r="1940">
      <c r="A1940" s="43" t="inlineStr">
        <is>
          <t>PO101591</t>
        </is>
      </c>
      <c r="B1940" s="43" t="inlineStr">
        <is>
          <t>CMD-0086</t>
        </is>
      </c>
      <c r="C1940" s="43" t="inlineStr">
        <is>
          <t>S01</t>
        </is>
      </c>
      <c r="D1940" s="47" t="n">
        <v>46283</v>
      </c>
      <c r="E1940" s="47" t="n">
        <v>46297</v>
      </c>
      <c r="F1940" s="47" t="n">
        <v>46294</v>
      </c>
      <c r="G1940" s="46" t="n">
        <v>4385</v>
      </c>
      <c r="H1940" s="46" t="n">
        <v>4385</v>
      </c>
      <c r="I1940" s="46" t="n">
        <v>7</v>
      </c>
      <c r="J1940" s="44" t="n">
        <v>0.4819</v>
      </c>
      <c r="K1940" s="43" t="inlineStr">
        <is>
          <t>Received</t>
        </is>
      </c>
      <c r="L1940" s="17">
        <f>INDEX(Items!$C$2:$C$117,MATCH(B1940,Items!$A$2:$A$117,0))</f>
        <v/>
      </c>
      <c r="M1940" s="49">
        <f>INDEX(Items!$E$2:$E$117,MATCH(B1940,Items!$A$2:$A$117,0))</f>
        <v/>
      </c>
      <c r="N1940" s="17">
        <f>TEXT(D1940,"yyyy-mm")</f>
        <v/>
      </c>
      <c r="O1940" s="50">
        <f>G1940*J1940</f>
        <v/>
      </c>
      <c r="P1940" s="50">
        <f>(J1940-M1940)*G1940</f>
        <v/>
      </c>
      <c r="Q1940" s="51">
        <f>IF(K1940="Received",1,0)</f>
        <v/>
      </c>
      <c r="R1940" s="51">
        <f>IF(Q1940=1,F1940-D1940,0)</f>
        <v/>
      </c>
      <c r="S1940" s="51">
        <f>IF(Q1940=1,IF(F1940&lt;=E1940,1,0),0)</f>
        <v/>
      </c>
      <c r="T1940" s="51">
        <f>IF(Q1940=1,IF(H1940&gt;=G1940,1,0),0)</f>
        <v/>
      </c>
      <c r="U1940" s="51">
        <f>S1940*T1940</f>
        <v/>
      </c>
      <c r="V1940" s="51">
        <f>IF(Q1940=1,MAX(0,F1940-E1940),0)</f>
        <v/>
      </c>
    </row>
    <row r="1941">
      <c r="A1941" s="43" t="inlineStr">
        <is>
          <t>PO101959</t>
        </is>
      </c>
      <c r="B1941" s="43" t="inlineStr">
        <is>
          <t>CMD-0108</t>
        </is>
      </c>
      <c r="C1941" s="43" t="inlineStr">
        <is>
          <t>S12</t>
        </is>
      </c>
      <c r="D1941" s="47" t="n">
        <v>46283</v>
      </c>
      <c r="E1941" s="47" t="n">
        <v>46290</v>
      </c>
      <c r="F1941" s="47" t="n">
        <v>46289</v>
      </c>
      <c r="G1941" s="46" t="n">
        <v>2906</v>
      </c>
      <c r="H1941" s="46" t="n">
        <v>2906</v>
      </c>
      <c r="I1941" s="46" t="n">
        <v>1</v>
      </c>
      <c r="J1941" s="44" t="n">
        <v>1.6068</v>
      </c>
      <c r="K1941" s="43" t="inlineStr">
        <is>
          <t>Received</t>
        </is>
      </c>
      <c r="L1941" s="17">
        <f>INDEX(Items!$C$2:$C$117,MATCH(B1941,Items!$A$2:$A$117,0))</f>
        <v/>
      </c>
      <c r="M1941" s="49">
        <f>INDEX(Items!$E$2:$E$117,MATCH(B1941,Items!$A$2:$A$117,0))</f>
        <v/>
      </c>
      <c r="N1941" s="17">
        <f>TEXT(D1941,"yyyy-mm")</f>
        <v/>
      </c>
      <c r="O1941" s="50">
        <f>G1941*J1941</f>
        <v/>
      </c>
      <c r="P1941" s="50">
        <f>(J1941-M1941)*G1941</f>
        <v/>
      </c>
      <c r="Q1941" s="51">
        <f>IF(K1941="Received",1,0)</f>
        <v/>
      </c>
      <c r="R1941" s="51">
        <f>IF(Q1941=1,F1941-D1941,0)</f>
        <v/>
      </c>
      <c r="S1941" s="51">
        <f>IF(Q1941=1,IF(F1941&lt;=E1941,1,0),0)</f>
        <v/>
      </c>
      <c r="T1941" s="51">
        <f>IF(Q1941=1,IF(H1941&gt;=G1941,1,0),0)</f>
        <v/>
      </c>
      <c r="U1941" s="51">
        <f>S1941*T1941</f>
        <v/>
      </c>
      <c r="V1941" s="51">
        <f>IF(Q1941=1,MAX(0,F1941-E1941),0)</f>
        <v/>
      </c>
    </row>
    <row r="1942">
      <c r="A1942" s="43" t="inlineStr">
        <is>
          <t>PO101595</t>
        </is>
      </c>
      <c r="B1942" s="43" t="inlineStr">
        <is>
          <t>CMD-0087</t>
        </is>
      </c>
      <c r="C1942" s="43" t="inlineStr">
        <is>
          <t>S01</t>
        </is>
      </c>
      <c r="D1942" s="47" t="n">
        <v>46283</v>
      </c>
      <c r="E1942" s="47" t="n">
        <v>46297</v>
      </c>
      <c r="F1942" s="47" t="n"/>
      <c r="G1942" s="46" t="n">
        <v>2775</v>
      </c>
      <c r="H1942" s="46" t="n">
        <v>0</v>
      </c>
      <c r="I1942" s="46" t="n">
        <v>0</v>
      </c>
      <c r="J1942" s="44" t="n">
        <v>0.6652</v>
      </c>
      <c r="K1942" s="43" t="inlineStr">
        <is>
          <t>Open</t>
        </is>
      </c>
      <c r="L1942" s="17">
        <f>INDEX(Items!$C$2:$C$117,MATCH(B1942,Items!$A$2:$A$117,0))</f>
        <v/>
      </c>
      <c r="M1942" s="49">
        <f>INDEX(Items!$E$2:$E$117,MATCH(B1942,Items!$A$2:$A$117,0))</f>
        <v/>
      </c>
      <c r="N1942" s="17">
        <f>TEXT(D1942,"yyyy-mm")</f>
        <v/>
      </c>
      <c r="O1942" s="50">
        <f>G1942*J1942</f>
        <v/>
      </c>
      <c r="P1942" s="50">
        <f>(J1942-M1942)*G1942</f>
        <v/>
      </c>
      <c r="Q1942" s="51">
        <f>IF(K1942="Received",1,0)</f>
        <v/>
      </c>
      <c r="R1942" s="51">
        <f>IF(Q1942=1,F1942-D1942,0)</f>
        <v/>
      </c>
      <c r="S1942" s="51">
        <f>IF(Q1942=1,IF(F1942&lt;=E1942,1,0),0)</f>
        <v/>
      </c>
      <c r="T1942" s="51">
        <f>IF(Q1942=1,IF(H1942&gt;=G1942,1,0),0)</f>
        <v/>
      </c>
      <c r="U1942" s="51">
        <f>S1942*T1942</f>
        <v/>
      </c>
      <c r="V1942" s="51">
        <f>IF(Q1942=1,MAX(0,F1942-E1942),0)</f>
        <v/>
      </c>
    </row>
    <row r="1943">
      <c r="A1943" s="43" t="inlineStr">
        <is>
          <t>PO101227</t>
        </is>
      </c>
      <c r="B1943" s="43" t="inlineStr">
        <is>
          <t>CMD-0057</t>
        </is>
      </c>
      <c r="C1943" s="43" t="inlineStr">
        <is>
          <t>S01</t>
        </is>
      </c>
      <c r="D1943" s="47" t="n">
        <v>46283</v>
      </c>
      <c r="E1943" s="47" t="n">
        <v>46304</v>
      </c>
      <c r="F1943" s="47" t="n"/>
      <c r="G1943" s="46" t="n">
        <v>43844</v>
      </c>
      <c r="H1943" s="46" t="n">
        <v>0</v>
      </c>
      <c r="I1943" s="46" t="n">
        <v>0</v>
      </c>
      <c r="J1943" s="44" t="n">
        <v>0.1158</v>
      </c>
      <c r="K1943" s="43" t="inlineStr">
        <is>
          <t>Open</t>
        </is>
      </c>
      <c r="L1943" s="17">
        <f>INDEX(Items!$C$2:$C$117,MATCH(B1943,Items!$A$2:$A$117,0))</f>
        <v/>
      </c>
      <c r="M1943" s="49">
        <f>INDEX(Items!$E$2:$E$117,MATCH(B1943,Items!$A$2:$A$117,0))</f>
        <v/>
      </c>
      <c r="N1943" s="17">
        <f>TEXT(D1943,"yyyy-mm")</f>
        <v/>
      </c>
      <c r="O1943" s="50">
        <f>G1943*J1943</f>
        <v/>
      </c>
      <c r="P1943" s="50">
        <f>(J1943-M1943)*G1943</f>
        <v/>
      </c>
      <c r="Q1943" s="51">
        <f>IF(K1943="Received",1,0)</f>
        <v/>
      </c>
      <c r="R1943" s="51">
        <f>IF(Q1943=1,F1943-D1943,0)</f>
        <v/>
      </c>
      <c r="S1943" s="51">
        <f>IF(Q1943=1,IF(F1943&lt;=E1943,1,0),0)</f>
        <v/>
      </c>
      <c r="T1943" s="51">
        <f>IF(Q1943=1,IF(H1943&gt;=G1943,1,0),0)</f>
        <v/>
      </c>
      <c r="U1943" s="51">
        <f>S1943*T1943</f>
        <v/>
      </c>
      <c r="V1943" s="51">
        <f>IF(Q1943=1,MAX(0,F1943-E1943),0)</f>
        <v/>
      </c>
    </row>
    <row r="1944">
      <c r="A1944" s="43" t="inlineStr">
        <is>
          <t>PO101341</t>
        </is>
      </c>
      <c r="B1944" s="43" t="inlineStr">
        <is>
          <t>CMD-0067</t>
        </is>
      </c>
      <c r="C1944" s="43" t="inlineStr">
        <is>
          <t>S04</t>
        </is>
      </c>
      <c r="D1944" s="47" t="n">
        <v>46283</v>
      </c>
      <c r="E1944" s="47" t="n">
        <v>46318</v>
      </c>
      <c r="F1944" s="47" t="n"/>
      <c r="G1944" s="46" t="n">
        <v>15753</v>
      </c>
      <c r="H1944" s="46" t="n">
        <v>0</v>
      </c>
      <c r="I1944" s="46" t="n">
        <v>0</v>
      </c>
      <c r="J1944" s="44" t="n">
        <v>0.3535</v>
      </c>
      <c r="K1944" s="43" t="inlineStr">
        <is>
          <t>Open</t>
        </is>
      </c>
      <c r="L1944" s="17">
        <f>INDEX(Items!$C$2:$C$117,MATCH(B1944,Items!$A$2:$A$117,0))</f>
        <v/>
      </c>
      <c r="M1944" s="49">
        <f>INDEX(Items!$E$2:$E$117,MATCH(B1944,Items!$A$2:$A$117,0))</f>
        <v/>
      </c>
      <c r="N1944" s="17">
        <f>TEXT(D1944,"yyyy-mm")</f>
        <v/>
      </c>
      <c r="O1944" s="50">
        <f>G1944*J1944</f>
        <v/>
      </c>
      <c r="P1944" s="50">
        <f>(J1944-M1944)*G1944</f>
        <v/>
      </c>
      <c r="Q1944" s="51">
        <f>IF(K1944="Received",1,0)</f>
        <v/>
      </c>
      <c r="R1944" s="51">
        <f>IF(Q1944=1,F1944-D1944,0)</f>
        <v/>
      </c>
      <c r="S1944" s="51">
        <f>IF(Q1944=1,IF(F1944&lt;=E1944,1,0),0)</f>
        <v/>
      </c>
      <c r="T1944" s="51">
        <f>IF(Q1944=1,IF(H1944&gt;=G1944,1,0),0)</f>
        <v/>
      </c>
      <c r="U1944" s="51">
        <f>S1944*T1944</f>
        <v/>
      </c>
      <c r="V1944" s="51">
        <f>IF(Q1944=1,MAX(0,F1944-E1944),0)</f>
        <v/>
      </c>
    </row>
    <row r="1945">
      <c r="A1945" s="43" t="inlineStr">
        <is>
          <t>PO101665</t>
        </is>
      </c>
      <c r="B1945" s="43" t="inlineStr">
        <is>
          <t>CMD-0091</t>
        </is>
      </c>
      <c r="C1945" s="43" t="inlineStr">
        <is>
          <t>S08</t>
        </is>
      </c>
      <c r="D1945" s="47" t="n">
        <v>46283</v>
      </c>
      <c r="E1945" s="47" t="n">
        <v>46360</v>
      </c>
      <c r="F1945" s="47" t="n"/>
      <c r="G1945" s="46" t="n">
        <v>692</v>
      </c>
      <c r="H1945" s="46" t="n">
        <v>0</v>
      </c>
      <c r="I1945" s="46" t="n">
        <v>0</v>
      </c>
      <c r="J1945" s="44" t="n">
        <v>24.514</v>
      </c>
      <c r="K1945" s="43" t="inlineStr">
        <is>
          <t>Open</t>
        </is>
      </c>
      <c r="L1945" s="17">
        <f>INDEX(Items!$C$2:$C$117,MATCH(B1945,Items!$A$2:$A$117,0))</f>
        <v/>
      </c>
      <c r="M1945" s="49">
        <f>INDEX(Items!$E$2:$E$117,MATCH(B1945,Items!$A$2:$A$117,0))</f>
        <v/>
      </c>
      <c r="N1945" s="17">
        <f>TEXT(D1945,"yyyy-mm")</f>
        <v/>
      </c>
      <c r="O1945" s="50">
        <f>G1945*J1945</f>
        <v/>
      </c>
      <c r="P1945" s="50">
        <f>(J1945-M1945)*G1945</f>
        <v/>
      </c>
      <c r="Q1945" s="51">
        <f>IF(K1945="Received",1,0)</f>
        <v/>
      </c>
      <c r="R1945" s="51">
        <f>IF(Q1945=1,F1945-D1945,0)</f>
        <v/>
      </c>
      <c r="S1945" s="51">
        <f>IF(Q1945=1,IF(F1945&lt;=E1945,1,0),0)</f>
        <v/>
      </c>
      <c r="T1945" s="51">
        <f>IF(Q1945=1,IF(H1945&gt;=G1945,1,0),0)</f>
        <v/>
      </c>
      <c r="U1945" s="51">
        <f>S1945*T1945</f>
        <v/>
      </c>
      <c r="V1945" s="51">
        <f>IF(Q1945=1,MAX(0,F1945-E1945),0)</f>
        <v/>
      </c>
    </row>
    <row r="1946">
      <c r="A1946" s="43" t="inlineStr">
        <is>
          <t>PO101913</t>
        </is>
      </c>
      <c r="B1946" s="43" t="inlineStr">
        <is>
          <t>CMD-0104</t>
        </is>
      </c>
      <c r="C1946" s="43" t="inlineStr">
        <is>
          <t>S09</t>
        </is>
      </c>
      <c r="D1946" s="47" t="n">
        <v>46283</v>
      </c>
      <c r="E1946" s="47" t="n">
        <v>46304</v>
      </c>
      <c r="F1946" s="47" t="n"/>
      <c r="G1946" s="46" t="n">
        <v>3588</v>
      </c>
      <c r="H1946" s="46" t="n">
        <v>0</v>
      </c>
      <c r="I1946" s="46" t="n">
        <v>0</v>
      </c>
      <c r="J1946" s="44" t="n">
        <v>1.4832</v>
      </c>
      <c r="K1946" s="43" t="inlineStr">
        <is>
          <t>Open</t>
        </is>
      </c>
      <c r="L1946" s="17">
        <f>INDEX(Items!$C$2:$C$117,MATCH(B1946,Items!$A$2:$A$117,0))</f>
        <v/>
      </c>
      <c r="M1946" s="49">
        <f>INDEX(Items!$E$2:$E$117,MATCH(B1946,Items!$A$2:$A$117,0))</f>
        <v/>
      </c>
      <c r="N1946" s="17">
        <f>TEXT(D1946,"yyyy-mm")</f>
        <v/>
      </c>
      <c r="O1946" s="50">
        <f>G1946*J1946</f>
        <v/>
      </c>
      <c r="P1946" s="50">
        <f>(J1946-M1946)*G1946</f>
        <v/>
      </c>
      <c r="Q1946" s="51">
        <f>IF(K1946="Received",1,0)</f>
        <v/>
      </c>
      <c r="R1946" s="51">
        <f>IF(Q1946=1,F1946-D1946,0)</f>
        <v/>
      </c>
      <c r="S1946" s="51">
        <f>IF(Q1946=1,IF(F1946&lt;=E1946,1,0),0)</f>
        <v/>
      </c>
      <c r="T1946" s="51">
        <f>IF(Q1946=1,IF(H1946&gt;=G1946,1,0),0)</f>
        <v/>
      </c>
      <c r="U1946" s="51">
        <f>S1946*T1946</f>
        <v/>
      </c>
      <c r="V1946" s="51">
        <f>IF(Q1946=1,MAX(0,F1946-E1946),0)</f>
        <v/>
      </c>
    </row>
    <row r="1947">
      <c r="A1947" s="43" t="inlineStr">
        <is>
          <t>PO100071</t>
        </is>
      </c>
      <c r="B1947" s="43" t="inlineStr">
        <is>
          <t>CMD-0003</t>
        </is>
      </c>
      <c r="C1947" s="43" t="inlineStr">
        <is>
          <t>S11</t>
        </is>
      </c>
      <c r="D1947" s="47" t="n">
        <v>46283</v>
      </c>
      <c r="E1947" s="47" t="n">
        <v>46402</v>
      </c>
      <c r="F1947" s="47" t="n"/>
      <c r="G1947" s="46" t="n">
        <v>7478</v>
      </c>
      <c r="H1947" s="46" t="n">
        <v>0</v>
      </c>
      <c r="I1947" s="46" t="n">
        <v>0</v>
      </c>
      <c r="J1947" s="44" t="n">
        <v>25.3582</v>
      </c>
      <c r="K1947" s="43" t="inlineStr">
        <is>
          <t>Open</t>
        </is>
      </c>
      <c r="L1947" s="17">
        <f>INDEX(Items!$C$2:$C$117,MATCH(B1947,Items!$A$2:$A$117,0))</f>
        <v/>
      </c>
      <c r="M1947" s="49">
        <f>INDEX(Items!$E$2:$E$117,MATCH(B1947,Items!$A$2:$A$117,0))</f>
        <v/>
      </c>
      <c r="N1947" s="17">
        <f>TEXT(D1947,"yyyy-mm")</f>
        <v/>
      </c>
      <c r="O1947" s="50">
        <f>G1947*J1947</f>
        <v/>
      </c>
      <c r="P1947" s="50">
        <f>(J1947-M1947)*G1947</f>
        <v/>
      </c>
      <c r="Q1947" s="51">
        <f>IF(K1947="Received",1,0)</f>
        <v/>
      </c>
      <c r="R1947" s="51">
        <f>IF(Q1947=1,F1947-D1947,0)</f>
        <v/>
      </c>
      <c r="S1947" s="51">
        <f>IF(Q1947=1,IF(F1947&lt;=E1947,1,0),0)</f>
        <v/>
      </c>
      <c r="T1947" s="51">
        <f>IF(Q1947=1,IF(H1947&gt;=G1947,1,0),0)</f>
        <v/>
      </c>
      <c r="U1947" s="51">
        <f>S1947*T1947</f>
        <v/>
      </c>
      <c r="V1947" s="51">
        <f>IF(Q1947=1,MAX(0,F1947-E1947),0)</f>
        <v/>
      </c>
    </row>
    <row r="1948">
      <c r="A1948" s="43" t="inlineStr">
        <is>
          <t>PO101689</t>
        </is>
      </c>
      <c r="B1948" s="43" t="inlineStr">
        <is>
          <t>CMD-0092</t>
        </is>
      </c>
      <c r="C1948" s="43" t="inlineStr">
        <is>
          <t>S08</t>
        </is>
      </c>
      <c r="D1948" s="47" t="n">
        <v>46283</v>
      </c>
      <c r="E1948" s="47" t="n">
        <v>46360</v>
      </c>
      <c r="F1948" s="47" t="n"/>
      <c r="G1948" s="46" t="n">
        <v>292</v>
      </c>
      <c r="H1948" s="46" t="n">
        <v>0</v>
      </c>
      <c r="I1948" s="46" t="n">
        <v>0</v>
      </c>
      <c r="J1948" s="44" t="n">
        <v>30.3541</v>
      </c>
      <c r="K1948" s="43" t="inlineStr">
        <is>
          <t>Open</t>
        </is>
      </c>
      <c r="L1948" s="17">
        <f>INDEX(Items!$C$2:$C$117,MATCH(B1948,Items!$A$2:$A$117,0))</f>
        <v/>
      </c>
      <c r="M1948" s="49">
        <f>INDEX(Items!$E$2:$E$117,MATCH(B1948,Items!$A$2:$A$117,0))</f>
        <v/>
      </c>
      <c r="N1948" s="17">
        <f>TEXT(D1948,"yyyy-mm")</f>
        <v/>
      </c>
      <c r="O1948" s="50">
        <f>G1948*J1948</f>
        <v/>
      </c>
      <c r="P1948" s="50">
        <f>(J1948-M1948)*G1948</f>
        <v/>
      </c>
      <c r="Q1948" s="51">
        <f>IF(K1948="Received",1,0)</f>
        <v/>
      </c>
      <c r="R1948" s="51">
        <f>IF(Q1948=1,F1948-D1948,0)</f>
        <v/>
      </c>
      <c r="S1948" s="51">
        <f>IF(Q1948=1,IF(F1948&lt;=E1948,1,0),0)</f>
        <v/>
      </c>
      <c r="T1948" s="51">
        <f>IF(Q1948=1,IF(H1948&gt;=G1948,1,0),0)</f>
        <v/>
      </c>
      <c r="U1948" s="51">
        <f>S1948*T1948</f>
        <v/>
      </c>
      <c r="V1948" s="51">
        <f>IF(Q1948=1,MAX(0,F1948-E1948),0)</f>
        <v/>
      </c>
    </row>
    <row r="1949">
      <c r="A1949" s="43" t="inlineStr">
        <is>
          <t>PO101105</t>
        </is>
      </c>
      <c r="B1949" s="43" t="inlineStr">
        <is>
          <t>CMD-0050</t>
        </is>
      </c>
      <c r="C1949" s="43" t="inlineStr">
        <is>
          <t>S10</t>
        </is>
      </c>
      <c r="D1949" s="47" t="n">
        <v>46283</v>
      </c>
      <c r="E1949" s="47" t="n">
        <v>46311</v>
      </c>
      <c r="F1949" s="47" t="n"/>
      <c r="G1949" s="46" t="n">
        <v>79109</v>
      </c>
      <c r="H1949" s="46" t="n">
        <v>0</v>
      </c>
      <c r="I1949" s="46" t="n">
        <v>0</v>
      </c>
      <c r="J1949" s="44" t="n">
        <v>0.0772</v>
      </c>
      <c r="K1949" s="43" t="inlineStr">
        <is>
          <t>Open</t>
        </is>
      </c>
      <c r="L1949" s="17">
        <f>INDEX(Items!$C$2:$C$117,MATCH(B1949,Items!$A$2:$A$117,0))</f>
        <v/>
      </c>
      <c r="M1949" s="49">
        <f>INDEX(Items!$E$2:$E$117,MATCH(B1949,Items!$A$2:$A$117,0))</f>
        <v/>
      </c>
      <c r="N1949" s="17">
        <f>TEXT(D1949,"yyyy-mm")</f>
        <v/>
      </c>
      <c r="O1949" s="50">
        <f>G1949*J1949</f>
        <v/>
      </c>
      <c r="P1949" s="50">
        <f>(J1949-M1949)*G1949</f>
        <v/>
      </c>
      <c r="Q1949" s="51">
        <f>IF(K1949="Received",1,0)</f>
        <v/>
      </c>
      <c r="R1949" s="51">
        <f>IF(Q1949=1,F1949-D1949,0)</f>
        <v/>
      </c>
      <c r="S1949" s="51">
        <f>IF(Q1949=1,IF(F1949&lt;=E1949,1,0),0)</f>
        <v/>
      </c>
      <c r="T1949" s="51">
        <f>IF(Q1949=1,IF(H1949&gt;=G1949,1,0),0)</f>
        <v/>
      </c>
      <c r="U1949" s="51">
        <f>S1949*T1949</f>
        <v/>
      </c>
      <c r="V1949" s="51">
        <f>IF(Q1949=1,MAX(0,F1949-E1949),0)</f>
        <v/>
      </c>
    </row>
    <row r="1950">
      <c r="A1950" s="43" t="inlineStr">
        <is>
          <t>PO101931</t>
        </is>
      </c>
      <c r="B1950" s="43" t="inlineStr">
        <is>
          <t>CMD-0106</t>
        </is>
      </c>
      <c r="C1950" s="43" t="inlineStr">
        <is>
          <t>S09</t>
        </is>
      </c>
      <c r="D1950" s="47" t="n">
        <v>46283</v>
      </c>
      <c r="E1950" s="47" t="n">
        <v>46304</v>
      </c>
      <c r="F1950" s="47" t="n"/>
      <c r="G1950" s="46" t="n">
        <v>698</v>
      </c>
      <c r="H1950" s="46" t="n">
        <v>0</v>
      </c>
      <c r="I1950" s="46" t="n">
        <v>0</v>
      </c>
      <c r="J1950" s="44" t="n">
        <v>10.7326</v>
      </c>
      <c r="K1950" s="43" t="inlineStr">
        <is>
          <t>Open</t>
        </is>
      </c>
      <c r="L1950" s="17">
        <f>INDEX(Items!$C$2:$C$117,MATCH(B1950,Items!$A$2:$A$117,0))</f>
        <v/>
      </c>
      <c r="M1950" s="49">
        <f>INDEX(Items!$E$2:$E$117,MATCH(B1950,Items!$A$2:$A$117,0))</f>
        <v/>
      </c>
      <c r="N1950" s="17">
        <f>TEXT(D1950,"yyyy-mm")</f>
        <v/>
      </c>
      <c r="O1950" s="50">
        <f>G1950*J1950</f>
        <v/>
      </c>
      <c r="P1950" s="50">
        <f>(J1950-M1950)*G1950</f>
        <v/>
      </c>
      <c r="Q1950" s="51">
        <f>IF(K1950="Received",1,0)</f>
        <v/>
      </c>
      <c r="R1950" s="51">
        <f>IF(Q1950=1,F1950-D1950,0)</f>
        <v/>
      </c>
      <c r="S1950" s="51">
        <f>IF(Q1950=1,IF(F1950&lt;=E1950,1,0),0)</f>
        <v/>
      </c>
      <c r="T1950" s="51">
        <f>IF(Q1950=1,IF(H1950&gt;=G1950,1,0),0)</f>
        <v/>
      </c>
      <c r="U1950" s="51">
        <f>S1950*T1950</f>
        <v/>
      </c>
      <c r="V1950" s="51">
        <f>IF(Q1950=1,MAX(0,F1950-E1950),0)</f>
        <v/>
      </c>
    </row>
    <row r="1951">
      <c r="A1951" s="43" t="inlineStr">
        <is>
          <t>PO101143</t>
        </is>
      </c>
      <c r="B1951" s="43" t="inlineStr">
        <is>
          <t>CMD-0052</t>
        </is>
      </c>
      <c r="C1951" s="43" t="inlineStr">
        <is>
          <t>S01</t>
        </is>
      </c>
      <c r="D1951" s="47" t="n">
        <v>46283</v>
      </c>
      <c r="E1951" s="47" t="n">
        <v>46304</v>
      </c>
      <c r="F1951" s="47" t="n"/>
      <c r="G1951" s="46" t="n">
        <v>140136</v>
      </c>
      <c r="H1951" s="46" t="n">
        <v>0</v>
      </c>
      <c r="I1951" s="46" t="n">
        <v>0</v>
      </c>
      <c r="J1951" s="44" t="n">
        <v>0.2076</v>
      </c>
      <c r="K1951" s="43" t="inlineStr">
        <is>
          <t>Open</t>
        </is>
      </c>
      <c r="L1951" s="17">
        <f>INDEX(Items!$C$2:$C$117,MATCH(B1951,Items!$A$2:$A$117,0))</f>
        <v/>
      </c>
      <c r="M1951" s="49">
        <f>INDEX(Items!$E$2:$E$117,MATCH(B1951,Items!$A$2:$A$117,0))</f>
        <v/>
      </c>
      <c r="N1951" s="17">
        <f>TEXT(D1951,"yyyy-mm")</f>
        <v/>
      </c>
      <c r="O1951" s="50">
        <f>G1951*J1951</f>
        <v/>
      </c>
      <c r="P1951" s="50">
        <f>(J1951-M1951)*G1951</f>
        <v/>
      </c>
      <c r="Q1951" s="51">
        <f>IF(K1951="Received",1,0)</f>
        <v/>
      </c>
      <c r="R1951" s="51">
        <f>IF(Q1951=1,F1951-D1951,0)</f>
        <v/>
      </c>
      <c r="S1951" s="51">
        <f>IF(Q1951=1,IF(F1951&lt;=E1951,1,0),0)</f>
        <v/>
      </c>
      <c r="T1951" s="51">
        <f>IF(Q1951=1,IF(H1951&gt;=G1951,1,0),0)</f>
        <v/>
      </c>
      <c r="U1951" s="51">
        <f>S1951*T1951</f>
        <v/>
      </c>
      <c r="V1951" s="51">
        <f>IF(Q1951=1,MAX(0,F1951-E1951),0)</f>
        <v/>
      </c>
    </row>
    <row r="1952">
      <c r="A1952" s="43" t="inlineStr">
        <is>
          <t>PO100095</t>
        </is>
      </c>
      <c r="B1952" s="43" t="inlineStr">
        <is>
          <t>CMD-0004</t>
        </is>
      </c>
      <c r="C1952" s="43" t="inlineStr">
        <is>
          <t>S07</t>
        </is>
      </c>
      <c r="D1952" s="47" t="n">
        <v>46283</v>
      </c>
      <c r="E1952" s="47" t="n">
        <v>46374</v>
      </c>
      <c r="F1952" s="47" t="n"/>
      <c r="G1952" s="46" t="n">
        <v>3330</v>
      </c>
      <c r="H1952" s="46" t="n">
        <v>0</v>
      </c>
      <c r="I1952" s="46" t="n">
        <v>0</v>
      </c>
      <c r="J1952" s="44" t="n">
        <v>4.779</v>
      </c>
      <c r="K1952" s="43" t="inlineStr">
        <is>
          <t>Open</t>
        </is>
      </c>
      <c r="L1952" s="17">
        <f>INDEX(Items!$C$2:$C$117,MATCH(B1952,Items!$A$2:$A$117,0))</f>
        <v/>
      </c>
      <c r="M1952" s="49">
        <f>INDEX(Items!$E$2:$E$117,MATCH(B1952,Items!$A$2:$A$117,0))</f>
        <v/>
      </c>
      <c r="N1952" s="17">
        <f>TEXT(D1952,"yyyy-mm")</f>
        <v/>
      </c>
      <c r="O1952" s="50">
        <f>G1952*J1952</f>
        <v/>
      </c>
      <c r="P1952" s="50">
        <f>(J1952-M1952)*G1952</f>
        <v/>
      </c>
      <c r="Q1952" s="51">
        <f>IF(K1952="Received",1,0)</f>
        <v/>
      </c>
      <c r="R1952" s="51">
        <f>IF(Q1952=1,F1952-D1952,0)</f>
        <v/>
      </c>
      <c r="S1952" s="51">
        <f>IF(Q1952=1,IF(F1952&lt;=E1952,1,0),0)</f>
        <v/>
      </c>
      <c r="T1952" s="51">
        <f>IF(Q1952=1,IF(H1952&gt;=G1952,1,0),0)</f>
        <v/>
      </c>
      <c r="U1952" s="51">
        <f>S1952*T1952</f>
        <v/>
      </c>
      <c r="V1952" s="51">
        <f>IF(Q1952=1,MAX(0,F1952-E1952),0)</f>
        <v/>
      </c>
    </row>
    <row r="1953">
      <c r="A1953" s="43" t="inlineStr">
        <is>
          <t>PO100745</t>
        </is>
      </c>
      <c r="B1953" s="43" t="inlineStr">
        <is>
          <t>CMD-0033</t>
        </is>
      </c>
      <c r="C1953" s="43" t="inlineStr">
        <is>
          <t>S07</t>
        </is>
      </c>
      <c r="D1953" s="47" t="n">
        <v>46283</v>
      </c>
      <c r="E1953" s="47" t="n">
        <v>46325</v>
      </c>
      <c r="F1953" s="47" t="n"/>
      <c r="G1953" s="46" t="n">
        <v>3572</v>
      </c>
      <c r="H1953" s="46" t="n">
        <v>0</v>
      </c>
      <c r="I1953" s="46" t="n">
        <v>0</v>
      </c>
      <c r="J1953" s="44" t="n">
        <v>60.1108</v>
      </c>
      <c r="K1953" s="43" t="inlineStr">
        <is>
          <t>Open</t>
        </is>
      </c>
      <c r="L1953" s="17">
        <f>INDEX(Items!$C$2:$C$117,MATCH(B1953,Items!$A$2:$A$117,0))</f>
        <v/>
      </c>
      <c r="M1953" s="49">
        <f>INDEX(Items!$E$2:$E$117,MATCH(B1953,Items!$A$2:$A$117,0))</f>
        <v/>
      </c>
      <c r="N1953" s="17">
        <f>TEXT(D1953,"yyyy-mm")</f>
        <v/>
      </c>
      <c r="O1953" s="50">
        <f>G1953*J1953</f>
        <v/>
      </c>
      <c r="P1953" s="50">
        <f>(J1953-M1953)*G1953</f>
        <v/>
      </c>
      <c r="Q1953" s="51">
        <f>IF(K1953="Received",1,0)</f>
        <v/>
      </c>
      <c r="R1953" s="51">
        <f>IF(Q1953=1,F1953-D1953,0)</f>
        <v/>
      </c>
      <c r="S1953" s="51">
        <f>IF(Q1953=1,IF(F1953&lt;=E1953,1,0),0)</f>
        <v/>
      </c>
      <c r="T1953" s="51">
        <f>IF(Q1953=1,IF(H1953&gt;=G1953,1,0),0)</f>
        <v/>
      </c>
      <c r="U1953" s="51">
        <f>S1953*T1953</f>
        <v/>
      </c>
      <c r="V1953" s="51">
        <f>IF(Q1953=1,MAX(0,F1953-E1953),0)</f>
        <v/>
      </c>
    </row>
    <row r="1954">
      <c r="A1954" s="43" t="inlineStr">
        <is>
          <t>PO100899</t>
        </is>
      </c>
      <c r="B1954" s="43" t="inlineStr">
        <is>
          <t>CMD-0040</t>
        </is>
      </c>
      <c r="C1954" s="43" t="inlineStr">
        <is>
          <t>S07</t>
        </is>
      </c>
      <c r="D1954" s="47" t="n">
        <v>46283</v>
      </c>
      <c r="E1954" s="47" t="n">
        <v>46325</v>
      </c>
      <c r="F1954" s="47" t="n"/>
      <c r="G1954" s="46" t="n">
        <v>615</v>
      </c>
      <c r="H1954" s="46" t="n">
        <v>0</v>
      </c>
      <c r="I1954" s="46" t="n">
        <v>0</v>
      </c>
      <c r="J1954" s="44" t="n">
        <v>9.2288</v>
      </c>
      <c r="K1954" s="43" t="inlineStr">
        <is>
          <t>Open</t>
        </is>
      </c>
      <c r="L1954" s="17">
        <f>INDEX(Items!$C$2:$C$117,MATCH(B1954,Items!$A$2:$A$117,0))</f>
        <v/>
      </c>
      <c r="M1954" s="49">
        <f>INDEX(Items!$E$2:$E$117,MATCH(B1954,Items!$A$2:$A$117,0))</f>
        <v/>
      </c>
      <c r="N1954" s="17">
        <f>TEXT(D1954,"yyyy-mm")</f>
        <v/>
      </c>
      <c r="O1954" s="50">
        <f>G1954*J1954</f>
        <v/>
      </c>
      <c r="P1954" s="50">
        <f>(J1954-M1954)*G1954</f>
        <v/>
      </c>
      <c r="Q1954" s="51">
        <f>IF(K1954="Received",1,0)</f>
        <v/>
      </c>
      <c r="R1954" s="51">
        <f>IF(Q1954=1,F1954-D1954,0)</f>
        <v/>
      </c>
      <c r="S1954" s="51">
        <f>IF(Q1954=1,IF(F1954&lt;=E1954,1,0),0)</f>
        <v/>
      </c>
      <c r="T1954" s="51">
        <f>IF(Q1954=1,IF(H1954&gt;=G1954,1,0),0)</f>
        <v/>
      </c>
      <c r="U1954" s="51">
        <f>S1954*T1954</f>
        <v/>
      </c>
      <c r="V1954" s="51">
        <f>IF(Q1954=1,MAX(0,F1954-E1954),0)</f>
        <v/>
      </c>
    </row>
    <row r="1955">
      <c r="A1955" s="43" t="inlineStr">
        <is>
          <t>PO100543</t>
        </is>
      </c>
      <c r="B1955" s="43" t="inlineStr">
        <is>
          <t>CMD-0024</t>
        </is>
      </c>
      <c r="C1955" s="43" t="inlineStr">
        <is>
          <t>S04</t>
        </is>
      </c>
      <c r="D1955" s="47" t="n">
        <v>46284</v>
      </c>
      <c r="E1955" s="47" t="n">
        <v>46354</v>
      </c>
      <c r="F1955" s="47" t="n"/>
      <c r="G1955" s="46" t="n">
        <v>5188</v>
      </c>
      <c r="H1955" s="46" t="n">
        <v>0</v>
      </c>
      <c r="I1955" s="46" t="n">
        <v>0</v>
      </c>
      <c r="J1955" s="44" t="n">
        <v>3.4093</v>
      </c>
      <c r="K1955" s="43" t="inlineStr">
        <is>
          <t>Open</t>
        </is>
      </c>
      <c r="L1955" s="17">
        <f>INDEX(Items!$C$2:$C$117,MATCH(B1955,Items!$A$2:$A$117,0))</f>
        <v/>
      </c>
      <c r="M1955" s="49">
        <f>INDEX(Items!$E$2:$E$117,MATCH(B1955,Items!$A$2:$A$117,0))</f>
        <v/>
      </c>
      <c r="N1955" s="17">
        <f>TEXT(D1955,"yyyy-mm")</f>
        <v/>
      </c>
      <c r="O1955" s="50">
        <f>G1955*J1955</f>
        <v/>
      </c>
      <c r="P1955" s="50">
        <f>(J1955-M1955)*G1955</f>
        <v/>
      </c>
      <c r="Q1955" s="51">
        <f>IF(K1955="Received",1,0)</f>
        <v/>
      </c>
      <c r="R1955" s="51">
        <f>IF(Q1955=1,F1955-D1955,0)</f>
        <v/>
      </c>
      <c r="S1955" s="51">
        <f>IF(Q1955=1,IF(F1955&lt;=E1955,1,0),0)</f>
        <v/>
      </c>
      <c r="T1955" s="51">
        <f>IF(Q1955=1,IF(H1955&gt;=G1955,1,0),0)</f>
        <v/>
      </c>
      <c r="U1955" s="51">
        <f>S1955*T1955</f>
        <v/>
      </c>
      <c r="V1955" s="51">
        <f>IF(Q1955=1,MAX(0,F1955-E1955),0)</f>
        <v/>
      </c>
    </row>
    <row r="1956">
      <c r="A1956" s="43" t="inlineStr">
        <is>
          <t>PO100957</t>
        </is>
      </c>
      <c r="B1956" s="43" t="inlineStr">
        <is>
          <t>CMD-0043</t>
        </is>
      </c>
      <c r="C1956" s="43" t="inlineStr">
        <is>
          <t>S05</t>
        </is>
      </c>
      <c r="D1956" s="47" t="n">
        <v>46284</v>
      </c>
      <c r="E1956" s="47" t="n">
        <v>46389</v>
      </c>
      <c r="F1956" s="47" t="n"/>
      <c r="G1956" s="46" t="n">
        <v>6085</v>
      </c>
      <c r="H1956" s="46" t="n">
        <v>0</v>
      </c>
      <c r="I1956" s="46" t="n">
        <v>0</v>
      </c>
      <c r="J1956" s="44" t="n">
        <v>3.8007</v>
      </c>
      <c r="K1956" s="43" t="inlineStr">
        <is>
          <t>Open</t>
        </is>
      </c>
      <c r="L1956" s="17">
        <f>INDEX(Items!$C$2:$C$117,MATCH(B1956,Items!$A$2:$A$117,0))</f>
        <v/>
      </c>
      <c r="M1956" s="49">
        <f>INDEX(Items!$E$2:$E$117,MATCH(B1956,Items!$A$2:$A$117,0))</f>
        <v/>
      </c>
      <c r="N1956" s="17">
        <f>TEXT(D1956,"yyyy-mm")</f>
        <v/>
      </c>
      <c r="O1956" s="50">
        <f>G1956*J1956</f>
        <v/>
      </c>
      <c r="P1956" s="50">
        <f>(J1956-M1956)*G1956</f>
        <v/>
      </c>
      <c r="Q1956" s="51">
        <f>IF(K1956="Received",1,0)</f>
        <v/>
      </c>
      <c r="R1956" s="51">
        <f>IF(Q1956=1,F1956-D1956,0)</f>
        <v/>
      </c>
      <c r="S1956" s="51">
        <f>IF(Q1956=1,IF(F1956&lt;=E1956,1,0),0)</f>
        <v/>
      </c>
      <c r="T1956" s="51">
        <f>IF(Q1956=1,IF(H1956&gt;=G1956,1,0),0)</f>
        <v/>
      </c>
      <c r="U1956" s="51">
        <f>S1956*T1956</f>
        <v/>
      </c>
      <c r="V1956" s="51">
        <f>IF(Q1956=1,MAX(0,F1956-E1956),0)</f>
        <v/>
      </c>
    </row>
    <row r="1957">
      <c r="A1957" s="43" t="inlineStr">
        <is>
          <t>PO100933</t>
        </is>
      </c>
      <c r="B1957" s="43" t="inlineStr">
        <is>
          <t>CMD-0042</t>
        </is>
      </c>
      <c r="C1957" s="43" t="inlineStr">
        <is>
          <t>S05</t>
        </is>
      </c>
      <c r="D1957" s="47" t="n">
        <v>46284</v>
      </c>
      <c r="E1957" s="47" t="n">
        <v>46389</v>
      </c>
      <c r="F1957" s="47" t="n"/>
      <c r="G1957" s="46" t="n">
        <v>643</v>
      </c>
      <c r="H1957" s="46" t="n">
        <v>0</v>
      </c>
      <c r="I1957" s="46" t="n">
        <v>0</v>
      </c>
      <c r="J1957" s="44" t="n">
        <v>9.177300000000001</v>
      </c>
      <c r="K1957" s="43" t="inlineStr">
        <is>
          <t>Open</t>
        </is>
      </c>
      <c r="L1957" s="17">
        <f>INDEX(Items!$C$2:$C$117,MATCH(B1957,Items!$A$2:$A$117,0))</f>
        <v/>
      </c>
      <c r="M1957" s="49">
        <f>INDEX(Items!$E$2:$E$117,MATCH(B1957,Items!$A$2:$A$117,0))</f>
        <v/>
      </c>
      <c r="N1957" s="17">
        <f>TEXT(D1957,"yyyy-mm")</f>
        <v/>
      </c>
      <c r="O1957" s="50">
        <f>G1957*J1957</f>
        <v/>
      </c>
      <c r="P1957" s="50">
        <f>(J1957-M1957)*G1957</f>
        <v/>
      </c>
      <c r="Q1957" s="51">
        <f>IF(K1957="Received",1,0)</f>
        <v/>
      </c>
      <c r="R1957" s="51">
        <f>IF(Q1957=1,F1957-D1957,0)</f>
        <v/>
      </c>
      <c r="S1957" s="51">
        <f>IF(Q1957=1,IF(F1957&lt;=E1957,1,0),0)</f>
        <v/>
      </c>
      <c r="T1957" s="51">
        <f>IF(Q1957=1,IF(H1957&gt;=G1957,1,0),0)</f>
        <v/>
      </c>
      <c r="U1957" s="51">
        <f>S1957*T1957</f>
        <v/>
      </c>
      <c r="V1957" s="51">
        <f>IF(Q1957=1,MAX(0,F1957-E1957),0)</f>
        <v/>
      </c>
    </row>
    <row r="1958">
      <c r="A1958" s="43" t="inlineStr">
        <is>
          <t>PO100119</t>
        </is>
      </c>
      <c r="B1958" s="43" t="inlineStr">
        <is>
          <t>CMD-0005</t>
        </is>
      </c>
      <c r="C1958" s="43" t="inlineStr">
        <is>
          <t>S07</t>
        </is>
      </c>
      <c r="D1958" s="47" t="n">
        <v>46284</v>
      </c>
      <c r="E1958" s="47" t="n">
        <v>46375</v>
      </c>
      <c r="F1958" s="47" t="n"/>
      <c r="G1958" s="46" t="n">
        <v>4161</v>
      </c>
      <c r="H1958" s="46" t="n">
        <v>0</v>
      </c>
      <c r="I1958" s="46" t="n">
        <v>0</v>
      </c>
      <c r="J1958" s="44" t="n">
        <v>6.6434</v>
      </c>
      <c r="K1958" s="43" t="inlineStr">
        <is>
          <t>Open</t>
        </is>
      </c>
      <c r="L1958" s="17">
        <f>INDEX(Items!$C$2:$C$117,MATCH(B1958,Items!$A$2:$A$117,0))</f>
        <v/>
      </c>
      <c r="M1958" s="49">
        <f>INDEX(Items!$E$2:$E$117,MATCH(B1958,Items!$A$2:$A$117,0))</f>
        <v/>
      </c>
      <c r="N1958" s="17">
        <f>TEXT(D1958,"yyyy-mm")</f>
        <v/>
      </c>
      <c r="O1958" s="50">
        <f>G1958*J1958</f>
        <v/>
      </c>
      <c r="P1958" s="50">
        <f>(J1958-M1958)*G1958</f>
        <v/>
      </c>
      <c r="Q1958" s="51">
        <f>IF(K1958="Received",1,0)</f>
        <v/>
      </c>
      <c r="R1958" s="51">
        <f>IF(Q1958=1,F1958-D1958,0)</f>
        <v/>
      </c>
      <c r="S1958" s="51">
        <f>IF(Q1958=1,IF(F1958&lt;=E1958,1,0),0)</f>
        <v/>
      </c>
      <c r="T1958" s="51">
        <f>IF(Q1958=1,IF(H1958&gt;=G1958,1,0),0)</f>
        <v/>
      </c>
      <c r="U1958" s="51">
        <f>S1958*T1958</f>
        <v/>
      </c>
      <c r="V1958" s="51">
        <f>IF(Q1958=1,MAX(0,F1958-E1958),0)</f>
        <v/>
      </c>
    </row>
    <row r="1959">
      <c r="A1959" s="43" t="inlineStr">
        <is>
          <t>PO100663</t>
        </is>
      </c>
      <c r="B1959" s="43" t="inlineStr">
        <is>
          <t>CMD-0029</t>
        </is>
      </c>
      <c r="C1959" s="43" t="inlineStr">
        <is>
          <t>S11</t>
        </is>
      </c>
      <c r="D1959" s="47" t="n">
        <v>46284</v>
      </c>
      <c r="E1959" s="47" t="n">
        <v>46361</v>
      </c>
      <c r="F1959" s="47" t="n"/>
      <c r="G1959" s="46" t="n">
        <v>4203</v>
      </c>
      <c r="H1959" s="46" t="n">
        <v>0</v>
      </c>
      <c r="I1959" s="46" t="n">
        <v>0</v>
      </c>
      <c r="J1959" s="44" t="n">
        <v>7.0761</v>
      </c>
      <c r="K1959" s="43" t="inlineStr">
        <is>
          <t>Open</t>
        </is>
      </c>
      <c r="L1959" s="17">
        <f>INDEX(Items!$C$2:$C$117,MATCH(B1959,Items!$A$2:$A$117,0))</f>
        <v/>
      </c>
      <c r="M1959" s="49">
        <f>INDEX(Items!$E$2:$E$117,MATCH(B1959,Items!$A$2:$A$117,0))</f>
        <v/>
      </c>
      <c r="N1959" s="17">
        <f>TEXT(D1959,"yyyy-mm")</f>
        <v/>
      </c>
      <c r="O1959" s="50">
        <f>G1959*J1959</f>
        <v/>
      </c>
      <c r="P1959" s="50">
        <f>(J1959-M1959)*G1959</f>
        <v/>
      </c>
      <c r="Q1959" s="51">
        <f>IF(K1959="Received",1,0)</f>
        <v/>
      </c>
      <c r="R1959" s="51">
        <f>IF(Q1959=1,F1959-D1959,0)</f>
        <v/>
      </c>
      <c r="S1959" s="51">
        <f>IF(Q1959=1,IF(F1959&lt;=E1959,1,0),0)</f>
        <v/>
      </c>
      <c r="T1959" s="51">
        <f>IF(Q1959=1,IF(H1959&gt;=G1959,1,0),0)</f>
        <v/>
      </c>
      <c r="U1959" s="51">
        <f>S1959*T1959</f>
        <v/>
      </c>
      <c r="V1959" s="51">
        <f>IF(Q1959=1,MAX(0,F1959-E1959),0)</f>
        <v/>
      </c>
    </row>
    <row r="1960">
      <c r="A1960" s="43" t="inlineStr">
        <is>
          <t>PO101983</t>
        </is>
      </c>
      <c r="B1960" s="43" t="inlineStr">
        <is>
          <t>CMD-0109</t>
        </is>
      </c>
      <c r="C1960" s="43" t="inlineStr">
        <is>
          <t>S12</t>
        </is>
      </c>
      <c r="D1960" s="47" t="n">
        <v>46284</v>
      </c>
      <c r="E1960" s="47" t="n">
        <v>46291</v>
      </c>
      <c r="F1960" s="47" t="n">
        <v>46289</v>
      </c>
      <c r="G1960" s="46" t="n">
        <v>5541</v>
      </c>
      <c r="H1960" s="46" t="n">
        <v>5541</v>
      </c>
      <c r="I1960" s="46" t="n">
        <v>9</v>
      </c>
      <c r="J1960" s="44" t="n">
        <v>1.751</v>
      </c>
      <c r="K1960" s="43" t="inlineStr">
        <is>
          <t>Received</t>
        </is>
      </c>
      <c r="L1960" s="17">
        <f>INDEX(Items!$C$2:$C$117,MATCH(B1960,Items!$A$2:$A$117,0))</f>
        <v/>
      </c>
      <c r="M1960" s="49">
        <f>INDEX(Items!$E$2:$E$117,MATCH(B1960,Items!$A$2:$A$117,0))</f>
        <v/>
      </c>
      <c r="N1960" s="17">
        <f>TEXT(D1960,"yyyy-mm")</f>
        <v/>
      </c>
      <c r="O1960" s="50">
        <f>G1960*J1960</f>
        <v/>
      </c>
      <c r="P1960" s="50">
        <f>(J1960-M1960)*G1960</f>
        <v/>
      </c>
      <c r="Q1960" s="51">
        <f>IF(K1960="Received",1,0)</f>
        <v/>
      </c>
      <c r="R1960" s="51">
        <f>IF(Q1960=1,F1960-D1960,0)</f>
        <v/>
      </c>
      <c r="S1960" s="51">
        <f>IF(Q1960=1,IF(F1960&lt;=E1960,1,0),0)</f>
        <v/>
      </c>
      <c r="T1960" s="51">
        <f>IF(Q1960=1,IF(H1960&gt;=G1960,1,0),0)</f>
        <v/>
      </c>
      <c r="U1960" s="51">
        <f>S1960*T1960</f>
        <v/>
      </c>
      <c r="V1960" s="51">
        <f>IF(Q1960=1,MAX(0,F1960-E1960),0)</f>
        <v/>
      </c>
    </row>
    <row r="1961">
      <c r="A1961" s="43" t="inlineStr">
        <is>
          <t>PO100495</t>
        </is>
      </c>
      <c r="B1961" s="43" t="inlineStr">
        <is>
          <t>CMD-0022</t>
        </is>
      </c>
      <c r="C1961" s="43" t="inlineStr">
        <is>
          <t>S02</t>
        </is>
      </c>
      <c r="D1961" s="47" t="n">
        <v>46284</v>
      </c>
      <c r="E1961" s="47" t="n">
        <v>46340</v>
      </c>
      <c r="F1961" s="47" t="n"/>
      <c r="G1961" s="46" t="n">
        <v>3054</v>
      </c>
      <c r="H1961" s="46" t="n">
        <v>0</v>
      </c>
      <c r="I1961" s="46" t="n">
        <v>0</v>
      </c>
      <c r="J1961" s="44" t="n">
        <v>17.6954</v>
      </c>
      <c r="K1961" s="43" t="inlineStr">
        <is>
          <t>Open</t>
        </is>
      </c>
      <c r="L1961" s="17">
        <f>INDEX(Items!$C$2:$C$117,MATCH(B1961,Items!$A$2:$A$117,0))</f>
        <v/>
      </c>
      <c r="M1961" s="49">
        <f>INDEX(Items!$E$2:$E$117,MATCH(B1961,Items!$A$2:$A$117,0))</f>
        <v/>
      </c>
      <c r="N1961" s="17">
        <f>TEXT(D1961,"yyyy-mm")</f>
        <v/>
      </c>
      <c r="O1961" s="50">
        <f>G1961*J1961</f>
        <v/>
      </c>
      <c r="P1961" s="50">
        <f>(J1961-M1961)*G1961</f>
        <v/>
      </c>
      <c r="Q1961" s="51">
        <f>IF(K1961="Received",1,0)</f>
        <v/>
      </c>
      <c r="R1961" s="51">
        <f>IF(Q1961=1,F1961-D1961,0)</f>
        <v/>
      </c>
      <c r="S1961" s="51">
        <f>IF(Q1961=1,IF(F1961&lt;=E1961,1,0),0)</f>
        <v/>
      </c>
      <c r="T1961" s="51">
        <f>IF(Q1961=1,IF(H1961&gt;=G1961,1,0),0)</f>
        <v/>
      </c>
      <c r="U1961" s="51">
        <f>S1961*T1961</f>
        <v/>
      </c>
      <c r="V1961" s="51">
        <f>IF(Q1961=1,MAX(0,F1961-E1961),0)</f>
        <v/>
      </c>
    </row>
    <row r="1962">
      <c r="A1962" s="43" t="inlineStr">
        <is>
          <t>PO101455</t>
        </is>
      </c>
      <c r="B1962" s="43" t="inlineStr">
        <is>
          <t>CMD-0077</t>
        </is>
      </c>
      <c r="C1962" s="43" t="inlineStr">
        <is>
          <t>S01</t>
        </is>
      </c>
      <c r="D1962" s="47" t="n">
        <v>46284</v>
      </c>
      <c r="E1962" s="47" t="n">
        <v>46298</v>
      </c>
      <c r="F1962" s="47" t="n"/>
      <c r="G1962" s="46" t="n">
        <v>4727</v>
      </c>
      <c r="H1962" s="46" t="n">
        <v>0</v>
      </c>
      <c r="I1962" s="46" t="n">
        <v>0</v>
      </c>
      <c r="J1962" s="44" t="n">
        <v>9.012499999999999</v>
      </c>
      <c r="K1962" s="43" t="inlineStr">
        <is>
          <t>Open</t>
        </is>
      </c>
      <c r="L1962" s="17">
        <f>INDEX(Items!$C$2:$C$117,MATCH(B1962,Items!$A$2:$A$117,0))</f>
        <v/>
      </c>
      <c r="M1962" s="49">
        <f>INDEX(Items!$E$2:$E$117,MATCH(B1962,Items!$A$2:$A$117,0))</f>
        <v/>
      </c>
      <c r="N1962" s="17">
        <f>TEXT(D1962,"yyyy-mm")</f>
        <v/>
      </c>
      <c r="O1962" s="50">
        <f>G1962*J1962</f>
        <v/>
      </c>
      <c r="P1962" s="50">
        <f>(J1962-M1962)*G1962</f>
        <v/>
      </c>
      <c r="Q1962" s="51">
        <f>IF(K1962="Received",1,0)</f>
        <v/>
      </c>
      <c r="R1962" s="51">
        <f>IF(Q1962=1,F1962-D1962,0)</f>
        <v/>
      </c>
      <c r="S1962" s="51">
        <f>IF(Q1962=1,IF(F1962&lt;=E1962,1,0),0)</f>
        <v/>
      </c>
      <c r="T1962" s="51">
        <f>IF(Q1962=1,IF(H1962&gt;=G1962,1,0),0)</f>
        <v/>
      </c>
      <c r="U1962" s="51">
        <f>S1962*T1962</f>
        <v/>
      </c>
      <c r="V1962" s="51">
        <f>IF(Q1962=1,MAX(0,F1962-E1962),0)</f>
        <v/>
      </c>
    </row>
    <row r="1963">
      <c r="A1963" s="43" t="inlineStr">
        <is>
          <t>PO100817</t>
        </is>
      </c>
      <c r="B1963" s="43" t="inlineStr">
        <is>
          <t>CMD-0036</t>
        </is>
      </c>
      <c r="C1963" s="43" t="inlineStr">
        <is>
          <t>S04</t>
        </is>
      </c>
      <c r="D1963" s="47" t="n">
        <v>46284</v>
      </c>
      <c r="E1963" s="47" t="n">
        <v>46326</v>
      </c>
      <c r="F1963" s="47" t="n"/>
      <c r="G1963" s="46" t="n">
        <v>596</v>
      </c>
      <c r="H1963" s="46" t="n">
        <v>0</v>
      </c>
      <c r="I1963" s="46" t="n">
        <v>0</v>
      </c>
      <c r="J1963" s="44" t="n">
        <v>12.7308</v>
      </c>
      <c r="K1963" s="43" t="inlineStr">
        <is>
          <t>Open</t>
        </is>
      </c>
      <c r="L1963" s="17">
        <f>INDEX(Items!$C$2:$C$117,MATCH(B1963,Items!$A$2:$A$117,0))</f>
        <v/>
      </c>
      <c r="M1963" s="49">
        <f>INDEX(Items!$E$2:$E$117,MATCH(B1963,Items!$A$2:$A$117,0))</f>
        <v/>
      </c>
      <c r="N1963" s="17">
        <f>TEXT(D1963,"yyyy-mm")</f>
        <v/>
      </c>
      <c r="O1963" s="50">
        <f>G1963*J1963</f>
        <v/>
      </c>
      <c r="P1963" s="50">
        <f>(J1963-M1963)*G1963</f>
        <v/>
      </c>
      <c r="Q1963" s="51">
        <f>IF(K1963="Received",1,0)</f>
        <v/>
      </c>
      <c r="R1963" s="51">
        <f>IF(Q1963=1,F1963-D1963,0)</f>
        <v/>
      </c>
      <c r="S1963" s="51">
        <f>IF(Q1963=1,IF(F1963&lt;=E1963,1,0),0)</f>
        <v/>
      </c>
      <c r="T1963" s="51">
        <f>IF(Q1963=1,IF(H1963&gt;=G1963,1,0),0)</f>
        <v/>
      </c>
      <c r="U1963" s="51">
        <f>S1963*T1963</f>
        <v/>
      </c>
      <c r="V1963" s="51">
        <f>IF(Q1963=1,MAX(0,F1963-E1963),0)</f>
        <v/>
      </c>
    </row>
    <row r="1964">
      <c r="A1964" s="43" t="inlineStr">
        <is>
          <t>PO101479</t>
        </is>
      </c>
      <c r="B1964" s="43" t="inlineStr">
        <is>
          <t>CMD-0078</t>
        </is>
      </c>
      <c r="C1964" s="43" t="inlineStr">
        <is>
          <t>S06</t>
        </is>
      </c>
      <c r="D1964" s="47" t="n">
        <v>46284</v>
      </c>
      <c r="E1964" s="47" t="n">
        <v>46305</v>
      </c>
      <c r="F1964" s="47" t="n"/>
      <c r="G1964" s="46" t="n">
        <v>4764</v>
      </c>
      <c r="H1964" s="46" t="n">
        <v>0</v>
      </c>
      <c r="I1964" s="46" t="n">
        <v>0</v>
      </c>
      <c r="J1964" s="44" t="n">
        <v>2.678</v>
      </c>
      <c r="K1964" s="43" t="inlineStr">
        <is>
          <t>Open</t>
        </is>
      </c>
      <c r="L1964" s="17">
        <f>INDEX(Items!$C$2:$C$117,MATCH(B1964,Items!$A$2:$A$117,0))</f>
        <v/>
      </c>
      <c r="M1964" s="49">
        <f>INDEX(Items!$E$2:$E$117,MATCH(B1964,Items!$A$2:$A$117,0))</f>
        <v/>
      </c>
      <c r="N1964" s="17">
        <f>TEXT(D1964,"yyyy-mm")</f>
        <v/>
      </c>
      <c r="O1964" s="50">
        <f>G1964*J1964</f>
        <v/>
      </c>
      <c r="P1964" s="50">
        <f>(J1964-M1964)*G1964</f>
        <v/>
      </c>
      <c r="Q1964" s="51">
        <f>IF(K1964="Received",1,0)</f>
        <v/>
      </c>
      <c r="R1964" s="51">
        <f>IF(Q1964=1,F1964-D1964,0)</f>
        <v/>
      </c>
      <c r="S1964" s="51">
        <f>IF(Q1964=1,IF(F1964&lt;=E1964,1,0),0)</f>
        <v/>
      </c>
      <c r="T1964" s="51">
        <f>IF(Q1964=1,IF(H1964&gt;=G1964,1,0),0)</f>
        <v/>
      </c>
      <c r="U1964" s="51">
        <f>S1964*T1964</f>
        <v/>
      </c>
      <c r="V1964" s="51">
        <f>IF(Q1964=1,MAX(0,F1964-E1964),0)</f>
        <v/>
      </c>
    </row>
    <row r="1965">
      <c r="A1965" s="43" t="inlineStr">
        <is>
          <t>PO101029</t>
        </is>
      </c>
      <c r="B1965" s="43" t="inlineStr">
        <is>
          <t>CMD-0046</t>
        </is>
      </c>
      <c r="C1965" s="43" t="inlineStr">
        <is>
          <t>S05</t>
        </is>
      </c>
      <c r="D1965" s="47" t="n">
        <v>46284</v>
      </c>
      <c r="E1965" s="47" t="n">
        <v>46389</v>
      </c>
      <c r="F1965" s="47" t="n"/>
      <c r="G1965" s="46" t="n">
        <v>8799</v>
      </c>
      <c r="H1965" s="46" t="n">
        <v>0</v>
      </c>
      <c r="I1965" s="46" t="n">
        <v>0</v>
      </c>
      <c r="J1965" s="44" t="n">
        <v>10.8871</v>
      </c>
      <c r="K1965" s="43" t="inlineStr">
        <is>
          <t>Open</t>
        </is>
      </c>
      <c r="L1965" s="17">
        <f>INDEX(Items!$C$2:$C$117,MATCH(B1965,Items!$A$2:$A$117,0))</f>
        <v/>
      </c>
      <c r="M1965" s="49">
        <f>INDEX(Items!$E$2:$E$117,MATCH(B1965,Items!$A$2:$A$117,0))</f>
        <v/>
      </c>
      <c r="N1965" s="17">
        <f>TEXT(D1965,"yyyy-mm")</f>
        <v/>
      </c>
      <c r="O1965" s="50">
        <f>G1965*J1965</f>
        <v/>
      </c>
      <c r="P1965" s="50">
        <f>(J1965-M1965)*G1965</f>
        <v/>
      </c>
      <c r="Q1965" s="51">
        <f>IF(K1965="Received",1,0)</f>
        <v/>
      </c>
      <c r="R1965" s="51">
        <f>IF(Q1965=1,F1965-D1965,0)</f>
        <v/>
      </c>
      <c r="S1965" s="51">
        <f>IF(Q1965=1,IF(F1965&lt;=E1965,1,0),0)</f>
        <v/>
      </c>
      <c r="T1965" s="51">
        <f>IF(Q1965=1,IF(H1965&gt;=G1965,1,0),0)</f>
        <v/>
      </c>
      <c r="U1965" s="51">
        <f>S1965*T1965</f>
        <v/>
      </c>
      <c r="V1965" s="51">
        <f>IF(Q1965=1,MAX(0,F1965-E1965),0)</f>
        <v/>
      </c>
    </row>
    <row r="1966">
      <c r="A1966" s="43" t="inlineStr">
        <is>
          <t>PO101555</t>
        </is>
      </c>
      <c r="B1966" s="43" t="inlineStr">
        <is>
          <t>CMD-0082</t>
        </is>
      </c>
      <c r="C1966" s="43" t="inlineStr">
        <is>
          <t>S01</t>
        </is>
      </c>
      <c r="D1966" s="47" t="n">
        <v>46285</v>
      </c>
      <c r="E1966" s="47" t="n">
        <v>46299</v>
      </c>
      <c r="F1966" s="47" t="n"/>
      <c r="G1966" s="46" t="n">
        <v>8120</v>
      </c>
      <c r="H1966" s="46" t="n">
        <v>0</v>
      </c>
      <c r="I1966" s="46" t="n">
        <v>0</v>
      </c>
      <c r="J1966" s="44" t="n">
        <v>2.3896</v>
      </c>
      <c r="K1966" s="43" t="inlineStr">
        <is>
          <t>Open</t>
        </is>
      </c>
      <c r="L1966" s="17">
        <f>INDEX(Items!$C$2:$C$117,MATCH(B1966,Items!$A$2:$A$117,0))</f>
        <v/>
      </c>
      <c r="M1966" s="49">
        <f>INDEX(Items!$E$2:$E$117,MATCH(B1966,Items!$A$2:$A$117,0))</f>
        <v/>
      </c>
      <c r="N1966" s="17">
        <f>TEXT(D1966,"yyyy-mm")</f>
        <v/>
      </c>
      <c r="O1966" s="50">
        <f>G1966*J1966</f>
        <v/>
      </c>
      <c r="P1966" s="50">
        <f>(J1966-M1966)*G1966</f>
        <v/>
      </c>
      <c r="Q1966" s="51">
        <f>IF(K1966="Received",1,0)</f>
        <v/>
      </c>
      <c r="R1966" s="51">
        <f>IF(Q1966=1,F1966-D1966,0)</f>
        <v/>
      </c>
      <c r="S1966" s="51">
        <f>IF(Q1966=1,IF(F1966&lt;=E1966,1,0),0)</f>
        <v/>
      </c>
      <c r="T1966" s="51">
        <f>IF(Q1966=1,IF(H1966&gt;=G1966,1,0),0)</f>
        <v/>
      </c>
      <c r="U1966" s="51">
        <f>S1966*T1966</f>
        <v/>
      </c>
      <c r="V1966" s="51">
        <f>IF(Q1966=1,MAX(0,F1966-E1966),0)</f>
        <v/>
      </c>
    </row>
    <row r="1967">
      <c r="A1967" s="43" t="inlineStr">
        <is>
          <t>PO100167</t>
        </is>
      </c>
      <c r="B1967" s="43" t="inlineStr">
        <is>
          <t>CMD-0007</t>
        </is>
      </c>
      <c r="C1967" s="43" t="inlineStr">
        <is>
          <t>S03</t>
        </is>
      </c>
      <c r="D1967" s="47" t="n">
        <v>46285</v>
      </c>
      <c r="E1967" s="47" t="n">
        <v>46418</v>
      </c>
      <c r="F1967" s="47" t="n"/>
      <c r="G1967" s="46" t="n">
        <v>4271</v>
      </c>
      <c r="H1967" s="46" t="n">
        <v>0</v>
      </c>
      <c r="I1967" s="46" t="n">
        <v>0</v>
      </c>
      <c r="J1967" s="44" t="n">
        <v>22.8802</v>
      </c>
      <c r="K1967" s="43" t="inlineStr">
        <is>
          <t>Open</t>
        </is>
      </c>
      <c r="L1967" s="17">
        <f>INDEX(Items!$C$2:$C$117,MATCH(B1967,Items!$A$2:$A$117,0))</f>
        <v/>
      </c>
      <c r="M1967" s="49">
        <f>INDEX(Items!$E$2:$E$117,MATCH(B1967,Items!$A$2:$A$117,0))</f>
        <v/>
      </c>
      <c r="N1967" s="17">
        <f>TEXT(D1967,"yyyy-mm")</f>
        <v/>
      </c>
      <c r="O1967" s="50">
        <f>G1967*J1967</f>
        <v/>
      </c>
      <c r="P1967" s="50">
        <f>(J1967-M1967)*G1967</f>
        <v/>
      </c>
      <c r="Q1967" s="51">
        <f>IF(K1967="Received",1,0)</f>
        <v/>
      </c>
      <c r="R1967" s="51">
        <f>IF(Q1967=1,F1967-D1967,0)</f>
        <v/>
      </c>
      <c r="S1967" s="51">
        <f>IF(Q1967=1,IF(F1967&lt;=E1967,1,0),0)</f>
        <v/>
      </c>
      <c r="T1967" s="51">
        <f>IF(Q1967=1,IF(H1967&gt;=G1967,1,0),0)</f>
        <v/>
      </c>
      <c r="U1967" s="51">
        <f>S1967*T1967</f>
        <v/>
      </c>
      <c r="V1967" s="51">
        <f>IF(Q1967=1,MAX(0,F1967-E1967),0)</f>
        <v/>
      </c>
    </row>
    <row r="1968">
      <c r="A1968" s="43" t="inlineStr">
        <is>
          <t>PO101531</t>
        </is>
      </c>
      <c r="B1968" s="43" t="inlineStr">
        <is>
          <t>CMD-0081</t>
        </is>
      </c>
      <c r="C1968" s="43" t="inlineStr">
        <is>
          <t>S06</t>
        </is>
      </c>
      <c r="D1968" s="47" t="n">
        <v>46285</v>
      </c>
      <c r="E1968" s="47" t="n">
        <v>46306</v>
      </c>
      <c r="F1968" s="47" t="n"/>
      <c r="G1968" s="46" t="n">
        <v>2354</v>
      </c>
      <c r="H1968" s="46" t="n">
        <v>0</v>
      </c>
      <c r="I1968" s="46" t="n">
        <v>0</v>
      </c>
      <c r="J1968" s="44" t="n">
        <v>0.6084000000000001</v>
      </c>
      <c r="K1968" s="43" t="inlineStr">
        <is>
          <t>Open</t>
        </is>
      </c>
      <c r="L1968" s="17">
        <f>INDEX(Items!$C$2:$C$117,MATCH(B1968,Items!$A$2:$A$117,0))</f>
        <v/>
      </c>
      <c r="M1968" s="49">
        <f>INDEX(Items!$E$2:$E$117,MATCH(B1968,Items!$A$2:$A$117,0))</f>
        <v/>
      </c>
      <c r="N1968" s="17">
        <f>TEXT(D1968,"yyyy-mm")</f>
        <v/>
      </c>
      <c r="O1968" s="50">
        <f>G1968*J1968</f>
        <v/>
      </c>
      <c r="P1968" s="50">
        <f>(J1968-M1968)*G1968</f>
        <v/>
      </c>
      <c r="Q1968" s="51">
        <f>IF(K1968="Received",1,0)</f>
        <v/>
      </c>
      <c r="R1968" s="51">
        <f>IF(Q1968=1,F1968-D1968,0)</f>
        <v/>
      </c>
      <c r="S1968" s="51">
        <f>IF(Q1968=1,IF(F1968&lt;=E1968,1,0),0)</f>
        <v/>
      </c>
      <c r="T1968" s="51">
        <f>IF(Q1968=1,IF(H1968&gt;=G1968,1,0),0)</f>
        <v/>
      </c>
      <c r="U1968" s="51">
        <f>S1968*T1968</f>
        <v/>
      </c>
      <c r="V1968" s="51">
        <f>IF(Q1968=1,MAX(0,F1968-E1968),0)</f>
        <v/>
      </c>
    </row>
    <row r="1969">
      <c r="A1969" s="43" t="inlineStr">
        <is>
          <t>PO102015</t>
        </is>
      </c>
      <c r="B1969" s="43" t="inlineStr">
        <is>
          <t>CMD-0114</t>
        </is>
      </c>
      <c r="C1969" s="43" t="inlineStr">
        <is>
          <t>S12</t>
        </is>
      </c>
      <c r="D1969" s="47" t="n">
        <v>46285</v>
      </c>
      <c r="E1969" s="47" t="n">
        <v>46292</v>
      </c>
      <c r="F1969" s="47" t="n">
        <v>46290</v>
      </c>
      <c r="G1969" s="46" t="n">
        <v>18282</v>
      </c>
      <c r="H1969" s="46" t="n">
        <v>18282</v>
      </c>
      <c r="I1969" s="46" t="n">
        <v>10</v>
      </c>
      <c r="J1969" s="44" t="n">
        <v>0.3534</v>
      </c>
      <c r="K1969" s="43" t="inlineStr">
        <is>
          <t>Received</t>
        </is>
      </c>
      <c r="L1969" s="17">
        <f>INDEX(Items!$C$2:$C$117,MATCH(B1969,Items!$A$2:$A$117,0))</f>
        <v/>
      </c>
      <c r="M1969" s="49">
        <f>INDEX(Items!$E$2:$E$117,MATCH(B1969,Items!$A$2:$A$117,0))</f>
        <v/>
      </c>
      <c r="N1969" s="17">
        <f>TEXT(D1969,"yyyy-mm")</f>
        <v/>
      </c>
      <c r="O1969" s="50">
        <f>G1969*J1969</f>
        <v/>
      </c>
      <c r="P1969" s="50">
        <f>(J1969-M1969)*G1969</f>
        <v/>
      </c>
      <c r="Q1969" s="51">
        <f>IF(K1969="Received",1,0)</f>
        <v/>
      </c>
      <c r="R1969" s="51">
        <f>IF(Q1969=1,F1969-D1969,0)</f>
        <v/>
      </c>
      <c r="S1969" s="51">
        <f>IF(Q1969=1,IF(F1969&lt;=E1969,1,0),0)</f>
        <v/>
      </c>
      <c r="T1969" s="51">
        <f>IF(Q1969=1,IF(H1969&gt;=G1969,1,0),0)</f>
        <v/>
      </c>
      <c r="U1969" s="51">
        <f>S1969*T1969</f>
        <v/>
      </c>
      <c r="V1969" s="51">
        <f>IF(Q1969=1,MAX(0,F1969-E1969),0)</f>
        <v/>
      </c>
    </row>
    <row r="1970">
      <c r="A1970" s="43" t="inlineStr">
        <is>
          <t>PO101181</t>
        </is>
      </c>
      <c r="B1970" s="43" t="inlineStr">
        <is>
          <t>CMD-0054</t>
        </is>
      </c>
      <c r="C1970" s="43" t="inlineStr">
        <is>
          <t>S10</t>
        </is>
      </c>
      <c r="D1970" s="47" t="n">
        <v>46285</v>
      </c>
      <c r="E1970" s="47" t="n">
        <v>46313</v>
      </c>
      <c r="F1970" s="47" t="n"/>
      <c r="G1970" s="46" t="n">
        <v>55485</v>
      </c>
      <c r="H1970" s="46" t="n">
        <v>0</v>
      </c>
      <c r="I1970" s="46" t="n">
        <v>0</v>
      </c>
      <c r="J1970" s="44" t="n">
        <v>0.1738</v>
      </c>
      <c r="K1970" s="43" t="inlineStr">
        <is>
          <t>Open</t>
        </is>
      </c>
      <c r="L1970" s="17">
        <f>INDEX(Items!$C$2:$C$117,MATCH(B1970,Items!$A$2:$A$117,0))</f>
        <v/>
      </c>
      <c r="M1970" s="49">
        <f>INDEX(Items!$E$2:$E$117,MATCH(B1970,Items!$A$2:$A$117,0))</f>
        <v/>
      </c>
      <c r="N1970" s="17">
        <f>TEXT(D1970,"yyyy-mm")</f>
        <v/>
      </c>
      <c r="O1970" s="50">
        <f>G1970*J1970</f>
        <v/>
      </c>
      <c r="P1970" s="50">
        <f>(J1970-M1970)*G1970</f>
        <v/>
      </c>
      <c r="Q1970" s="51">
        <f>IF(K1970="Received",1,0)</f>
        <v/>
      </c>
      <c r="R1970" s="51">
        <f>IF(Q1970=1,F1970-D1970,0)</f>
        <v/>
      </c>
      <c r="S1970" s="51">
        <f>IF(Q1970=1,IF(F1970&lt;=E1970,1,0),0)</f>
        <v/>
      </c>
      <c r="T1970" s="51">
        <f>IF(Q1970=1,IF(H1970&gt;=G1970,1,0),0)</f>
        <v/>
      </c>
      <c r="U1970" s="51">
        <f>S1970*T1970</f>
        <v/>
      </c>
      <c r="V1970" s="51">
        <f>IF(Q1970=1,MAX(0,F1970-E1970),0)</f>
        <v/>
      </c>
    </row>
    <row r="1971">
      <c r="A1971" s="43" t="inlineStr">
        <is>
          <t>PO101587</t>
        </is>
      </c>
      <c r="B1971" s="43" t="inlineStr">
        <is>
          <t>CMD-0085</t>
        </is>
      </c>
      <c r="C1971" s="43" t="inlineStr">
        <is>
          <t>S06</t>
        </is>
      </c>
      <c r="D1971" s="47" t="n">
        <v>46285</v>
      </c>
      <c r="E1971" s="47" t="n">
        <v>46306</v>
      </c>
      <c r="F1971" s="47" t="n"/>
      <c r="G1971" s="46" t="n">
        <v>965</v>
      </c>
      <c r="H1971" s="46" t="n">
        <v>0</v>
      </c>
      <c r="I1971" s="46" t="n">
        <v>0</v>
      </c>
      <c r="J1971" s="44" t="n">
        <v>10.8768</v>
      </c>
      <c r="K1971" s="43" t="inlineStr">
        <is>
          <t>Open</t>
        </is>
      </c>
      <c r="L1971" s="17">
        <f>INDEX(Items!$C$2:$C$117,MATCH(B1971,Items!$A$2:$A$117,0))</f>
        <v/>
      </c>
      <c r="M1971" s="49">
        <f>INDEX(Items!$E$2:$E$117,MATCH(B1971,Items!$A$2:$A$117,0))</f>
        <v/>
      </c>
      <c r="N1971" s="17">
        <f>TEXT(D1971,"yyyy-mm")</f>
        <v/>
      </c>
      <c r="O1971" s="50">
        <f>G1971*J1971</f>
        <v/>
      </c>
      <c r="P1971" s="50">
        <f>(J1971-M1971)*G1971</f>
        <v/>
      </c>
      <c r="Q1971" s="51">
        <f>IF(K1971="Received",1,0)</f>
        <v/>
      </c>
      <c r="R1971" s="51">
        <f>IF(Q1971=1,F1971-D1971,0)</f>
        <v/>
      </c>
      <c r="S1971" s="51">
        <f>IF(Q1971=1,IF(F1971&lt;=E1971,1,0),0)</f>
        <v/>
      </c>
      <c r="T1971" s="51">
        <f>IF(Q1971=1,IF(H1971&gt;=G1971,1,0),0)</f>
        <v/>
      </c>
      <c r="U1971" s="51">
        <f>S1971*T1971</f>
        <v/>
      </c>
      <c r="V1971" s="51">
        <f>IF(Q1971=1,MAX(0,F1971-E1971),0)</f>
        <v/>
      </c>
    </row>
    <row r="1972">
      <c r="A1972" s="43" t="inlineStr">
        <is>
          <t>PO100909</t>
        </is>
      </c>
      <c r="B1972" s="43" t="inlineStr">
        <is>
          <t>CMD-0041</t>
        </is>
      </c>
      <c r="C1972" s="43" t="inlineStr">
        <is>
          <t>S05</t>
        </is>
      </c>
      <c r="D1972" s="47" t="n">
        <v>46285</v>
      </c>
      <c r="E1972" s="47" t="n">
        <v>46390</v>
      </c>
      <c r="F1972" s="47" t="n"/>
      <c r="G1972" s="46" t="n">
        <v>1110</v>
      </c>
      <c r="H1972" s="46" t="n">
        <v>0</v>
      </c>
      <c r="I1972" s="46" t="n">
        <v>0</v>
      </c>
      <c r="J1972" s="44" t="n">
        <v>5.7989</v>
      </c>
      <c r="K1972" s="43" t="inlineStr">
        <is>
          <t>Open</t>
        </is>
      </c>
      <c r="L1972" s="17">
        <f>INDEX(Items!$C$2:$C$117,MATCH(B1972,Items!$A$2:$A$117,0))</f>
        <v/>
      </c>
      <c r="M1972" s="49">
        <f>INDEX(Items!$E$2:$E$117,MATCH(B1972,Items!$A$2:$A$117,0))</f>
        <v/>
      </c>
      <c r="N1972" s="17">
        <f>TEXT(D1972,"yyyy-mm")</f>
        <v/>
      </c>
      <c r="O1972" s="50">
        <f>G1972*J1972</f>
        <v/>
      </c>
      <c r="P1972" s="50">
        <f>(J1972-M1972)*G1972</f>
        <v/>
      </c>
      <c r="Q1972" s="51">
        <f>IF(K1972="Received",1,0)</f>
        <v/>
      </c>
      <c r="R1972" s="51">
        <f>IF(Q1972=1,F1972-D1972,0)</f>
        <v/>
      </c>
      <c r="S1972" s="51">
        <f>IF(Q1972=1,IF(F1972&lt;=E1972,1,0),0)</f>
        <v/>
      </c>
      <c r="T1972" s="51">
        <f>IF(Q1972=1,IF(H1972&gt;=G1972,1,0),0)</f>
        <v/>
      </c>
      <c r="U1972" s="51">
        <f>S1972*T1972</f>
        <v/>
      </c>
      <c r="V1972" s="51">
        <f>IF(Q1972=1,MAX(0,F1972-E1972),0)</f>
        <v/>
      </c>
    </row>
    <row r="1973">
      <c r="A1973" s="43" t="inlineStr">
        <is>
          <t>PO100793</t>
        </is>
      </c>
      <c r="B1973" s="43" t="inlineStr">
        <is>
          <t>CMD-0035</t>
        </is>
      </c>
      <c r="C1973" s="43" t="inlineStr">
        <is>
          <t>S01</t>
        </is>
      </c>
      <c r="D1973" s="47" t="n">
        <v>46285</v>
      </c>
      <c r="E1973" s="47" t="n">
        <v>46313</v>
      </c>
      <c r="F1973" s="47" t="n"/>
      <c r="G1973" s="46" t="n">
        <v>699</v>
      </c>
      <c r="H1973" s="46" t="n">
        <v>0</v>
      </c>
      <c r="I1973" s="46" t="n">
        <v>0</v>
      </c>
      <c r="J1973" s="44" t="n">
        <v>9.6511</v>
      </c>
      <c r="K1973" s="43" t="inlineStr">
        <is>
          <t>Open</t>
        </is>
      </c>
      <c r="L1973" s="17">
        <f>INDEX(Items!$C$2:$C$117,MATCH(B1973,Items!$A$2:$A$117,0))</f>
        <v/>
      </c>
      <c r="M1973" s="49">
        <f>INDEX(Items!$E$2:$E$117,MATCH(B1973,Items!$A$2:$A$117,0))</f>
        <v/>
      </c>
      <c r="N1973" s="17">
        <f>TEXT(D1973,"yyyy-mm")</f>
        <v/>
      </c>
      <c r="O1973" s="50">
        <f>G1973*J1973</f>
        <v/>
      </c>
      <c r="P1973" s="50">
        <f>(J1973-M1973)*G1973</f>
        <v/>
      </c>
      <c r="Q1973" s="51">
        <f>IF(K1973="Received",1,0)</f>
        <v/>
      </c>
      <c r="R1973" s="51">
        <f>IF(Q1973=1,F1973-D1973,0)</f>
        <v/>
      </c>
      <c r="S1973" s="51">
        <f>IF(Q1973=1,IF(F1973&lt;=E1973,1,0),0)</f>
        <v/>
      </c>
      <c r="T1973" s="51">
        <f>IF(Q1973=1,IF(H1973&gt;=G1973,1,0),0)</f>
        <v/>
      </c>
      <c r="U1973" s="51">
        <f>S1973*T1973</f>
        <v/>
      </c>
      <c r="V1973" s="51">
        <f>IF(Q1973=1,MAX(0,F1973-E1973),0)</f>
        <v/>
      </c>
    </row>
    <row r="1974">
      <c r="A1974" s="43" t="inlineStr">
        <is>
          <t>PO101955</t>
        </is>
      </c>
      <c r="B1974" s="43" t="inlineStr">
        <is>
          <t>CMD-0107</t>
        </is>
      </c>
      <c r="C1974" s="43" t="inlineStr">
        <is>
          <t>S09</t>
        </is>
      </c>
      <c r="D1974" s="47" t="n">
        <v>46285</v>
      </c>
      <c r="E1974" s="47" t="n">
        <v>46306</v>
      </c>
      <c r="F1974" s="47" t="n"/>
      <c r="G1974" s="46" t="n">
        <v>1176</v>
      </c>
      <c r="H1974" s="46" t="n">
        <v>0</v>
      </c>
      <c r="I1974" s="46" t="n">
        <v>0</v>
      </c>
      <c r="J1974" s="44" t="n">
        <v>7.1585</v>
      </c>
      <c r="K1974" s="43" t="inlineStr">
        <is>
          <t>Open</t>
        </is>
      </c>
      <c r="L1974" s="17">
        <f>INDEX(Items!$C$2:$C$117,MATCH(B1974,Items!$A$2:$A$117,0))</f>
        <v/>
      </c>
      <c r="M1974" s="49">
        <f>INDEX(Items!$E$2:$E$117,MATCH(B1974,Items!$A$2:$A$117,0))</f>
        <v/>
      </c>
      <c r="N1974" s="17">
        <f>TEXT(D1974,"yyyy-mm")</f>
        <v/>
      </c>
      <c r="O1974" s="50">
        <f>G1974*J1974</f>
        <v/>
      </c>
      <c r="P1974" s="50">
        <f>(J1974-M1974)*G1974</f>
        <v/>
      </c>
      <c r="Q1974" s="51">
        <f>IF(K1974="Received",1,0)</f>
        <v/>
      </c>
      <c r="R1974" s="51">
        <f>IF(Q1974=1,F1974-D1974,0)</f>
        <v/>
      </c>
      <c r="S1974" s="51">
        <f>IF(Q1974=1,IF(F1974&lt;=E1974,1,0),0)</f>
        <v/>
      </c>
      <c r="T1974" s="51">
        <f>IF(Q1974=1,IF(H1974&gt;=G1974,1,0),0)</f>
        <v/>
      </c>
      <c r="U1974" s="51">
        <f>S1974*T1974</f>
        <v/>
      </c>
      <c r="V1974" s="51">
        <f>IF(Q1974=1,MAX(0,F1974-E1974),0)</f>
        <v/>
      </c>
    </row>
    <row r="1975">
      <c r="A1975" s="43" t="inlineStr">
        <is>
          <t>PO100411</t>
        </is>
      </c>
      <c r="B1975" s="43" t="inlineStr">
        <is>
          <t>CMD-0018</t>
        </is>
      </c>
      <c r="C1975" s="43" t="inlineStr">
        <is>
          <t>S02</t>
        </is>
      </c>
      <c r="D1975" s="47" t="n">
        <v>46285</v>
      </c>
      <c r="E1975" s="47" t="n">
        <v>46341</v>
      </c>
      <c r="F1975" s="47" t="n"/>
      <c r="G1975" s="46" t="n">
        <v>6942</v>
      </c>
      <c r="H1975" s="46" t="n">
        <v>0</v>
      </c>
      <c r="I1975" s="46" t="n">
        <v>0</v>
      </c>
      <c r="J1975" s="44" t="n">
        <v>39.0576</v>
      </c>
      <c r="K1975" s="43" t="inlineStr">
        <is>
          <t>Open</t>
        </is>
      </c>
      <c r="L1975" s="17">
        <f>INDEX(Items!$C$2:$C$117,MATCH(B1975,Items!$A$2:$A$117,0))</f>
        <v/>
      </c>
      <c r="M1975" s="49">
        <f>INDEX(Items!$E$2:$E$117,MATCH(B1975,Items!$A$2:$A$117,0))</f>
        <v/>
      </c>
      <c r="N1975" s="17">
        <f>TEXT(D1975,"yyyy-mm")</f>
        <v/>
      </c>
      <c r="O1975" s="50">
        <f>G1975*J1975</f>
        <v/>
      </c>
      <c r="P1975" s="50">
        <f>(J1975-M1975)*G1975</f>
        <v/>
      </c>
      <c r="Q1975" s="51">
        <f>IF(K1975="Received",1,0)</f>
        <v/>
      </c>
      <c r="R1975" s="51">
        <f>IF(Q1975=1,F1975-D1975,0)</f>
        <v/>
      </c>
      <c r="S1975" s="51">
        <f>IF(Q1975=1,IF(F1975&lt;=E1975,1,0),0)</f>
        <v/>
      </c>
      <c r="T1975" s="51">
        <f>IF(Q1975=1,IF(H1975&gt;=G1975,1,0),0)</f>
        <v/>
      </c>
      <c r="U1975" s="51">
        <f>S1975*T1975</f>
        <v/>
      </c>
      <c r="V1975" s="51">
        <f>IF(Q1975=1,MAX(0,F1975-E1975),0)</f>
        <v/>
      </c>
    </row>
    <row r="1976">
      <c r="A1976" s="43" t="inlineStr">
        <is>
          <t>PO101307</t>
        </is>
      </c>
      <c r="B1976" s="43" t="inlineStr">
        <is>
          <t>CMD-0064</t>
        </is>
      </c>
      <c r="C1976" s="43" t="inlineStr">
        <is>
          <t>S01</t>
        </is>
      </c>
      <c r="D1976" s="47" t="n">
        <v>46285</v>
      </c>
      <c r="E1976" s="47" t="n">
        <v>46306</v>
      </c>
      <c r="F1976" s="47" t="n"/>
      <c r="G1976" s="46" t="n">
        <v>88408</v>
      </c>
      <c r="H1976" s="46" t="n">
        <v>0</v>
      </c>
      <c r="I1976" s="46" t="n">
        <v>0</v>
      </c>
      <c r="J1976" s="44" t="n">
        <v>0.0328</v>
      </c>
      <c r="K1976" s="43" t="inlineStr">
        <is>
          <t>Open</t>
        </is>
      </c>
      <c r="L1976" s="17">
        <f>INDEX(Items!$C$2:$C$117,MATCH(B1976,Items!$A$2:$A$117,0))</f>
        <v/>
      </c>
      <c r="M1976" s="49">
        <f>INDEX(Items!$E$2:$E$117,MATCH(B1976,Items!$A$2:$A$117,0))</f>
        <v/>
      </c>
      <c r="N1976" s="17">
        <f>TEXT(D1976,"yyyy-mm")</f>
        <v/>
      </c>
      <c r="O1976" s="50">
        <f>G1976*J1976</f>
        <v/>
      </c>
      <c r="P1976" s="50">
        <f>(J1976-M1976)*G1976</f>
        <v/>
      </c>
      <c r="Q1976" s="51">
        <f>IF(K1976="Received",1,0)</f>
        <v/>
      </c>
      <c r="R1976" s="51">
        <f>IF(Q1976=1,F1976-D1976,0)</f>
        <v/>
      </c>
      <c r="S1976" s="51">
        <f>IF(Q1976=1,IF(F1976&lt;=E1976,1,0),0)</f>
        <v/>
      </c>
      <c r="T1976" s="51">
        <f>IF(Q1976=1,IF(H1976&gt;=G1976,1,0),0)</f>
        <v/>
      </c>
      <c r="U1976" s="51">
        <f>S1976*T1976</f>
        <v/>
      </c>
      <c r="V1976" s="51">
        <f>IF(Q1976=1,MAX(0,F1976-E1976),0)</f>
        <v/>
      </c>
    </row>
    <row r="1977">
      <c r="A1977" s="43" t="inlineStr">
        <is>
          <t>PO101251</t>
        </is>
      </c>
      <c r="B1977" s="43" t="inlineStr">
        <is>
          <t>CMD-0058</t>
        </is>
      </c>
      <c r="C1977" s="43" t="inlineStr">
        <is>
          <t>S04</t>
        </is>
      </c>
      <c r="D1977" s="47" t="n">
        <v>46285</v>
      </c>
      <c r="E1977" s="47" t="n">
        <v>46320</v>
      </c>
      <c r="F1977" s="47" t="n"/>
      <c r="G1977" s="46" t="n">
        <v>69455</v>
      </c>
      <c r="H1977" s="46" t="n">
        <v>0</v>
      </c>
      <c r="I1977" s="46" t="n">
        <v>0</v>
      </c>
      <c r="J1977" s="44" t="n">
        <v>0.1213</v>
      </c>
      <c r="K1977" s="43" t="inlineStr">
        <is>
          <t>Open</t>
        </is>
      </c>
      <c r="L1977" s="17">
        <f>INDEX(Items!$C$2:$C$117,MATCH(B1977,Items!$A$2:$A$117,0))</f>
        <v/>
      </c>
      <c r="M1977" s="49">
        <f>INDEX(Items!$E$2:$E$117,MATCH(B1977,Items!$A$2:$A$117,0))</f>
        <v/>
      </c>
      <c r="N1977" s="17">
        <f>TEXT(D1977,"yyyy-mm")</f>
        <v/>
      </c>
      <c r="O1977" s="50">
        <f>G1977*J1977</f>
        <v/>
      </c>
      <c r="P1977" s="50">
        <f>(J1977-M1977)*G1977</f>
        <v/>
      </c>
      <c r="Q1977" s="51">
        <f>IF(K1977="Received",1,0)</f>
        <v/>
      </c>
      <c r="R1977" s="51">
        <f>IF(Q1977=1,F1977-D1977,0)</f>
        <v/>
      </c>
      <c r="S1977" s="51">
        <f>IF(Q1977=1,IF(F1977&lt;=E1977,1,0),0)</f>
        <v/>
      </c>
      <c r="T1977" s="51">
        <f>IF(Q1977=1,IF(H1977&gt;=G1977,1,0),0)</f>
        <v/>
      </c>
      <c r="U1977" s="51">
        <f>S1977*T1977</f>
        <v/>
      </c>
      <c r="V1977" s="51">
        <f>IF(Q1977=1,MAX(0,F1977-E1977),0)</f>
        <v/>
      </c>
    </row>
    <row r="1978">
      <c r="A1978" s="43" t="inlineStr">
        <is>
          <t>PO101081</t>
        </is>
      </c>
      <c r="B1978" s="43" t="inlineStr">
        <is>
          <t>CMD-0049</t>
        </is>
      </c>
      <c r="C1978" s="43" t="inlineStr">
        <is>
          <t>S10</t>
        </is>
      </c>
      <c r="D1978" s="47" t="n">
        <v>46286</v>
      </c>
      <c r="E1978" s="47" t="n">
        <v>46314</v>
      </c>
      <c r="F1978" s="47" t="n"/>
      <c r="G1978" s="46" t="n">
        <v>45034</v>
      </c>
      <c r="H1978" s="46" t="n">
        <v>0</v>
      </c>
      <c r="I1978" s="46" t="n">
        <v>0</v>
      </c>
      <c r="J1978" s="44" t="n">
        <v>0.1088</v>
      </c>
      <c r="K1978" s="43" t="inlineStr">
        <is>
          <t>Open</t>
        </is>
      </c>
      <c r="L1978" s="17">
        <f>INDEX(Items!$C$2:$C$117,MATCH(B1978,Items!$A$2:$A$117,0))</f>
        <v/>
      </c>
      <c r="M1978" s="49">
        <f>INDEX(Items!$E$2:$E$117,MATCH(B1978,Items!$A$2:$A$117,0))</f>
        <v/>
      </c>
      <c r="N1978" s="17">
        <f>TEXT(D1978,"yyyy-mm")</f>
        <v/>
      </c>
      <c r="O1978" s="50">
        <f>G1978*J1978</f>
        <v/>
      </c>
      <c r="P1978" s="50">
        <f>(J1978-M1978)*G1978</f>
        <v/>
      </c>
      <c r="Q1978" s="51">
        <f>IF(K1978="Received",1,0)</f>
        <v/>
      </c>
      <c r="R1978" s="51">
        <f>IF(Q1978=1,F1978-D1978,0)</f>
        <v/>
      </c>
      <c r="S1978" s="51">
        <f>IF(Q1978=1,IF(F1978&lt;=E1978,1,0),0)</f>
        <v/>
      </c>
      <c r="T1978" s="51">
        <f>IF(Q1978=1,IF(H1978&gt;=G1978,1,0),0)</f>
        <v/>
      </c>
      <c r="U1978" s="51">
        <f>S1978*T1978</f>
        <v/>
      </c>
      <c r="V1978" s="51">
        <f>IF(Q1978=1,MAX(0,F1978-E1978),0)</f>
        <v/>
      </c>
    </row>
    <row r="1979">
      <c r="A1979" s="43" t="inlineStr">
        <is>
          <t>PO100267</t>
        </is>
      </c>
      <c r="B1979" s="43" t="inlineStr">
        <is>
          <t>CMD-0012</t>
        </is>
      </c>
      <c r="C1979" s="43" t="inlineStr">
        <is>
          <t>S03</t>
        </is>
      </c>
      <c r="D1979" s="47" t="n">
        <v>46286</v>
      </c>
      <c r="E1979" s="47" t="n">
        <v>46419</v>
      </c>
      <c r="F1979" s="47" t="n"/>
      <c r="G1979" s="46" t="n">
        <v>2458</v>
      </c>
      <c r="H1979" s="46" t="n">
        <v>0</v>
      </c>
      <c r="I1979" s="46" t="n">
        <v>0</v>
      </c>
      <c r="J1979" s="44" t="n">
        <v>3.0562</v>
      </c>
      <c r="K1979" s="43" t="inlineStr">
        <is>
          <t>Open</t>
        </is>
      </c>
      <c r="L1979" s="17">
        <f>INDEX(Items!$C$2:$C$117,MATCH(B1979,Items!$A$2:$A$117,0))</f>
        <v/>
      </c>
      <c r="M1979" s="49">
        <f>INDEX(Items!$E$2:$E$117,MATCH(B1979,Items!$A$2:$A$117,0))</f>
        <v/>
      </c>
      <c r="N1979" s="17">
        <f>TEXT(D1979,"yyyy-mm")</f>
        <v/>
      </c>
      <c r="O1979" s="50">
        <f>G1979*J1979</f>
        <v/>
      </c>
      <c r="P1979" s="50">
        <f>(J1979-M1979)*G1979</f>
        <v/>
      </c>
      <c r="Q1979" s="51">
        <f>IF(K1979="Received",1,0)</f>
        <v/>
      </c>
      <c r="R1979" s="51">
        <f>IF(Q1979=1,F1979-D1979,0)</f>
        <v/>
      </c>
      <c r="S1979" s="51">
        <f>IF(Q1979=1,IF(F1979&lt;=E1979,1,0),0)</f>
        <v/>
      </c>
      <c r="T1979" s="51">
        <f>IF(Q1979=1,IF(H1979&gt;=G1979,1,0),0)</f>
        <v/>
      </c>
      <c r="U1979" s="51">
        <f>S1979*T1979</f>
        <v/>
      </c>
      <c r="V1979" s="51">
        <f>IF(Q1979=1,MAX(0,F1979-E1979),0)</f>
        <v/>
      </c>
    </row>
    <row r="1980">
      <c r="A1980" s="43" t="inlineStr">
        <is>
          <t>PO100191</t>
        </is>
      </c>
      <c r="B1980" s="43" t="inlineStr">
        <is>
          <t>CMD-0008</t>
        </is>
      </c>
      <c r="C1980" s="43" t="inlineStr">
        <is>
          <t>S03</t>
        </is>
      </c>
      <c r="D1980" s="47" t="n">
        <v>46286</v>
      </c>
      <c r="E1980" s="47" t="n">
        <v>46419</v>
      </c>
      <c r="F1980" s="47" t="n"/>
      <c r="G1980" s="46" t="n">
        <v>1556</v>
      </c>
      <c r="H1980" s="46" t="n">
        <v>0</v>
      </c>
      <c r="I1980" s="46" t="n">
        <v>0</v>
      </c>
      <c r="J1980" s="44" t="n">
        <v>27.9188</v>
      </c>
      <c r="K1980" s="43" t="inlineStr">
        <is>
          <t>Open</t>
        </is>
      </c>
      <c r="L1980" s="17">
        <f>INDEX(Items!$C$2:$C$117,MATCH(B1980,Items!$A$2:$A$117,0))</f>
        <v/>
      </c>
      <c r="M1980" s="49">
        <f>INDEX(Items!$E$2:$E$117,MATCH(B1980,Items!$A$2:$A$117,0))</f>
        <v/>
      </c>
      <c r="N1980" s="17">
        <f>TEXT(D1980,"yyyy-mm")</f>
        <v/>
      </c>
      <c r="O1980" s="50">
        <f>G1980*J1980</f>
        <v/>
      </c>
      <c r="P1980" s="50">
        <f>(J1980-M1980)*G1980</f>
        <v/>
      </c>
      <c r="Q1980" s="51">
        <f>IF(K1980="Received",1,0)</f>
        <v/>
      </c>
      <c r="R1980" s="51">
        <f>IF(Q1980=1,F1980-D1980,0)</f>
        <v/>
      </c>
      <c r="S1980" s="51">
        <f>IF(Q1980=1,IF(F1980&lt;=E1980,1,0),0)</f>
        <v/>
      </c>
      <c r="T1980" s="51">
        <f>IF(Q1980=1,IF(H1980&gt;=G1980,1,0),0)</f>
        <v/>
      </c>
      <c r="U1980" s="51">
        <f>S1980*T1980</f>
        <v/>
      </c>
      <c r="V1980" s="51">
        <f>IF(Q1980=1,MAX(0,F1980-E1980),0)</f>
        <v/>
      </c>
    </row>
    <row r="1981">
      <c r="A1981" s="43" t="inlineStr">
        <is>
          <t>PO101387</t>
        </is>
      </c>
      <c r="B1981" s="43" t="inlineStr">
        <is>
          <t>CMD-0071</t>
        </is>
      </c>
      <c r="C1981" s="43" t="inlineStr">
        <is>
          <t>S01</t>
        </is>
      </c>
      <c r="D1981" s="47" t="n">
        <v>46286</v>
      </c>
      <c r="E1981" s="47" t="n">
        <v>46307</v>
      </c>
      <c r="F1981" s="47" t="n"/>
      <c r="G1981" s="46" t="n">
        <v>97848</v>
      </c>
      <c r="H1981" s="46" t="n">
        <v>0</v>
      </c>
      <c r="I1981" s="46" t="n">
        <v>0</v>
      </c>
      <c r="J1981" s="44" t="n">
        <v>0.0366</v>
      </c>
      <c r="K1981" s="43" t="inlineStr">
        <is>
          <t>Open</t>
        </is>
      </c>
      <c r="L1981" s="17">
        <f>INDEX(Items!$C$2:$C$117,MATCH(B1981,Items!$A$2:$A$117,0))</f>
        <v/>
      </c>
      <c r="M1981" s="49">
        <f>INDEX(Items!$E$2:$E$117,MATCH(B1981,Items!$A$2:$A$117,0))</f>
        <v/>
      </c>
      <c r="N1981" s="17">
        <f>TEXT(D1981,"yyyy-mm")</f>
        <v/>
      </c>
      <c r="O1981" s="50">
        <f>G1981*J1981</f>
        <v/>
      </c>
      <c r="P1981" s="50">
        <f>(J1981-M1981)*G1981</f>
        <v/>
      </c>
      <c r="Q1981" s="51">
        <f>IF(K1981="Received",1,0)</f>
        <v/>
      </c>
      <c r="R1981" s="51">
        <f>IF(Q1981=1,F1981-D1981,0)</f>
        <v/>
      </c>
      <c r="S1981" s="51">
        <f>IF(Q1981=1,IF(F1981&lt;=E1981,1,0),0)</f>
        <v/>
      </c>
      <c r="T1981" s="51">
        <f>IF(Q1981=1,IF(H1981&gt;=G1981,1,0),0)</f>
        <v/>
      </c>
      <c r="U1981" s="51">
        <f>S1981*T1981</f>
        <v/>
      </c>
      <c r="V1981" s="51">
        <f>IF(Q1981=1,MAX(0,F1981-E1981),0)</f>
        <v/>
      </c>
    </row>
    <row r="1982">
      <c r="A1982" s="43" t="inlineStr">
        <is>
          <t>PO101275</t>
        </is>
      </c>
      <c r="B1982" s="43" t="inlineStr">
        <is>
          <t>CMD-0061</t>
        </is>
      </c>
      <c r="C1982" s="43" t="inlineStr">
        <is>
          <t>S01</t>
        </is>
      </c>
      <c r="D1982" s="47" t="n">
        <v>46286</v>
      </c>
      <c r="E1982" s="47" t="n">
        <v>46307</v>
      </c>
      <c r="F1982" s="47" t="n"/>
      <c r="G1982" s="46" t="n">
        <v>68876</v>
      </c>
      <c r="H1982" s="46" t="n">
        <v>0</v>
      </c>
      <c r="I1982" s="46" t="n">
        <v>0</v>
      </c>
      <c r="J1982" s="44" t="n">
        <v>0.0242</v>
      </c>
      <c r="K1982" s="43" t="inlineStr">
        <is>
          <t>Open</t>
        </is>
      </c>
      <c r="L1982" s="17">
        <f>INDEX(Items!$C$2:$C$117,MATCH(B1982,Items!$A$2:$A$117,0))</f>
        <v/>
      </c>
      <c r="M1982" s="49">
        <f>INDEX(Items!$E$2:$E$117,MATCH(B1982,Items!$A$2:$A$117,0))</f>
        <v/>
      </c>
      <c r="N1982" s="17">
        <f>TEXT(D1982,"yyyy-mm")</f>
        <v/>
      </c>
      <c r="O1982" s="50">
        <f>G1982*J1982</f>
        <v/>
      </c>
      <c r="P1982" s="50">
        <f>(J1982-M1982)*G1982</f>
        <v/>
      </c>
      <c r="Q1982" s="51">
        <f>IF(K1982="Received",1,0)</f>
        <v/>
      </c>
      <c r="R1982" s="51">
        <f>IF(Q1982=1,F1982-D1982,0)</f>
        <v/>
      </c>
      <c r="S1982" s="51">
        <f>IF(Q1982=1,IF(F1982&lt;=E1982,1,0),0)</f>
        <v/>
      </c>
      <c r="T1982" s="51">
        <f>IF(Q1982=1,IF(H1982&gt;=G1982,1,0),0)</f>
        <v/>
      </c>
      <c r="U1982" s="51">
        <f>S1982*T1982</f>
        <v/>
      </c>
      <c r="V1982" s="51">
        <f>IF(Q1982=1,MAX(0,F1982-E1982),0)</f>
        <v/>
      </c>
    </row>
    <row r="1983">
      <c r="A1983" s="43" t="inlineStr">
        <is>
          <t>PO100865</t>
        </is>
      </c>
      <c r="B1983" s="43" t="inlineStr">
        <is>
          <t>CMD-0038</t>
        </is>
      </c>
      <c r="C1983" s="43" t="inlineStr">
        <is>
          <t>S01</t>
        </is>
      </c>
      <c r="D1983" s="47" t="n">
        <v>46286</v>
      </c>
      <c r="E1983" s="47" t="n">
        <v>46314</v>
      </c>
      <c r="F1983" s="47" t="n"/>
      <c r="G1983" s="46" t="n">
        <v>957</v>
      </c>
      <c r="H1983" s="46" t="n">
        <v>0</v>
      </c>
      <c r="I1983" s="46" t="n">
        <v>0</v>
      </c>
      <c r="J1983" s="44" t="n">
        <v>22.1347</v>
      </c>
      <c r="K1983" s="43" t="inlineStr">
        <is>
          <t>Open</t>
        </is>
      </c>
      <c r="L1983" s="17">
        <f>INDEX(Items!$C$2:$C$117,MATCH(B1983,Items!$A$2:$A$117,0))</f>
        <v/>
      </c>
      <c r="M1983" s="49">
        <f>INDEX(Items!$E$2:$E$117,MATCH(B1983,Items!$A$2:$A$117,0))</f>
        <v/>
      </c>
      <c r="N1983" s="17">
        <f>TEXT(D1983,"yyyy-mm")</f>
        <v/>
      </c>
      <c r="O1983" s="50">
        <f>G1983*J1983</f>
        <v/>
      </c>
      <c r="P1983" s="50">
        <f>(J1983-M1983)*G1983</f>
        <v/>
      </c>
      <c r="Q1983" s="51">
        <f>IF(K1983="Received",1,0)</f>
        <v/>
      </c>
      <c r="R1983" s="51">
        <f>IF(Q1983=1,F1983-D1983,0)</f>
        <v/>
      </c>
      <c r="S1983" s="51">
        <f>IF(Q1983=1,IF(F1983&lt;=E1983,1,0),0)</f>
        <v/>
      </c>
      <c r="T1983" s="51">
        <f>IF(Q1983=1,IF(H1983&gt;=G1983,1,0),0)</f>
        <v/>
      </c>
      <c r="U1983" s="51">
        <f>S1983*T1983</f>
        <v/>
      </c>
      <c r="V1983" s="51">
        <f>IF(Q1983=1,MAX(0,F1983-E1983),0)</f>
        <v/>
      </c>
    </row>
    <row r="1984">
      <c r="A1984" s="43" t="inlineStr">
        <is>
          <t>PO100639</t>
        </is>
      </c>
      <c r="B1984" s="43" t="inlineStr">
        <is>
          <t>CMD-0028</t>
        </is>
      </c>
      <c r="C1984" s="43" t="inlineStr">
        <is>
          <t>S11</t>
        </is>
      </c>
      <c r="D1984" s="47" t="n">
        <v>46286</v>
      </c>
      <c r="E1984" s="47" t="n">
        <v>46363</v>
      </c>
      <c r="F1984" s="47" t="n"/>
      <c r="G1984" s="46" t="n">
        <v>2885</v>
      </c>
      <c r="H1984" s="46" t="n">
        <v>0</v>
      </c>
      <c r="I1984" s="46" t="n">
        <v>0</v>
      </c>
      <c r="J1984" s="44" t="n">
        <v>16.3152</v>
      </c>
      <c r="K1984" s="43" t="inlineStr">
        <is>
          <t>Open</t>
        </is>
      </c>
      <c r="L1984" s="17">
        <f>INDEX(Items!$C$2:$C$117,MATCH(B1984,Items!$A$2:$A$117,0))</f>
        <v/>
      </c>
      <c r="M1984" s="49">
        <f>INDEX(Items!$E$2:$E$117,MATCH(B1984,Items!$A$2:$A$117,0))</f>
        <v/>
      </c>
      <c r="N1984" s="17">
        <f>TEXT(D1984,"yyyy-mm")</f>
        <v/>
      </c>
      <c r="O1984" s="50">
        <f>G1984*J1984</f>
        <v/>
      </c>
      <c r="P1984" s="50">
        <f>(J1984-M1984)*G1984</f>
        <v/>
      </c>
      <c r="Q1984" s="51">
        <f>IF(K1984="Received",1,0)</f>
        <v/>
      </c>
      <c r="R1984" s="51">
        <f>IF(Q1984=1,F1984-D1984,0)</f>
        <v/>
      </c>
      <c r="S1984" s="51">
        <f>IF(Q1984=1,IF(F1984&lt;=E1984,1,0),0)</f>
        <v/>
      </c>
      <c r="T1984" s="51">
        <f>IF(Q1984=1,IF(H1984&gt;=G1984,1,0),0)</f>
        <v/>
      </c>
      <c r="U1984" s="51">
        <f>S1984*T1984</f>
        <v/>
      </c>
      <c r="V1984" s="51">
        <f>IF(Q1984=1,MAX(0,F1984-E1984),0)</f>
        <v/>
      </c>
    </row>
    <row r="1985">
      <c r="A1985" s="43" t="inlineStr">
        <is>
          <t>PO100239</t>
        </is>
      </c>
      <c r="B1985" s="43" t="inlineStr">
        <is>
          <t>CMD-0010</t>
        </is>
      </c>
      <c r="C1985" s="43" t="inlineStr">
        <is>
          <t>S03</t>
        </is>
      </c>
      <c r="D1985" s="47" t="n">
        <v>46286</v>
      </c>
      <c r="E1985" s="47" t="n">
        <v>46419</v>
      </c>
      <c r="F1985" s="47" t="n"/>
      <c r="G1985" s="46" t="n">
        <v>3902</v>
      </c>
      <c r="H1985" s="46" t="n">
        <v>0</v>
      </c>
      <c r="I1985" s="46" t="n">
        <v>0</v>
      </c>
      <c r="J1985" s="44" t="n">
        <v>5.4634</v>
      </c>
      <c r="K1985" s="43" t="inlineStr">
        <is>
          <t>Open</t>
        </is>
      </c>
      <c r="L1985" s="17">
        <f>INDEX(Items!$C$2:$C$117,MATCH(B1985,Items!$A$2:$A$117,0))</f>
        <v/>
      </c>
      <c r="M1985" s="49">
        <f>INDEX(Items!$E$2:$E$117,MATCH(B1985,Items!$A$2:$A$117,0))</f>
        <v/>
      </c>
      <c r="N1985" s="17">
        <f>TEXT(D1985,"yyyy-mm")</f>
        <v/>
      </c>
      <c r="O1985" s="50">
        <f>G1985*J1985</f>
        <v/>
      </c>
      <c r="P1985" s="50">
        <f>(J1985-M1985)*G1985</f>
        <v/>
      </c>
      <c r="Q1985" s="51">
        <f>IF(K1985="Received",1,0)</f>
        <v/>
      </c>
      <c r="R1985" s="51">
        <f>IF(Q1985=1,F1985-D1985,0)</f>
        <v/>
      </c>
      <c r="S1985" s="51">
        <f>IF(Q1985=1,IF(F1985&lt;=E1985,1,0),0)</f>
        <v/>
      </c>
      <c r="T1985" s="51">
        <f>IF(Q1985=1,IF(H1985&gt;=G1985,1,0),0)</f>
        <v/>
      </c>
      <c r="U1985" s="51">
        <f>S1985*T1985</f>
        <v/>
      </c>
      <c r="V1985" s="51">
        <f>IF(Q1985=1,MAX(0,F1985-E1985),0)</f>
        <v/>
      </c>
    </row>
    <row r="1986">
      <c r="A1986" s="43" t="inlineStr">
        <is>
          <t>PO100047</t>
        </is>
      </c>
      <c r="B1986" s="43" t="inlineStr">
        <is>
          <t>CMD-0002</t>
        </is>
      </c>
      <c r="C1986" s="43" t="inlineStr">
        <is>
          <t>S11</t>
        </is>
      </c>
      <c r="D1986" s="47" t="n">
        <v>46286</v>
      </c>
      <c r="E1986" s="47" t="n">
        <v>46405</v>
      </c>
      <c r="F1986" s="47" t="n"/>
      <c r="G1986" s="46" t="n">
        <v>7125</v>
      </c>
      <c r="H1986" s="46" t="n">
        <v>0</v>
      </c>
      <c r="I1986" s="46" t="n">
        <v>0</v>
      </c>
      <c r="J1986" s="44" t="n">
        <v>8.083</v>
      </c>
      <c r="K1986" s="43" t="inlineStr">
        <is>
          <t>Open</t>
        </is>
      </c>
      <c r="L1986" s="17">
        <f>INDEX(Items!$C$2:$C$117,MATCH(B1986,Items!$A$2:$A$117,0))</f>
        <v/>
      </c>
      <c r="M1986" s="49">
        <f>INDEX(Items!$E$2:$E$117,MATCH(B1986,Items!$A$2:$A$117,0))</f>
        <v/>
      </c>
      <c r="N1986" s="17">
        <f>TEXT(D1986,"yyyy-mm")</f>
        <v/>
      </c>
      <c r="O1986" s="50">
        <f>G1986*J1986</f>
        <v/>
      </c>
      <c r="P1986" s="50">
        <f>(J1986-M1986)*G1986</f>
        <v/>
      </c>
      <c r="Q1986" s="51">
        <f>IF(K1986="Received",1,0)</f>
        <v/>
      </c>
      <c r="R1986" s="51">
        <f>IF(Q1986=1,F1986-D1986,0)</f>
        <v/>
      </c>
      <c r="S1986" s="51">
        <f>IF(Q1986=1,IF(F1986&lt;=E1986,1,0),0)</f>
        <v/>
      </c>
      <c r="T1986" s="51">
        <f>IF(Q1986=1,IF(H1986&gt;=G1986,1,0),0)</f>
        <v/>
      </c>
      <c r="U1986" s="51">
        <f>S1986*T1986</f>
        <v/>
      </c>
      <c r="V1986" s="51">
        <f>IF(Q1986=1,MAX(0,F1986-E1986),0)</f>
        <v/>
      </c>
    </row>
    <row r="1987">
      <c r="A1987" s="43" t="inlineStr">
        <is>
          <t>PO101157</t>
        </is>
      </c>
      <c r="B1987" s="43" t="inlineStr">
        <is>
          <t>CMD-0053</t>
        </is>
      </c>
      <c r="C1987" s="43" t="inlineStr">
        <is>
          <t>S04</t>
        </is>
      </c>
      <c r="D1987" s="47" t="n">
        <v>46286</v>
      </c>
      <c r="E1987" s="47" t="n">
        <v>46321</v>
      </c>
      <c r="F1987" s="47" t="n"/>
      <c r="G1987" s="46" t="n">
        <v>41967</v>
      </c>
      <c r="H1987" s="46" t="n">
        <v>0</v>
      </c>
      <c r="I1987" s="46" t="n">
        <v>0</v>
      </c>
      <c r="J1987" s="44" t="n">
        <v>0.0997</v>
      </c>
      <c r="K1987" s="43" t="inlineStr">
        <is>
          <t>Open</t>
        </is>
      </c>
      <c r="L1987" s="17">
        <f>INDEX(Items!$C$2:$C$117,MATCH(B1987,Items!$A$2:$A$117,0))</f>
        <v/>
      </c>
      <c r="M1987" s="49">
        <f>INDEX(Items!$E$2:$E$117,MATCH(B1987,Items!$A$2:$A$117,0))</f>
        <v/>
      </c>
      <c r="N1987" s="17">
        <f>TEXT(D1987,"yyyy-mm")</f>
        <v/>
      </c>
      <c r="O1987" s="50">
        <f>G1987*J1987</f>
        <v/>
      </c>
      <c r="P1987" s="50">
        <f>(J1987-M1987)*G1987</f>
        <v/>
      </c>
      <c r="Q1987" s="51">
        <f>IF(K1987="Received",1,0)</f>
        <v/>
      </c>
      <c r="R1987" s="51">
        <f>IF(Q1987=1,F1987-D1987,0)</f>
        <v/>
      </c>
      <c r="S1987" s="51">
        <f>IF(Q1987=1,IF(F1987&lt;=E1987,1,0),0)</f>
        <v/>
      </c>
      <c r="T1987" s="51">
        <f>IF(Q1987=1,IF(H1987&gt;=G1987,1,0),0)</f>
        <v/>
      </c>
      <c r="U1987" s="51">
        <f>S1987*T1987</f>
        <v/>
      </c>
      <c r="V1987" s="51">
        <f>IF(Q1987=1,MAX(0,F1987-E1987),0)</f>
        <v/>
      </c>
    </row>
    <row r="1988">
      <c r="A1988" s="43" t="inlineStr">
        <is>
          <t>PO101907</t>
        </is>
      </c>
      <c r="B1988" s="43" t="inlineStr">
        <is>
          <t>CMD-0103</t>
        </is>
      </c>
      <c r="C1988" s="43" t="inlineStr">
        <is>
          <t>S09</t>
        </is>
      </c>
      <c r="D1988" s="47" t="n">
        <v>46286</v>
      </c>
      <c r="E1988" s="47" t="n">
        <v>46307</v>
      </c>
      <c r="F1988" s="47" t="n"/>
      <c r="G1988" s="46" t="n">
        <v>1110</v>
      </c>
      <c r="H1988" s="46" t="n">
        <v>0</v>
      </c>
      <c r="I1988" s="46" t="n">
        <v>0</v>
      </c>
      <c r="J1988" s="44" t="n">
        <v>4.3054</v>
      </c>
      <c r="K1988" s="43" t="inlineStr">
        <is>
          <t>Open</t>
        </is>
      </c>
      <c r="L1988" s="17">
        <f>INDEX(Items!$C$2:$C$117,MATCH(B1988,Items!$A$2:$A$117,0))</f>
        <v/>
      </c>
      <c r="M1988" s="49">
        <f>INDEX(Items!$E$2:$E$117,MATCH(B1988,Items!$A$2:$A$117,0))</f>
        <v/>
      </c>
      <c r="N1988" s="17">
        <f>TEXT(D1988,"yyyy-mm")</f>
        <v/>
      </c>
      <c r="O1988" s="50">
        <f>G1988*J1988</f>
        <v/>
      </c>
      <c r="P1988" s="50">
        <f>(J1988-M1988)*G1988</f>
        <v/>
      </c>
      <c r="Q1988" s="51">
        <f>IF(K1988="Received",1,0)</f>
        <v/>
      </c>
      <c r="R1988" s="51">
        <f>IF(Q1988=1,F1988-D1988,0)</f>
        <v/>
      </c>
      <c r="S1988" s="51">
        <f>IF(Q1988=1,IF(F1988&lt;=E1988,1,0),0)</f>
        <v/>
      </c>
      <c r="T1988" s="51">
        <f>IF(Q1988=1,IF(H1988&gt;=G1988,1,0),0)</f>
        <v/>
      </c>
      <c r="U1988" s="51">
        <f>S1988*T1988</f>
        <v/>
      </c>
      <c r="V1988" s="51">
        <f>IF(Q1988=1,MAX(0,F1988-E1988),0)</f>
        <v/>
      </c>
    </row>
    <row r="1989">
      <c r="A1989" s="43" t="inlineStr">
        <is>
          <t>PO100471</t>
        </is>
      </c>
      <c r="B1989" s="43" t="inlineStr">
        <is>
          <t>CMD-0021</t>
        </is>
      </c>
      <c r="C1989" s="43" t="inlineStr">
        <is>
          <t>S04</t>
        </is>
      </c>
      <c r="D1989" s="47" t="n">
        <v>46286</v>
      </c>
      <c r="E1989" s="47" t="n">
        <v>46356</v>
      </c>
      <c r="F1989" s="47" t="n"/>
      <c r="G1989" s="46" t="n">
        <v>1433</v>
      </c>
      <c r="H1989" s="46" t="n">
        <v>0</v>
      </c>
      <c r="I1989" s="46" t="n">
        <v>0</v>
      </c>
      <c r="J1989" s="44" t="n">
        <v>5.0882</v>
      </c>
      <c r="K1989" s="43" t="inlineStr">
        <is>
          <t>Open</t>
        </is>
      </c>
      <c r="L1989" s="17">
        <f>INDEX(Items!$C$2:$C$117,MATCH(B1989,Items!$A$2:$A$117,0))</f>
        <v/>
      </c>
      <c r="M1989" s="49">
        <f>INDEX(Items!$E$2:$E$117,MATCH(B1989,Items!$A$2:$A$117,0))</f>
        <v/>
      </c>
      <c r="N1989" s="17">
        <f>TEXT(D1989,"yyyy-mm")</f>
        <v/>
      </c>
      <c r="O1989" s="50">
        <f>G1989*J1989</f>
        <v/>
      </c>
      <c r="P1989" s="50">
        <f>(J1989-M1989)*G1989</f>
        <v/>
      </c>
      <c r="Q1989" s="51">
        <f>IF(K1989="Received",1,0)</f>
        <v/>
      </c>
      <c r="R1989" s="51">
        <f>IF(Q1989=1,F1989-D1989,0)</f>
        <v/>
      </c>
      <c r="S1989" s="51">
        <f>IF(Q1989=1,IF(F1989&lt;=E1989,1,0),0)</f>
        <v/>
      </c>
      <c r="T1989" s="51">
        <f>IF(Q1989=1,IF(H1989&gt;=G1989,1,0),0)</f>
        <v/>
      </c>
      <c r="U1989" s="51">
        <f>S1989*T1989</f>
        <v/>
      </c>
      <c r="V1989" s="51">
        <f>IF(Q1989=1,MAX(0,F1989-E1989),0)</f>
        <v/>
      </c>
    </row>
    <row r="1990">
      <c r="A1990" s="43" t="inlineStr">
        <is>
          <t>PO100841</t>
        </is>
      </c>
      <c r="B1990" s="43" t="inlineStr">
        <is>
          <t>CMD-0037</t>
        </is>
      </c>
      <c r="C1990" s="43" t="inlineStr">
        <is>
          <t>S07</t>
        </is>
      </c>
      <c r="D1990" s="47" t="n">
        <v>46286</v>
      </c>
      <c r="E1990" s="47" t="n">
        <v>46328</v>
      </c>
      <c r="F1990" s="47" t="n"/>
      <c r="G1990" s="46" t="n">
        <v>505</v>
      </c>
      <c r="H1990" s="46" t="n">
        <v>0</v>
      </c>
      <c r="I1990" s="46" t="n">
        <v>0</v>
      </c>
      <c r="J1990" s="44" t="n">
        <v>55.2286</v>
      </c>
      <c r="K1990" s="43" t="inlineStr">
        <is>
          <t>Open</t>
        </is>
      </c>
      <c r="L1990" s="17">
        <f>INDEX(Items!$C$2:$C$117,MATCH(B1990,Items!$A$2:$A$117,0))</f>
        <v/>
      </c>
      <c r="M1990" s="49">
        <f>INDEX(Items!$E$2:$E$117,MATCH(B1990,Items!$A$2:$A$117,0))</f>
        <v/>
      </c>
      <c r="N1990" s="17">
        <f>TEXT(D1990,"yyyy-mm")</f>
        <v/>
      </c>
      <c r="O1990" s="50">
        <f>G1990*J1990</f>
        <v/>
      </c>
      <c r="P1990" s="50">
        <f>(J1990-M1990)*G1990</f>
        <v/>
      </c>
      <c r="Q1990" s="51">
        <f>IF(K1990="Received",1,0)</f>
        <v/>
      </c>
      <c r="R1990" s="51">
        <f>IF(Q1990=1,F1990-D1990,0)</f>
        <v/>
      </c>
      <c r="S1990" s="51">
        <f>IF(Q1990=1,IF(F1990&lt;=E1990,1,0),0)</f>
        <v/>
      </c>
      <c r="T1990" s="51">
        <f>IF(Q1990=1,IF(H1990&gt;=G1990,1,0),0)</f>
        <v/>
      </c>
      <c r="U1990" s="51">
        <f>S1990*T1990</f>
        <v/>
      </c>
      <c r="V1990" s="51">
        <f>IF(Q1990=1,MAX(0,F1990-E1990),0)</f>
        <v/>
      </c>
    </row>
    <row r="1991">
      <c r="A1991" s="43" t="inlineStr">
        <is>
          <t>PO101803</t>
        </is>
      </c>
      <c r="B1991" s="43" t="inlineStr">
        <is>
          <t>CMD-0097</t>
        </is>
      </c>
      <c r="C1991" s="43" t="inlineStr">
        <is>
          <t>S09</t>
        </is>
      </c>
      <c r="D1991" s="47" t="n">
        <v>46286</v>
      </c>
      <c r="E1991" s="47" t="n">
        <v>46307</v>
      </c>
      <c r="F1991" s="47" t="n"/>
      <c r="G1991" s="46" t="n">
        <v>643</v>
      </c>
      <c r="H1991" s="46" t="n">
        <v>0</v>
      </c>
      <c r="I1991" s="46" t="n">
        <v>0</v>
      </c>
      <c r="J1991" s="44" t="n">
        <v>9.5481</v>
      </c>
      <c r="K1991" s="43" t="inlineStr">
        <is>
          <t>Open</t>
        </is>
      </c>
      <c r="L1991" s="17">
        <f>INDEX(Items!$C$2:$C$117,MATCH(B1991,Items!$A$2:$A$117,0))</f>
        <v/>
      </c>
      <c r="M1991" s="49">
        <f>INDEX(Items!$E$2:$E$117,MATCH(B1991,Items!$A$2:$A$117,0))</f>
        <v/>
      </c>
      <c r="N1991" s="17">
        <f>TEXT(D1991,"yyyy-mm")</f>
        <v/>
      </c>
      <c r="O1991" s="50">
        <f>G1991*J1991</f>
        <v/>
      </c>
      <c r="P1991" s="50">
        <f>(J1991-M1991)*G1991</f>
        <v/>
      </c>
      <c r="Q1991" s="51">
        <f>IF(K1991="Received",1,0)</f>
        <v/>
      </c>
      <c r="R1991" s="51">
        <f>IF(Q1991=1,F1991-D1991,0)</f>
        <v/>
      </c>
      <c r="S1991" s="51">
        <f>IF(Q1991=1,IF(F1991&lt;=E1991,1,0),0)</f>
        <v/>
      </c>
      <c r="T1991" s="51">
        <f>IF(Q1991=1,IF(H1991&gt;=G1991,1,0),0)</f>
        <v/>
      </c>
      <c r="U1991" s="51">
        <f>S1991*T1991</f>
        <v/>
      </c>
      <c r="V1991" s="51">
        <f>IF(Q1991=1,MAX(0,F1991-E1991),0)</f>
        <v/>
      </c>
    </row>
    <row r="1992">
      <c r="A1992" s="43" t="inlineStr">
        <is>
          <t>PO100889</t>
        </is>
      </c>
      <c r="B1992" s="43" t="inlineStr">
        <is>
          <t>CMD-0039</t>
        </is>
      </c>
      <c r="C1992" s="43" t="inlineStr">
        <is>
          <t>S07</t>
        </is>
      </c>
      <c r="D1992" s="47" t="n">
        <v>46287</v>
      </c>
      <c r="E1992" s="47" t="n">
        <v>46329</v>
      </c>
      <c r="F1992" s="47" t="n"/>
      <c r="G1992" s="46" t="n">
        <v>324</v>
      </c>
      <c r="H1992" s="46" t="n">
        <v>0</v>
      </c>
      <c r="I1992" s="46" t="n">
        <v>0</v>
      </c>
      <c r="J1992" s="44" t="n">
        <v>53.5497</v>
      </c>
      <c r="K1992" s="43" t="inlineStr">
        <is>
          <t>Open</t>
        </is>
      </c>
      <c r="L1992" s="17">
        <f>INDEX(Items!$C$2:$C$117,MATCH(B1992,Items!$A$2:$A$117,0))</f>
        <v/>
      </c>
      <c r="M1992" s="49">
        <f>INDEX(Items!$E$2:$E$117,MATCH(B1992,Items!$A$2:$A$117,0))</f>
        <v/>
      </c>
      <c r="N1992" s="17">
        <f>TEXT(D1992,"yyyy-mm")</f>
        <v/>
      </c>
      <c r="O1992" s="50">
        <f>G1992*J1992</f>
        <v/>
      </c>
      <c r="P1992" s="50">
        <f>(J1992-M1992)*G1992</f>
        <v/>
      </c>
      <c r="Q1992" s="51">
        <f>IF(K1992="Received",1,0)</f>
        <v/>
      </c>
      <c r="R1992" s="51">
        <f>IF(Q1992=1,F1992-D1992,0)</f>
        <v/>
      </c>
      <c r="S1992" s="51">
        <f>IF(Q1992=1,IF(F1992&lt;=E1992,1,0),0)</f>
        <v/>
      </c>
      <c r="T1992" s="51">
        <f>IF(Q1992=1,IF(H1992&gt;=G1992,1,0),0)</f>
        <v/>
      </c>
      <c r="U1992" s="51">
        <f>S1992*T1992</f>
        <v/>
      </c>
      <c r="V1992" s="51">
        <f>IF(Q1992=1,MAX(0,F1992-E1992),0)</f>
        <v/>
      </c>
    </row>
    <row r="1993">
      <c r="A1993" s="43" t="inlineStr">
        <is>
          <t>PO102003</t>
        </is>
      </c>
      <c r="B1993" s="43" t="inlineStr">
        <is>
          <t>CMD-0113</t>
        </is>
      </c>
      <c r="C1993" s="43" t="inlineStr">
        <is>
          <t>S12</t>
        </is>
      </c>
      <c r="D1993" s="47" t="n">
        <v>46287</v>
      </c>
      <c r="E1993" s="47" t="n">
        <v>46294</v>
      </c>
      <c r="F1993" s="47" t="n">
        <v>46293</v>
      </c>
      <c r="G1993" s="46" t="n">
        <v>1854</v>
      </c>
      <c r="H1993" s="46" t="n">
        <v>1854</v>
      </c>
      <c r="I1993" s="46" t="n">
        <v>2</v>
      </c>
      <c r="J1993" s="44" t="n">
        <v>0.2952</v>
      </c>
      <c r="K1993" s="43" t="inlineStr">
        <is>
          <t>Received</t>
        </is>
      </c>
      <c r="L1993" s="17">
        <f>INDEX(Items!$C$2:$C$117,MATCH(B1993,Items!$A$2:$A$117,0))</f>
        <v/>
      </c>
      <c r="M1993" s="49">
        <f>INDEX(Items!$E$2:$E$117,MATCH(B1993,Items!$A$2:$A$117,0))</f>
        <v/>
      </c>
      <c r="N1993" s="17">
        <f>TEXT(D1993,"yyyy-mm")</f>
        <v/>
      </c>
      <c r="O1993" s="50">
        <f>G1993*J1993</f>
        <v/>
      </c>
      <c r="P1993" s="50">
        <f>(J1993-M1993)*G1993</f>
        <v/>
      </c>
      <c r="Q1993" s="51">
        <f>IF(K1993="Received",1,0)</f>
        <v/>
      </c>
      <c r="R1993" s="51">
        <f>IF(Q1993=1,F1993-D1993,0)</f>
        <v/>
      </c>
      <c r="S1993" s="51">
        <f>IF(Q1993=1,IF(F1993&lt;=E1993,1,0),0)</f>
        <v/>
      </c>
      <c r="T1993" s="51">
        <f>IF(Q1993=1,IF(H1993&gt;=G1993,1,0),0)</f>
        <v/>
      </c>
      <c r="U1993" s="51">
        <f>S1993*T1993</f>
        <v/>
      </c>
      <c r="V1993" s="51">
        <f>IF(Q1993=1,MAX(0,F1993-E1993),0)</f>
        <v/>
      </c>
    </row>
    <row r="1994">
      <c r="A1994" s="43" t="inlineStr">
        <is>
          <t>PO101813</t>
        </is>
      </c>
      <c r="B1994" s="43" t="inlineStr">
        <is>
          <t>CMD-0098</t>
        </is>
      </c>
      <c r="C1994" s="43" t="inlineStr">
        <is>
          <t>S09</t>
        </is>
      </c>
      <c r="D1994" s="47" t="n">
        <v>46287</v>
      </c>
      <c r="E1994" s="47" t="n">
        <v>46308</v>
      </c>
      <c r="F1994" s="47" t="n"/>
      <c r="G1994" s="46" t="n">
        <v>775</v>
      </c>
      <c r="H1994" s="46" t="n">
        <v>0</v>
      </c>
      <c r="I1994" s="46" t="n">
        <v>0</v>
      </c>
      <c r="J1994" s="44" t="n">
        <v>7.416</v>
      </c>
      <c r="K1994" s="43" t="inlineStr">
        <is>
          <t>Open</t>
        </is>
      </c>
      <c r="L1994" s="17">
        <f>INDEX(Items!$C$2:$C$117,MATCH(B1994,Items!$A$2:$A$117,0))</f>
        <v/>
      </c>
      <c r="M1994" s="49">
        <f>INDEX(Items!$E$2:$E$117,MATCH(B1994,Items!$A$2:$A$117,0))</f>
        <v/>
      </c>
      <c r="N1994" s="17">
        <f>TEXT(D1994,"yyyy-mm")</f>
        <v/>
      </c>
      <c r="O1994" s="50">
        <f>G1994*J1994</f>
        <v/>
      </c>
      <c r="P1994" s="50">
        <f>(J1994-M1994)*G1994</f>
        <v/>
      </c>
      <c r="Q1994" s="51">
        <f>IF(K1994="Received",1,0)</f>
        <v/>
      </c>
      <c r="R1994" s="51">
        <f>IF(Q1994=1,F1994-D1994,0)</f>
        <v/>
      </c>
      <c r="S1994" s="51">
        <f>IF(Q1994=1,IF(F1994&lt;=E1994,1,0),0)</f>
        <v/>
      </c>
      <c r="T1994" s="51">
        <f>IF(Q1994=1,IF(H1994&gt;=G1994,1,0),0)</f>
        <v/>
      </c>
      <c r="U1994" s="51">
        <f>S1994*T1994</f>
        <v/>
      </c>
      <c r="V1994" s="51">
        <f>IF(Q1994=1,MAX(0,F1994-E1994),0)</f>
        <v/>
      </c>
    </row>
    <row r="1995">
      <c r="A1995" s="43" t="inlineStr">
        <is>
          <t>PO101843</t>
        </is>
      </c>
      <c r="B1995" s="43" t="inlineStr">
        <is>
          <t>CMD-0100</t>
        </is>
      </c>
      <c r="C1995" s="43" t="inlineStr">
        <is>
          <t>S09</t>
        </is>
      </c>
      <c r="D1995" s="47" t="n">
        <v>46287</v>
      </c>
      <c r="E1995" s="47" t="n">
        <v>46308</v>
      </c>
      <c r="F1995" s="47" t="n"/>
      <c r="G1995" s="46" t="n">
        <v>5333</v>
      </c>
      <c r="H1995" s="46" t="n">
        <v>0</v>
      </c>
      <c r="I1995" s="46" t="n">
        <v>0</v>
      </c>
      <c r="J1995" s="44" t="n">
        <v>5.0882</v>
      </c>
      <c r="K1995" s="43" t="inlineStr">
        <is>
          <t>Open</t>
        </is>
      </c>
      <c r="L1995" s="17">
        <f>INDEX(Items!$C$2:$C$117,MATCH(B1995,Items!$A$2:$A$117,0))</f>
        <v/>
      </c>
      <c r="M1995" s="49">
        <f>INDEX(Items!$E$2:$E$117,MATCH(B1995,Items!$A$2:$A$117,0))</f>
        <v/>
      </c>
      <c r="N1995" s="17">
        <f>TEXT(D1995,"yyyy-mm")</f>
        <v/>
      </c>
      <c r="O1995" s="50">
        <f>G1995*J1995</f>
        <v/>
      </c>
      <c r="P1995" s="50">
        <f>(J1995-M1995)*G1995</f>
        <v/>
      </c>
      <c r="Q1995" s="51">
        <f>IF(K1995="Received",1,0)</f>
        <v/>
      </c>
      <c r="R1995" s="51">
        <f>IF(Q1995=1,F1995-D1995,0)</f>
        <v/>
      </c>
      <c r="S1995" s="51">
        <f>IF(Q1995=1,IF(F1995&lt;=E1995,1,0),0)</f>
        <v/>
      </c>
      <c r="T1995" s="51">
        <f>IF(Q1995=1,IF(H1995&gt;=G1995,1,0),0)</f>
        <v/>
      </c>
      <c r="U1995" s="51">
        <f>S1995*T1995</f>
        <v/>
      </c>
      <c r="V1995" s="51">
        <f>IF(Q1995=1,MAX(0,F1995-E1995),0)</f>
        <v/>
      </c>
    </row>
    <row r="1996">
      <c r="A1996" s="43" t="inlineStr">
        <is>
          <t>PO101999</t>
        </is>
      </c>
      <c r="B1996" s="43" t="inlineStr">
        <is>
          <t>CMD-0112</t>
        </is>
      </c>
      <c r="C1996" s="43" t="inlineStr">
        <is>
          <t>S12</t>
        </is>
      </c>
      <c r="D1996" s="47" t="n">
        <v>46287</v>
      </c>
      <c r="E1996" s="47" t="n">
        <v>46294</v>
      </c>
      <c r="F1996" s="47" t="n">
        <v>46294</v>
      </c>
      <c r="G1996" s="46" t="n">
        <v>2995</v>
      </c>
      <c r="H1996" s="46" t="n">
        <v>2995</v>
      </c>
      <c r="I1996" s="46" t="n">
        <v>3</v>
      </c>
      <c r="J1996" s="44" t="n">
        <v>2.4617</v>
      </c>
      <c r="K1996" s="43" t="inlineStr">
        <is>
          <t>Received</t>
        </is>
      </c>
      <c r="L1996" s="17">
        <f>INDEX(Items!$C$2:$C$117,MATCH(B1996,Items!$A$2:$A$117,0))</f>
        <v/>
      </c>
      <c r="M1996" s="49">
        <f>INDEX(Items!$E$2:$E$117,MATCH(B1996,Items!$A$2:$A$117,0))</f>
        <v/>
      </c>
      <c r="N1996" s="17">
        <f>TEXT(D1996,"yyyy-mm")</f>
        <v/>
      </c>
      <c r="O1996" s="50">
        <f>G1996*J1996</f>
        <v/>
      </c>
      <c r="P1996" s="50">
        <f>(J1996-M1996)*G1996</f>
        <v/>
      </c>
      <c r="Q1996" s="51">
        <f>IF(K1996="Received",1,0)</f>
        <v/>
      </c>
      <c r="R1996" s="51">
        <f>IF(Q1996=1,F1996-D1996,0)</f>
        <v/>
      </c>
      <c r="S1996" s="51">
        <f>IF(Q1996=1,IF(F1996&lt;=E1996,1,0),0)</f>
        <v/>
      </c>
      <c r="T1996" s="51">
        <f>IF(Q1996=1,IF(H1996&gt;=G1996,1,0),0)</f>
        <v/>
      </c>
      <c r="U1996" s="51">
        <f>S1996*T1996</f>
        <v/>
      </c>
      <c r="V1996" s="51">
        <f>IF(Q1996=1,MAX(0,F1996-E1996),0)</f>
        <v/>
      </c>
    </row>
    <row r="1997">
      <c r="A1997" s="43" t="inlineStr">
        <is>
          <t>PO100567</t>
        </is>
      </c>
      <c r="B1997" s="43" t="inlineStr">
        <is>
          <t>CMD-0025</t>
        </is>
      </c>
      <c r="C1997" s="43" t="inlineStr">
        <is>
          <t>S02</t>
        </is>
      </c>
      <c r="D1997" s="47" t="n">
        <v>46287</v>
      </c>
      <c r="E1997" s="47" t="n">
        <v>46343</v>
      </c>
      <c r="F1997" s="47" t="n"/>
      <c r="G1997" s="46" t="n">
        <v>1050</v>
      </c>
      <c r="H1997" s="46" t="n">
        <v>0</v>
      </c>
      <c r="I1997" s="46" t="n">
        <v>0</v>
      </c>
      <c r="J1997" s="44" t="n">
        <v>10.8356</v>
      </c>
      <c r="K1997" s="43" t="inlineStr">
        <is>
          <t>Open</t>
        </is>
      </c>
      <c r="L1997" s="17">
        <f>INDEX(Items!$C$2:$C$117,MATCH(B1997,Items!$A$2:$A$117,0))</f>
        <v/>
      </c>
      <c r="M1997" s="49">
        <f>INDEX(Items!$E$2:$E$117,MATCH(B1997,Items!$A$2:$A$117,0))</f>
        <v/>
      </c>
      <c r="N1997" s="17">
        <f>TEXT(D1997,"yyyy-mm")</f>
        <v/>
      </c>
      <c r="O1997" s="50">
        <f>G1997*J1997</f>
        <v/>
      </c>
      <c r="P1997" s="50">
        <f>(J1997-M1997)*G1997</f>
        <v/>
      </c>
      <c r="Q1997" s="51">
        <f>IF(K1997="Received",1,0)</f>
        <v/>
      </c>
      <c r="R1997" s="51">
        <f>IF(Q1997=1,F1997-D1997,0)</f>
        <v/>
      </c>
      <c r="S1997" s="51">
        <f>IF(Q1997=1,IF(F1997&lt;=E1997,1,0),0)</f>
        <v/>
      </c>
      <c r="T1997" s="51">
        <f>IF(Q1997=1,IF(H1997&gt;=G1997,1,0),0)</f>
        <v/>
      </c>
      <c r="U1997" s="51">
        <f>S1997*T1997</f>
        <v/>
      </c>
      <c r="V1997" s="51">
        <f>IF(Q1997=1,MAX(0,F1997-E1997),0)</f>
        <v/>
      </c>
    </row>
    <row r="1998">
      <c r="A1998" s="43" t="inlineStr">
        <is>
          <t>PO101993</t>
        </is>
      </c>
      <c r="B1998" s="43" t="inlineStr">
        <is>
          <t>CMD-0111</t>
        </is>
      </c>
      <c r="C1998" s="43" t="inlineStr">
        <is>
          <t>S12</t>
        </is>
      </c>
      <c r="D1998" s="47" t="n">
        <v>46287</v>
      </c>
      <c r="E1998" s="47" t="n">
        <v>46294</v>
      </c>
      <c r="F1998" s="47" t="n">
        <v>46293</v>
      </c>
      <c r="G1998" s="46" t="n">
        <v>5304</v>
      </c>
      <c r="H1998" s="46" t="n">
        <v>5304</v>
      </c>
      <c r="I1998" s="46" t="n">
        <v>5</v>
      </c>
      <c r="J1998" s="44" t="n">
        <v>0.3014</v>
      </c>
      <c r="K1998" s="43" t="inlineStr">
        <is>
          <t>Received</t>
        </is>
      </c>
      <c r="L1998" s="17">
        <f>INDEX(Items!$C$2:$C$117,MATCH(B1998,Items!$A$2:$A$117,0))</f>
        <v/>
      </c>
      <c r="M1998" s="49">
        <f>INDEX(Items!$E$2:$E$117,MATCH(B1998,Items!$A$2:$A$117,0))</f>
        <v/>
      </c>
      <c r="N1998" s="17">
        <f>TEXT(D1998,"yyyy-mm")</f>
        <v/>
      </c>
      <c r="O1998" s="50">
        <f>G1998*J1998</f>
        <v/>
      </c>
      <c r="P1998" s="50">
        <f>(J1998-M1998)*G1998</f>
        <v/>
      </c>
      <c r="Q1998" s="51">
        <f>IF(K1998="Received",1,0)</f>
        <v/>
      </c>
      <c r="R1998" s="51">
        <f>IF(Q1998=1,F1998-D1998,0)</f>
        <v/>
      </c>
      <c r="S1998" s="51">
        <f>IF(Q1998=1,IF(F1998&lt;=E1998,1,0),0)</f>
        <v/>
      </c>
      <c r="T1998" s="51">
        <f>IF(Q1998=1,IF(H1998&gt;=G1998,1,0),0)</f>
        <v/>
      </c>
      <c r="U1998" s="51">
        <f>S1998*T1998</f>
        <v/>
      </c>
      <c r="V1998" s="51">
        <f>IF(Q1998=1,MAX(0,F1998-E1998),0)</f>
        <v/>
      </c>
    </row>
    <row r="1999">
      <c r="A1999" s="43" t="inlineStr">
        <is>
          <t>PO101303</t>
        </is>
      </c>
      <c r="B1999" s="43" t="inlineStr">
        <is>
          <t>CMD-0063</t>
        </is>
      </c>
      <c r="C1999" s="43" t="inlineStr">
        <is>
          <t>S01</t>
        </is>
      </c>
      <c r="D1999" s="47" t="n">
        <v>46287</v>
      </c>
      <c r="E1999" s="47" t="n">
        <v>46308</v>
      </c>
      <c r="F1999" s="47" t="n"/>
      <c r="G1999" s="46" t="n">
        <v>82146</v>
      </c>
      <c r="H1999" s="46" t="n">
        <v>0</v>
      </c>
      <c r="I1999" s="46" t="n">
        <v>0</v>
      </c>
      <c r="J1999" s="44" t="n">
        <v>0.0382</v>
      </c>
      <c r="K1999" s="43" t="inlineStr">
        <is>
          <t>Open</t>
        </is>
      </c>
      <c r="L1999" s="17">
        <f>INDEX(Items!$C$2:$C$117,MATCH(B1999,Items!$A$2:$A$117,0))</f>
        <v/>
      </c>
      <c r="M1999" s="49">
        <f>INDEX(Items!$E$2:$E$117,MATCH(B1999,Items!$A$2:$A$117,0))</f>
        <v/>
      </c>
      <c r="N1999" s="17">
        <f>TEXT(D1999,"yyyy-mm")</f>
        <v/>
      </c>
      <c r="O1999" s="50">
        <f>G1999*J1999</f>
        <v/>
      </c>
      <c r="P1999" s="50">
        <f>(J1999-M1999)*G1999</f>
        <v/>
      </c>
      <c r="Q1999" s="51">
        <f>IF(K1999="Received",1,0)</f>
        <v/>
      </c>
      <c r="R1999" s="51">
        <f>IF(Q1999=1,F1999-D1999,0)</f>
        <v/>
      </c>
      <c r="S1999" s="51">
        <f>IF(Q1999=1,IF(F1999&lt;=E1999,1,0),0)</f>
        <v/>
      </c>
      <c r="T1999" s="51">
        <f>IF(Q1999=1,IF(H1999&gt;=G1999,1,0),0)</f>
        <v/>
      </c>
      <c r="U1999" s="51">
        <f>S1999*T1999</f>
        <v/>
      </c>
      <c r="V1999" s="51">
        <f>IF(Q1999=1,MAX(0,F1999-E1999),0)</f>
        <v/>
      </c>
    </row>
    <row r="2000">
      <c r="A2000" s="43" t="inlineStr">
        <is>
          <t>PO100315</t>
        </is>
      </c>
      <c r="B2000" s="43" t="inlineStr">
        <is>
          <t>CMD-0014</t>
        </is>
      </c>
      <c r="C2000" s="43" t="inlineStr">
        <is>
          <t>S03</t>
        </is>
      </c>
      <c r="D2000" s="47" t="n">
        <v>46287</v>
      </c>
      <c r="E2000" s="47" t="n">
        <v>46420</v>
      </c>
      <c r="F2000" s="47" t="n"/>
      <c r="G2000" s="46" t="n">
        <v>5180</v>
      </c>
      <c r="H2000" s="46" t="n">
        <v>0</v>
      </c>
      <c r="I2000" s="46" t="n">
        <v>0</v>
      </c>
      <c r="J2000" s="44" t="n">
        <v>14.8916</v>
      </c>
      <c r="K2000" s="43" t="inlineStr">
        <is>
          <t>Open</t>
        </is>
      </c>
      <c r="L2000" s="17">
        <f>INDEX(Items!$C$2:$C$117,MATCH(B2000,Items!$A$2:$A$117,0))</f>
        <v/>
      </c>
      <c r="M2000" s="49">
        <f>INDEX(Items!$E$2:$E$117,MATCH(B2000,Items!$A$2:$A$117,0))</f>
        <v/>
      </c>
      <c r="N2000" s="17">
        <f>TEXT(D2000,"yyyy-mm")</f>
        <v/>
      </c>
      <c r="O2000" s="50">
        <f>G2000*J2000</f>
        <v/>
      </c>
      <c r="P2000" s="50">
        <f>(J2000-M2000)*G2000</f>
        <v/>
      </c>
      <c r="Q2000" s="51">
        <f>IF(K2000="Received",1,0)</f>
        <v/>
      </c>
      <c r="R2000" s="51">
        <f>IF(Q2000=1,F2000-D2000,0)</f>
        <v/>
      </c>
      <c r="S2000" s="51">
        <f>IF(Q2000=1,IF(F2000&lt;=E2000,1,0),0)</f>
        <v/>
      </c>
      <c r="T2000" s="51">
        <f>IF(Q2000=1,IF(H2000&gt;=G2000,1,0),0)</f>
        <v/>
      </c>
      <c r="U2000" s="51">
        <f>S2000*T2000</f>
        <v/>
      </c>
      <c r="V2000" s="51">
        <f>IF(Q2000=1,MAX(0,F2000-E2000),0)</f>
        <v/>
      </c>
    </row>
    <row r="2001">
      <c r="A2001" s="43" t="inlineStr">
        <is>
          <t>PO100363</t>
        </is>
      </c>
      <c r="B2001" s="43" t="inlineStr">
        <is>
          <t>CMD-0016</t>
        </is>
      </c>
      <c r="C2001" s="43" t="inlineStr">
        <is>
          <t>S07</t>
        </is>
      </c>
      <c r="D2001" s="47" t="n">
        <v>46288</v>
      </c>
      <c r="E2001" s="47" t="n">
        <v>46379</v>
      </c>
      <c r="F2001" s="47" t="n"/>
      <c r="G2001" s="46" t="n">
        <v>7498</v>
      </c>
      <c r="H2001" s="46" t="n">
        <v>0</v>
      </c>
      <c r="I2001" s="46" t="n">
        <v>0</v>
      </c>
      <c r="J2001" s="44" t="n">
        <v>31.8836</v>
      </c>
      <c r="K2001" s="43" t="inlineStr">
        <is>
          <t>Open</t>
        </is>
      </c>
      <c r="L2001" s="17">
        <f>INDEX(Items!$C$2:$C$117,MATCH(B2001,Items!$A$2:$A$117,0))</f>
        <v/>
      </c>
      <c r="M2001" s="49">
        <f>INDEX(Items!$E$2:$E$117,MATCH(B2001,Items!$A$2:$A$117,0))</f>
        <v/>
      </c>
      <c r="N2001" s="17">
        <f>TEXT(D2001,"yyyy-mm")</f>
        <v/>
      </c>
      <c r="O2001" s="50">
        <f>G2001*J2001</f>
        <v/>
      </c>
      <c r="P2001" s="50">
        <f>(J2001-M2001)*G2001</f>
        <v/>
      </c>
      <c r="Q2001" s="51">
        <f>IF(K2001="Received",1,0)</f>
        <v/>
      </c>
      <c r="R2001" s="51">
        <f>IF(Q2001=1,F2001-D2001,0)</f>
        <v/>
      </c>
      <c r="S2001" s="51">
        <f>IF(Q2001=1,IF(F2001&lt;=E2001,1,0),0)</f>
        <v/>
      </c>
      <c r="T2001" s="51">
        <f>IF(Q2001=1,IF(H2001&gt;=G2001,1,0),0)</f>
        <v/>
      </c>
      <c r="U2001" s="51">
        <f>S2001*T2001</f>
        <v/>
      </c>
      <c r="V2001" s="51">
        <f>IF(Q2001=1,MAX(0,F2001-E2001),0)</f>
        <v/>
      </c>
    </row>
    <row r="2002">
      <c r="A2002" s="43" t="inlineStr">
        <is>
          <t>PO101205</t>
        </is>
      </c>
      <c r="B2002" s="43" t="inlineStr">
        <is>
          <t>CMD-0055</t>
        </is>
      </c>
      <c r="C2002" s="43" t="inlineStr">
        <is>
          <t>S04</t>
        </is>
      </c>
      <c r="D2002" s="47" t="n">
        <v>46288</v>
      </c>
      <c r="E2002" s="47" t="n">
        <v>46323</v>
      </c>
      <c r="F2002" s="47" t="n"/>
      <c r="G2002" s="46" t="n">
        <v>107993</v>
      </c>
      <c r="H2002" s="46" t="n">
        <v>0</v>
      </c>
      <c r="I2002" s="46" t="n">
        <v>0</v>
      </c>
      <c r="J2002" s="44" t="n">
        <v>0.09660000000000001</v>
      </c>
      <c r="K2002" s="43" t="inlineStr">
        <is>
          <t>Open</t>
        </is>
      </c>
      <c r="L2002" s="17">
        <f>INDEX(Items!$C$2:$C$117,MATCH(B2002,Items!$A$2:$A$117,0))</f>
        <v/>
      </c>
      <c r="M2002" s="49">
        <f>INDEX(Items!$E$2:$E$117,MATCH(B2002,Items!$A$2:$A$117,0))</f>
        <v/>
      </c>
      <c r="N2002" s="17">
        <f>TEXT(D2002,"yyyy-mm")</f>
        <v/>
      </c>
      <c r="O2002" s="50">
        <f>G2002*J2002</f>
        <v/>
      </c>
      <c r="P2002" s="50">
        <f>(J2002-M2002)*G2002</f>
        <v/>
      </c>
      <c r="Q2002" s="51">
        <f>IF(K2002="Received",1,0)</f>
        <v/>
      </c>
      <c r="R2002" s="51">
        <f>IF(Q2002=1,F2002-D2002,0)</f>
        <v/>
      </c>
      <c r="S2002" s="51">
        <f>IF(Q2002=1,IF(F2002&lt;=E2002,1,0),0)</f>
        <v/>
      </c>
      <c r="T2002" s="51">
        <f>IF(Q2002=1,IF(H2002&gt;=G2002,1,0),0)</f>
        <v/>
      </c>
      <c r="U2002" s="51">
        <f>S2002*T2002</f>
        <v/>
      </c>
      <c r="V2002" s="51">
        <f>IF(Q2002=1,MAX(0,F2002-E2002),0)</f>
        <v/>
      </c>
    </row>
    <row r="2003">
      <c r="A2003" s="43" t="inlineStr">
        <is>
          <t>PO101331</t>
        </is>
      </c>
      <c r="B2003" s="43" t="inlineStr">
        <is>
          <t>CMD-0065</t>
        </is>
      </c>
      <c r="C2003" s="43" t="inlineStr">
        <is>
          <t>S10</t>
        </is>
      </c>
      <c r="D2003" s="47" t="n">
        <v>46288</v>
      </c>
      <c r="E2003" s="47" t="n">
        <v>46316</v>
      </c>
      <c r="F2003" s="47" t="n"/>
      <c r="G2003" s="46" t="n">
        <v>127389</v>
      </c>
      <c r="H2003" s="46" t="n">
        <v>0</v>
      </c>
      <c r="I2003" s="46" t="n">
        <v>0</v>
      </c>
      <c r="J2003" s="44" t="n">
        <v>0.119</v>
      </c>
      <c r="K2003" s="43" t="inlineStr">
        <is>
          <t>Open</t>
        </is>
      </c>
      <c r="L2003" s="17">
        <f>INDEX(Items!$C$2:$C$117,MATCH(B2003,Items!$A$2:$A$117,0))</f>
        <v/>
      </c>
      <c r="M2003" s="49">
        <f>INDEX(Items!$E$2:$E$117,MATCH(B2003,Items!$A$2:$A$117,0))</f>
        <v/>
      </c>
      <c r="N2003" s="17">
        <f>TEXT(D2003,"yyyy-mm")</f>
        <v/>
      </c>
      <c r="O2003" s="50">
        <f>G2003*J2003</f>
        <v/>
      </c>
      <c r="P2003" s="50">
        <f>(J2003-M2003)*G2003</f>
        <v/>
      </c>
      <c r="Q2003" s="51">
        <f>IF(K2003="Received",1,0)</f>
        <v/>
      </c>
      <c r="R2003" s="51">
        <f>IF(Q2003=1,F2003-D2003,0)</f>
        <v/>
      </c>
      <c r="S2003" s="51">
        <f>IF(Q2003=1,IF(F2003&lt;=E2003,1,0),0)</f>
        <v/>
      </c>
      <c r="T2003" s="51">
        <f>IF(Q2003=1,IF(H2003&gt;=G2003,1,0),0)</f>
        <v/>
      </c>
      <c r="U2003" s="51">
        <f>S2003*T2003</f>
        <v/>
      </c>
      <c r="V2003" s="51">
        <f>IF(Q2003=1,MAX(0,F2003-E2003),0)</f>
        <v/>
      </c>
    </row>
    <row r="2004">
      <c r="A2004" s="43" t="inlineStr">
        <is>
          <t>PO101503</t>
        </is>
      </c>
      <c r="B2004" s="43" t="inlineStr">
        <is>
          <t>CMD-0079</t>
        </is>
      </c>
      <c r="C2004" s="43" t="inlineStr">
        <is>
          <t>S06</t>
        </is>
      </c>
      <c r="D2004" s="47" t="n">
        <v>46288</v>
      </c>
      <c r="E2004" s="47" t="n">
        <v>46309</v>
      </c>
      <c r="F2004" s="47" t="n"/>
      <c r="G2004" s="46" t="n">
        <v>1979</v>
      </c>
      <c r="H2004" s="46" t="n">
        <v>0</v>
      </c>
      <c r="I2004" s="46" t="n">
        <v>0</v>
      </c>
      <c r="J2004" s="44" t="n">
        <v>3.6359</v>
      </c>
      <c r="K2004" s="43" t="inlineStr">
        <is>
          <t>Open</t>
        </is>
      </c>
      <c r="L2004" s="17">
        <f>INDEX(Items!$C$2:$C$117,MATCH(B2004,Items!$A$2:$A$117,0))</f>
        <v/>
      </c>
      <c r="M2004" s="49">
        <f>INDEX(Items!$E$2:$E$117,MATCH(B2004,Items!$A$2:$A$117,0))</f>
        <v/>
      </c>
      <c r="N2004" s="17">
        <f>TEXT(D2004,"yyyy-mm")</f>
        <v/>
      </c>
      <c r="O2004" s="50">
        <f>G2004*J2004</f>
        <v/>
      </c>
      <c r="P2004" s="50">
        <f>(J2004-M2004)*G2004</f>
        <v/>
      </c>
      <c r="Q2004" s="51">
        <f>IF(K2004="Received",1,0)</f>
        <v/>
      </c>
      <c r="R2004" s="51">
        <f>IF(Q2004=1,F2004-D2004,0)</f>
        <v/>
      </c>
      <c r="S2004" s="51">
        <f>IF(Q2004=1,IF(F2004&lt;=E2004,1,0),0)</f>
        <v/>
      </c>
      <c r="T2004" s="51">
        <f>IF(Q2004=1,IF(H2004&gt;=G2004,1,0),0)</f>
        <v/>
      </c>
      <c r="U2004" s="51">
        <f>S2004*T2004</f>
        <v/>
      </c>
      <c r="V2004" s="51">
        <f>IF(Q2004=1,MAX(0,F2004-E2004),0)</f>
        <v/>
      </c>
    </row>
    <row r="2005">
      <c r="A2005" s="43" t="inlineStr">
        <is>
          <t>PO101641</t>
        </is>
      </c>
      <c r="B2005" s="43" t="inlineStr">
        <is>
          <t>CMD-0090</t>
        </is>
      </c>
      <c r="C2005" s="43" t="inlineStr">
        <is>
          <t>S01</t>
        </is>
      </c>
      <c r="D2005" s="47" t="n">
        <v>46288</v>
      </c>
      <c r="E2005" s="47" t="n">
        <v>46302</v>
      </c>
      <c r="F2005" s="47" t="n"/>
      <c r="G2005" s="46" t="n">
        <v>4272</v>
      </c>
      <c r="H2005" s="46" t="n">
        <v>0</v>
      </c>
      <c r="I2005" s="46" t="n">
        <v>0</v>
      </c>
      <c r="J2005" s="44" t="n">
        <v>7.1997</v>
      </c>
      <c r="K2005" s="43" t="inlineStr">
        <is>
          <t>Open</t>
        </is>
      </c>
      <c r="L2005" s="17">
        <f>INDEX(Items!$C$2:$C$117,MATCH(B2005,Items!$A$2:$A$117,0))</f>
        <v/>
      </c>
      <c r="M2005" s="49">
        <f>INDEX(Items!$E$2:$E$117,MATCH(B2005,Items!$A$2:$A$117,0))</f>
        <v/>
      </c>
      <c r="N2005" s="17">
        <f>TEXT(D2005,"yyyy-mm")</f>
        <v/>
      </c>
      <c r="O2005" s="50">
        <f>G2005*J2005</f>
        <v/>
      </c>
      <c r="P2005" s="50">
        <f>(J2005-M2005)*G2005</f>
        <v/>
      </c>
      <c r="Q2005" s="51">
        <f>IF(K2005="Received",1,0)</f>
        <v/>
      </c>
      <c r="R2005" s="51">
        <f>IF(Q2005=1,F2005-D2005,0)</f>
        <v/>
      </c>
      <c r="S2005" s="51">
        <f>IF(Q2005=1,IF(F2005&lt;=E2005,1,0),0)</f>
        <v/>
      </c>
      <c r="T2005" s="51">
        <f>IF(Q2005=1,IF(H2005&gt;=G2005,1,0),0)</f>
        <v/>
      </c>
      <c r="U2005" s="51">
        <f>S2005*T2005</f>
        <v/>
      </c>
      <c r="V2005" s="51">
        <f>IF(Q2005=1,MAX(0,F2005-E2005),0)</f>
        <v/>
      </c>
    </row>
    <row r="2006">
      <c r="A2006" s="43" t="inlineStr">
        <is>
          <t>PO101563</t>
        </is>
      </c>
      <c r="B2006" s="43" t="inlineStr">
        <is>
          <t>CMD-0084</t>
        </is>
      </c>
      <c r="C2006" s="43" t="inlineStr">
        <is>
          <t>S06</t>
        </is>
      </c>
      <c r="D2006" s="47" t="n">
        <v>46288</v>
      </c>
      <c r="E2006" s="47" t="n">
        <v>46309</v>
      </c>
      <c r="F2006" s="47" t="n"/>
      <c r="G2006" s="46" t="n">
        <v>4036</v>
      </c>
      <c r="H2006" s="46" t="n">
        <v>0</v>
      </c>
      <c r="I2006" s="46" t="n">
        <v>0</v>
      </c>
      <c r="J2006" s="44" t="n">
        <v>1.1845</v>
      </c>
      <c r="K2006" s="43" t="inlineStr">
        <is>
          <t>Open</t>
        </is>
      </c>
      <c r="L2006" s="17">
        <f>INDEX(Items!$C$2:$C$117,MATCH(B2006,Items!$A$2:$A$117,0))</f>
        <v/>
      </c>
      <c r="M2006" s="49">
        <f>INDEX(Items!$E$2:$E$117,MATCH(B2006,Items!$A$2:$A$117,0))</f>
        <v/>
      </c>
      <c r="N2006" s="17">
        <f>TEXT(D2006,"yyyy-mm")</f>
        <v/>
      </c>
      <c r="O2006" s="50">
        <f>G2006*J2006</f>
        <v/>
      </c>
      <c r="P2006" s="50">
        <f>(J2006-M2006)*G2006</f>
        <v/>
      </c>
      <c r="Q2006" s="51">
        <f>IF(K2006="Received",1,0)</f>
        <v/>
      </c>
      <c r="R2006" s="51">
        <f>IF(Q2006=1,F2006-D2006,0)</f>
        <v/>
      </c>
      <c r="S2006" s="51">
        <f>IF(Q2006=1,IF(F2006&lt;=E2006,1,0),0)</f>
        <v/>
      </c>
      <c r="T2006" s="51">
        <f>IF(Q2006=1,IF(H2006&gt;=G2006,1,0),0)</f>
        <v/>
      </c>
      <c r="U2006" s="51">
        <f>S2006*T2006</f>
        <v/>
      </c>
      <c r="V2006" s="51">
        <f>IF(Q2006=1,MAX(0,F2006-E2006),0)</f>
        <v/>
      </c>
    </row>
    <row r="2007">
      <c r="A2007" s="43" t="inlineStr">
        <is>
          <t>PO100687</t>
        </is>
      </c>
      <c r="B2007" s="43" t="inlineStr">
        <is>
          <t>CMD-0030</t>
        </is>
      </c>
      <c r="C2007" s="43" t="inlineStr">
        <is>
          <t>S11</t>
        </is>
      </c>
      <c r="D2007" s="47" t="n">
        <v>46288</v>
      </c>
      <c r="E2007" s="47" t="n">
        <v>46365</v>
      </c>
      <c r="F2007" s="47" t="n"/>
      <c r="G2007" s="46" t="n">
        <v>6772</v>
      </c>
      <c r="H2007" s="46" t="n">
        <v>0</v>
      </c>
      <c r="I2007" s="46" t="n">
        <v>0</v>
      </c>
      <c r="J2007" s="44" t="n">
        <v>23.8857</v>
      </c>
      <c r="K2007" s="43" t="inlineStr">
        <is>
          <t>Open</t>
        </is>
      </c>
      <c r="L2007" s="17">
        <f>INDEX(Items!$C$2:$C$117,MATCH(B2007,Items!$A$2:$A$117,0))</f>
        <v/>
      </c>
      <c r="M2007" s="49">
        <f>INDEX(Items!$E$2:$E$117,MATCH(B2007,Items!$A$2:$A$117,0))</f>
        <v/>
      </c>
      <c r="N2007" s="17">
        <f>TEXT(D2007,"yyyy-mm")</f>
        <v/>
      </c>
      <c r="O2007" s="50">
        <f>G2007*J2007</f>
        <v/>
      </c>
      <c r="P2007" s="50">
        <f>(J2007-M2007)*G2007</f>
        <v/>
      </c>
      <c r="Q2007" s="51">
        <f>IF(K2007="Received",1,0)</f>
        <v/>
      </c>
      <c r="R2007" s="51">
        <f>IF(Q2007=1,F2007-D2007,0)</f>
        <v/>
      </c>
      <c r="S2007" s="51">
        <f>IF(Q2007=1,IF(F2007&lt;=E2007,1,0),0)</f>
        <v/>
      </c>
      <c r="T2007" s="51">
        <f>IF(Q2007=1,IF(H2007&gt;=G2007,1,0),0)</f>
        <v/>
      </c>
      <c r="U2007" s="51">
        <f>S2007*T2007</f>
        <v/>
      </c>
      <c r="V2007" s="51">
        <f>IF(Q2007=1,MAX(0,F2007-E2007),0)</f>
        <v/>
      </c>
    </row>
    <row r="2008">
      <c r="A2008" s="43" t="inlineStr">
        <is>
          <t>PO100519</t>
        </is>
      </c>
      <c r="B2008" s="43" t="inlineStr">
        <is>
          <t>CMD-0023</t>
        </is>
      </c>
      <c r="C2008" s="43" t="inlineStr">
        <is>
          <t>S04</t>
        </is>
      </c>
      <c r="D2008" s="47" t="n">
        <v>46288</v>
      </c>
      <c r="E2008" s="47" t="n">
        <v>46358</v>
      </c>
      <c r="F2008" s="47" t="n"/>
      <c r="G2008" s="46" t="n">
        <v>4610</v>
      </c>
      <c r="H2008" s="46" t="n">
        <v>0</v>
      </c>
      <c r="I2008" s="46" t="n">
        <v>0</v>
      </c>
      <c r="J2008" s="44" t="n">
        <v>9.064</v>
      </c>
      <c r="K2008" s="43" t="inlineStr">
        <is>
          <t>Open</t>
        </is>
      </c>
      <c r="L2008" s="17">
        <f>INDEX(Items!$C$2:$C$117,MATCH(B2008,Items!$A$2:$A$117,0))</f>
        <v/>
      </c>
      <c r="M2008" s="49">
        <f>INDEX(Items!$E$2:$E$117,MATCH(B2008,Items!$A$2:$A$117,0))</f>
        <v/>
      </c>
      <c r="N2008" s="17">
        <f>TEXT(D2008,"yyyy-mm")</f>
        <v/>
      </c>
      <c r="O2008" s="50">
        <f>G2008*J2008</f>
        <v/>
      </c>
      <c r="P2008" s="50">
        <f>(J2008-M2008)*G2008</f>
        <v/>
      </c>
      <c r="Q2008" s="51">
        <f>IF(K2008="Received",1,0)</f>
        <v/>
      </c>
      <c r="R2008" s="51">
        <f>IF(Q2008=1,F2008-D2008,0)</f>
        <v/>
      </c>
      <c r="S2008" s="51">
        <f>IF(Q2008=1,IF(F2008&lt;=E2008,1,0),0)</f>
        <v/>
      </c>
      <c r="T2008" s="51">
        <f>IF(Q2008=1,IF(H2008&gt;=G2008,1,0),0)</f>
        <v/>
      </c>
      <c r="U2008" s="51">
        <f>S2008*T2008</f>
        <v/>
      </c>
      <c r="V2008" s="51">
        <f>IF(Q2008=1,MAX(0,F2008-E2008),0)</f>
        <v/>
      </c>
    </row>
    <row r="2009">
      <c r="A2009" s="43" t="inlineStr">
        <is>
          <t>PO100429</t>
        </is>
      </c>
      <c r="B2009" s="43" t="inlineStr">
        <is>
          <t>CMD-0019</t>
        </is>
      </c>
      <c r="C2009" s="43" t="inlineStr">
        <is>
          <t>S11</t>
        </is>
      </c>
      <c r="D2009" s="47" t="n">
        <v>46288</v>
      </c>
      <c r="E2009" s="47" t="n">
        <v>46365</v>
      </c>
      <c r="F2009" s="47" t="n"/>
      <c r="G2009" s="46" t="n">
        <v>701</v>
      </c>
      <c r="H2009" s="46" t="n">
        <v>0</v>
      </c>
      <c r="I2009" s="46" t="n">
        <v>0</v>
      </c>
      <c r="J2009" s="44" t="n">
        <v>7.4675</v>
      </c>
      <c r="K2009" s="43" t="inlineStr">
        <is>
          <t>Open</t>
        </is>
      </c>
      <c r="L2009" s="17">
        <f>INDEX(Items!$C$2:$C$117,MATCH(B2009,Items!$A$2:$A$117,0))</f>
        <v/>
      </c>
      <c r="M2009" s="49">
        <f>INDEX(Items!$E$2:$E$117,MATCH(B2009,Items!$A$2:$A$117,0))</f>
        <v/>
      </c>
      <c r="N2009" s="17">
        <f>TEXT(D2009,"yyyy-mm")</f>
        <v/>
      </c>
      <c r="O2009" s="50">
        <f>G2009*J2009</f>
        <v/>
      </c>
      <c r="P2009" s="50">
        <f>(J2009-M2009)*G2009</f>
        <v/>
      </c>
      <c r="Q2009" s="51">
        <f>IF(K2009="Received",1,0)</f>
        <v/>
      </c>
      <c r="R2009" s="51">
        <f>IF(Q2009=1,F2009-D2009,0)</f>
        <v/>
      </c>
      <c r="S2009" s="51">
        <f>IF(Q2009=1,IF(F2009&lt;=E2009,1,0),0)</f>
        <v/>
      </c>
      <c r="T2009" s="51">
        <f>IF(Q2009=1,IF(H2009&gt;=G2009,1,0),0)</f>
        <v/>
      </c>
      <c r="U2009" s="51">
        <f>S2009*T2009</f>
        <v/>
      </c>
      <c r="V2009" s="51">
        <f>IF(Q2009=1,MAX(0,F2009-E2009),0)</f>
        <v/>
      </c>
    </row>
    <row r="2010">
      <c r="A2010" s="43" t="inlineStr">
        <is>
          <t>PO101119</t>
        </is>
      </c>
      <c r="B2010" s="43" t="inlineStr">
        <is>
          <t>CMD-0051</t>
        </is>
      </c>
      <c r="C2010" s="43" t="inlineStr">
        <is>
          <t>S01</t>
        </is>
      </c>
      <c r="D2010" s="47" t="n">
        <v>46288</v>
      </c>
      <c r="E2010" s="47" t="n">
        <v>46309</v>
      </c>
      <c r="F2010" s="47" t="n"/>
      <c r="G2010" s="46" t="n">
        <v>257065</v>
      </c>
      <c r="H2010" s="46" t="n">
        <v>0</v>
      </c>
      <c r="I2010" s="46" t="n">
        <v>0</v>
      </c>
      <c r="J2010" s="44" t="n">
        <v>0.0243</v>
      </c>
      <c r="K2010" s="43" t="inlineStr">
        <is>
          <t>Open</t>
        </is>
      </c>
      <c r="L2010" s="17">
        <f>INDEX(Items!$C$2:$C$117,MATCH(B2010,Items!$A$2:$A$117,0))</f>
        <v/>
      </c>
      <c r="M2010" s="49">
        <f>INDEX(Items!$E$2:$E$117,MATCH(B2010,Items!$A$2:$A$117,0))</f>
        <v/>
      </c>
      <c r="N2010" s="17">
        <f>TEXT(D2010,"yyyy-mm")</f>
        <v/>
      </c>
      <c r="O2010" s="50">
        <f>G2010*J2010</f>
        <v/>
      </c>
      <c r="P2010" s="50">
        <f>(J2010-M2010)*G2010</f>
        <v/>
      </c>
      <c r="Q2010" s="51">
        <f>IF(K2010="Received",1,0)</f>
        <v/>
      </c>
      <c r="R2010" s="51">
        <f>IF(Q2010=1,F2010-D2010,0)</f>
        <v/>
      </c>
      <c r="S2010" s="51">
        <f>IF(Q2010=1,IF(F2010&lt;=E2010,1,0),0)</f>
        <v/>
      </c>
      <c r="T2010" s="51">
        <f>IF(Q2010=1,IF(H2010&gt;=G2010,1,0),0)</f>
        <v/>
      </c>
      <c r="U2010" s="51">
        <f>S2010*T2010</f>
        <v/>
      </c>
      <c r="V2010" s="51">
        <f>IF(Q2010=1,MAX(0,F2010-E2010),0)</f>
        <v/>
      </c>
    </row>
    <row r="2011">
      <c r="A2011" s="43" t="inlineStr">
        <is>
          <t>PO101785</t>
        </is>
      </c>
      <c r="B2011" s="43" t="inlineStr">
        <is>
          <t>CMD-0096</t>
        </is>
      </c>
      <c r="C2011" s="43" t="inlineStr">
        <is>
          <t>S09</t>
        </is>
      </c>
      <c r="D2011" s="47" t="n">
        <v>46288</v>
      </c>
      <c r="E2011" s="47" t="n">
        <v>46309</v>
      </c>
      <c r="F2011" s="47" t="n"/>
      <c r="G2011" s="46" t="n">
        <v>909</v>
      </c>
      <c r="H2011" s="46" t="n">
        <v>0</v>
      </c>
      <c r="I2011" s="46" t="n">
        <v>0</v>
      </c>
      <c r="J2011" s="44" t="n">
        <v>6.6126</v>
      </c>
      <c r="K2011" s="43" t="inlineStr">
        <is>
          <t>Open</t>
        </is>
      </c>
      <c r="L2011" s="17">
        <f>INDEX(Items!$C$2:$C$117,MATCH(B2011,Items!$A$2:$A$117,0))</f>
        <v/>
      </c>
      <c r="M2011" s="49">
        <f>INDEX(Items!$E$2:$E$117,MATCH(B2011,Items!$A$2:$A$117,0))</f>
        <v/>
      </c>
      <c r="N2011" s="17">
        <f>TEXT(D2011,"yyyy-mm")</f>
        <v/>
      </c>
      <c r="O2011" s="50">
        <f>G2011*J2011</f>
        <v/>
      </c>
      <c r="P2011" s="50">
        <f>(J2011-M2011)*G2011</f>
        <v/>
      </c>
      <c r="Q2011" s="51">
        <f>IF(K2011="Received",1,0)</f>
        <v/>
      </c>
      <c r="R2011" s="51">
        <f>IF(Q2011=1,F2011-D2011,0)</f>
        <v/>
      </c>
      <c r="S2011" s="51">
        <f>IF(Q2011=1,IF(F2011&lt;=E2011,1,0),0)</f>
        <v/>
      </c>
      <c r="T2011" s="51">
        <f>IF(Q2011=1,IF(H2011&gt;=G2011,1,0),0)</f>
        <v/>
      </c>
      <c r="U2011" s="51">
        <f>S2011*T2011</f>
        <v/>
      </c>
      <c r="V2011" s="51">
        <f>IF(Q2011=1,MAX(0,F2011-E2011),0)</f>
        <v/>
      </c>
    </row>
    <row r="2012">
      <c r="A2012" s="43" t="inlineStr">
        <is>
          <t>PO100339</t>
        </is>
      </c>
      <c r="B2012" s="43" t="inlineStr">
        <is>
          <t>CMD-0015</t>
        </is>
      </c>
      <c r="C2012" s="43" t="inlineStr">
        <is>
          <t>S03</t>
        </is>
      </c>
      <c r="D2012" s="47" t="n">
        <v>46288</v>
      </c>
      <c r="E2012" s="47" t="n">
        <v>46421</v>
      </c>
      <c r="F2012" s="47" t="n"/>
      <c r="G2012" s="46" t="n">
        <v>3818</v>
      </c>
      <c r="H2012" s="46" t="n">
        <v>0</v>
      </c>
      <c r="I2012" s="46" t="n">
        <v>0</v>
      </c>
      <c r="J2012" s="44" t="n">
        <v>6.6788</v>
      </c>
      <c r="K2012" s="43" t="inlineStr">
        <is>
          <t>Open</t>
        </is>
      </c>
      <c r="L2012" s="17">
        <f>INDEX(Items!$C$2:$C$117,MATCH(B2012,Items!$A$2:$A$117,0))</f>
        <v/>
      </c>
      <c r="M2012" s="49">
        <f>INDEX(Items!$E$2:$E$117,MATCH(B2012,Items!$A$2:$A$117,0))</f>
        <v/>
      </c>
      <c r="N2012" s="17">
        <f>TEXT(D2012,"yyyy-mm")</f>
        <v/>
      </c>
      <c r="O2012" s="50">
        <f>G2012*J2012</f>
        <v/>
      </c>
      <c r="P2012" s="50">
        <f>(J2012-M2012)*G2012</f>
        <v/>
      </c>
      <c r="Q2012" s="51">
        <f>IF(K2012="Received",1,0)</f>
        <v/>
      </c>
      <c r="R2012" s="51">
        <f>IF(Q2012=1,F2012-D2012,0)</f>
        <v/>
      </c>
      <c r="S2012" s="51">
        <f>IF(Q2012=1,IF(F2012&lt;=E2012,1,0),0)</f>
        <v/>
      </c>
      <c r="T2012" s="51">
        <f>IF(Q2012=1,IF(H2012&gt;=G2012,1,0),0)</f>
        <v/>
      </c>
      <c r="U2012" s="51">
        <f>S2012*T2012</f>
        <v/>
      </c>
      <c r="V2012" s="51">
        <f>IF(Q2012=1,MAX(0,F2012-E2012),0)</f>
        <v/>
      </c>
    </row>
    <row r="2013">
      <c r="A2013" s="43" t="inlineStr">
        <is>
          <t>PO100453</t>
        </is>
      </c>
      <c r="B2013" s="43" t="inlineStr">
        <is>
          <t>CMD-0020</t>
        </is>
      </c>
      <c r="C2013" s="43" t="inlineStr">
        <is>
          <t>S04</t>
        </is>
      </c>
      <c r="D2013" s="47" t="n">
        <v>46289</v>
      </c>
      <c r="E2013" s="47" t="n">
        <v>46359</v>
      </c>
      <c r="F2013" s="47" t="n"/>
      <c r="G2013" s="46" t="n">
        <v>3790</v>
      </c>
      <c r="H2013" s="46" t="n">
        <v>0</v>
      </c>
      <c r="I2013" s="46" t="n">
        <v>0</v>
      </c>
      <c r="J2013" s="44" t="n">
        <v>5.1809</v>
      </c>
      <c r="K2013" s="43" t="inlineStr">
        <is>
          <t>Open</t>
        </is>
      </c>
      <c r="L2013" s="17">
        <f>INDEX(Items!$C$2:$C$117,MATCH(B2013,Items!$A$2:$A$117,0))</f>
        <v/>
      </c>
      <c r="M2013" s="49">
        <f>INDEX(Items!$E$2:$E$117,MATCH(B2013,Items!$A$2:$A$117,0))</f>
        <v/>
      </c>
      <c r="N2013" s="17">
        <f>TEXT(D2013,"yyyy-mm")</f>
        <v/>
      </c>
      <c r="O2013" s="50">
        <f>G2013*J2013</f>
        <v/>
      </c>
      <c r="P2013" s="50">
        <f>(J2013-M2013)*G2013</f>
        <v/>
      </c>
      <c r="Q2013" s="51">
        <f>IF(K2013="Received",1,0)</f>
        <v/>
      </c>
      <c r="R2013" s="51">
        <f>IF(Q2013=1,F2013-D2013,0)</f>
        <v/>
      </c>
      <c r="S2013" s="51">
        <f>IF(Q2013=1,IF(F2013&lt;=E2013,1,0),0)</f>
        <v/>
      </c>
      <c r="T2013" s="51">
        <f>IF(Q2013=1,IF(H2013&gt;=G2013,1,0),0)</f>
        <v/>
      </c>
      <c r="U2013" s="51">
        <f>S2013*T2013</f>
        <v/>
      </c>
      <c r="V2013" s="51">
        <f>IF(Q2013=1,MAX(0,F2013-E2013),0)</f>
        <v/>
      </c>
    </row>
    <row r="2014">
      <c r="A2014" s="43" t="inlineStr">
        <is>
          <t>PO100615</t>
        </is>
      </c>
      <c r="B2014" s="43" t="inlineStr">
        <is>
          <t>CMD-0027</t>
        </is>
      </c>
      <c r="C2014" s="43" t="inlineStr">
        <is>
          <t>S04</t>
        </is>
      </c>
      <c r="D2014" s="47" t="n">
        <v>46289</v>
      </c>
      <c r="E2014" s="47" t="n">
        <v>46359</v>
      </c>
      <c r="F2014" s="47" t="n"/>
      <c r="G2014" s="46" t="n">
        <v>6037</v>
      </c>
      <c r="H2014" s="46" t="n">
        <v>0</v>
      </c>
      <c r="I2014" s="46" t="n">
        <v>0</v>
      </c>
      <c r="J2014" s="44" t="n">
        <v>9.115500000000001</v>
      </c>
      <c r="K2014" s="43" t="inlineStr">
        <is>
          <t>Open</t>
        </is>
      </c>
      <c r="L2014" s="17">
        <f>INDEX(Items!$C$2:$C$117,MATCH(B2014,Items!$A$2:$A$117,0))</f>
        <v/>
      </c>
      <c r="M2014" s="49">
        <f>INDEX(Items!$E$2:$E$117,MATCH(B2014,Items!$A$2:$A$117,0))</f>
        <v/>
      </c>
      <c r="N2014" s="17">
        <f>TEXT(D2014,"yyyy-mm")</f>
        <v/>
      </c>
      <c r="O2014" s="50">
        <f>G2014*J2014</f>
        <v/>
      </c>
      <c r="P2014" s="50">
        <f>(J2014-M2014)*G2014</f>
        <v/>
      </c>
      <c r="Q2014" s="51">
        <f>IF(K2014="Received",1,0)</f>
        <v/>
      </c>
      <c r="R2014" s="51">
        <f>IF(Q2014=1,F2014-D2014,0)</f>
        <v/>
      </c>
      <c r="S2014" s="51">
        <f>IF(Q2014=1,IF(F2014&lt;=E2014,1,0),0)</f>
        <v/>
      </c>
      <c r="T2014" s="51">
        <f>IF(Q2014=1,IF(H2014&gt;=G2014,1,0),0)</f>
        <v/>
      </c>
      <c r="U2014" s="51">
        <f>S2014*T2014</f>
        <v/>
      </c>
      <c r="V2014" s="51">
        <f>IF(Q2014=1,MAX(0,F2014-E2014),0)</f>
        <v/>
      </c>
    </row>
    <row r="2015">
      <c r="A2015" s="43" t="inlineStr">
        <is>
          <t>PO102019</t>
        </is>
      </c>
      <c r="B2015" s="43" t="inlineStr">
        <is>
          <t>CMD-0115</t>
        </is>
      </c>
      <c r="C2015" s="43" t="inlineStr">
        <is>
          <t>S12</t>
        </is>
      </c>
      <c r="D2015" s="47" t="n">
        <v>46289</v>
      </c>
      <c r="E2015" s="47" t="n">
        <v>46296</v>
      </c>
      <c r="F2015" s="47" t="n">
        <v>46294</v>
      </c>
      <c r="G2015" s="46" t="n">
        <v>9021</v>
      </c>
      <c r="H2015" s="46" t="n">
        <v>9021</v>
      </c>
      <c r="I2015" s="46" t="n">
        <v>7</v>
      </c>
      <c r="J2015" s="44" t="n">
        <v>0.5733</v>
      </c>
      <c r="K2015" s="43" t="inlineStr">
        <is>
          <t>Received</t>
        </is>
      </c>
      <c r="L2015" s="17">
        <f>INDEX(Items!$C$2:$C$117,MATCH(B2015,Items!$A$2:$A$117,0))</f>
        <v/>
      </c>
      <c r="M2015" s="49">
        <f>INDEX(Items!$E$2:$E$117,MATCH(B2015,Items!$A$2:$A$117,0))</f>
        <v/>
      </c>
      <c r="N2015" s="17">
        <f>TEXT(D2015,"yyyy-mm")</f>
        <v/>
      </c>
      <c r="O2015" s="50">
        <f>G2015*J2015</f>
        <v/>
      </c>
      <c r="P2015" s="50">
        <f>(J2015-M2015)*G2015</f>
        <v/>
      </c>
      <c r="Q2015" s="51">
        <f>IF(K2015="Received",1,0)</f>
        <v/>
      </c>
      <c r="R2015" s="51">
        <f>IF(Q2015=1,F2015-D2015,0)</f>
        <v/>
      </c>
      <c r="S2015" s="51">
        <f>IF(Q2015=1,IF(F2015&lt;=E2015,1,0),0)</f>
        <v/>
      </c>
      <c r="T2015" s="51">
        <f>IF(Q2015=1,IF(H2015&gt;=G2015,1,0),0)</f>
        <v/>
      </c>
      <c r="U2015" s="51">
        <f>S2015*T2015</f>
        <v/>
      </c>
      <c r="V2015" s="51">
        <f>IF(Q2015=1,MAX(0,F2015-E2015),0)</f>
        <v/>
      </c>
    </row>
    <row r="2016">
      <c r="A2016" s="43" t="inlineStr">
        <is>
          <t>PO101617</t>
        </is>
      </c>
      <c r="B2016" s="43" t="inlineStr">
        <is>
          <t>CMD-0089</t>
        </is>
      </c>
      <c r="C2016" s="43" t="inlineStr">
        <is>
          <t>S01</t>
        </is>
      </c>
      <c r="D2016" s="47" t="n">
        <v>46289</v>
      </c>
      <c r="E2016" s="47" t="n">
        <v>46303</v>
      </c>
      <c r="F2016" s="47" t="n"/>
      <c r="G2016" s="46" t="n">
        <v>565</v>
      </c>
      <c r="H2016" s="46" t="n">
        <v>0</v>
      </c>
      <c r="I2016" s="46" t="n">
        <v>0</v>
      </c>
      <c r="J2016" s="44" t="n">
        <v>9.774699999999999</v>
      </c>
      <c r="K2016" s="43" t="inlineStr">
        <is>
          <t>Open</t>
        </is>
      </c>
      <c r="L2016" s="17">
        <f>INDEX(Items!$C$2:$C$117,MATCH(B2016,Items!$A$2:$A$117,0))</f>
        <v/>
      </c>
      <c r="M2016" s="49">
        <f>INDEX(Items!$E$2:$E$117,MATCH(B2016,Items!$A$2:$A$117,0))</f>
        <v/>
      </c>
      <c r="N2016" s="17">
        <f>TEXT(D2016,"yyyy-mm")</f>
        <v/>
      </c>
      <c r="O2016" s="50">
        <f>G2016*J2016</f>
        <v/>
      </c>
      <c r="P2016" s="50">
        <f>(J2016-M2016)*G2016</f>
        <v/>
      </c>
      <c r="Q2016" s="51">
        <f>IF(K2016="Received",1,0)</f>
        <v/>
      </c>
      <c r="R2016" s="51">
        <f>IF(Q2016=1,F2016-D2016,0)</f>
        <v/>
      </c>
      <c r="S2016" s="51">
        <f>IF(Q2016=1,IF(F2016&lt;=E2016,1,0),0)</f>
        <v/>
      </c>
      <c r="T2016" s="51">
        <f>IF(Q2016=1,IF(H2016&gt;=G2016,1,0),0)</f>
        <v/>
      </c>
      <c r="U2016" s="51">
        <f>S2016*T2016</f>
        <v/>
      </c>
      <c r="V2016" s="51">
        <f>IF(Q2016=1,MAX(0,F2016-E2016),0)</f>
        <v/>
      </c>
    </row>
    <row r="2017">
      <c r="A2017" s="43" t="inlineStr">
        <is>
          <t>PO100291</t>
        </is>
      </c>
      <c r="B2017" s="43" t="inlineStr">
        <is>
          <t>CMD-0013</t>
        </is>
      </c>
      <c r="C2017" s="43" t="inlineStr">
        <is>
          <t>S11</t>
        </is>
      </c>
      <c r="D2017" s="47" t="n">
        <v>46289</v>
      </c>
      <c r="E2017" s="47" t="n">
        <v>46408</v>
      </c>
      <c r="F2017" s="47" t="n"/>
      <c r="G2017" s="46" t="n">
        <v>919</v>
      </c>
      <c r="H2017" s="46" t="n">
        <v>0</v>
      </c>
      <c r="I2017" s="46" t="n">
        <v>0</v>
      </c>
      <c r="J2017" s="44" t="n">
        <v>7.965</v>
      </c>
      <c r="K2017" s="43" t="inlineStr">
        <is>
          <t>Open</t>
        </is>
      </c>
      <c r="L2017" s="17">
        <f>INDEX(Items!$C$2:$C$117,MATCH(B2017,Items!$A$2:$A$117,0))</f>
        <v/>
      </c>
      <c r="M2017" s="49">
        <f>INDEX(Items!$E$2:$E$117,MATCH(B2017,Items!$A$2:$A$117,0))</f>
        <v/>
      </c>
      <c r="N2017" s="17">
        <f>TEXT(D2017,"yyyy-mm")</f>
        <v/>
      </c>
      <c r="O2017" s="50">
        <f>G2017*J2017</f>
        <v/>
      </c>
      <c r="P2017" s="50">
        <f>(J2017-M2017)*G2017</f>
        <v/>
      </c>
      <c r="Q2017" s="51">
        <f>IF(K2017="Received",1,0)</f>
        <v/>
      </c>
      <c r="R2017" s="51">
        <f>IF(Q2017=1,F2017-D2017,0)</f>
        <v/>
      </c>
      <c r="S2017" s="51">
        <f>IF(Q2017=1,IF(F2017&lt;=E2017,1,0),0)</f>
        <v/>
      </c>
      <c r="T2017" s="51">
        <f>IF(Q2017=1,IF(H2017&gt;=G2017,1,0),0)</f>
        <v/>
      </c>
      <c r="U2017" s="51">
        <f>S2017*T2017</f>
        <v/>
      </c>
      <c r="V2017" s="51">
        <f>IF(Q2017=1,MAX(0,F2017-E2017),0)</f>
        <v/>
      </c>
    </row>
    <row r="2018">
      <c r="A2018" s="43" t="inlineStr">
        <is>
          <t>PO100215</t>
        </is>
      </c>
      <c r="B2018" s="43" t="inlineStr">
        <is>
          <t>CMD-0009</t>
        </is>
      </c>
      <c r="C2018" s="43" t="inlineStr">
        <is>
          <t>S11</t>
        </is>
      </c>
      <c r="D2018" s="47" t="n">
        <v>46289</v>
      </c>
      <c r="E2018" s="47" t="n">
        <v>46408</v>
      </c>
      <c r="F2018" s="47" t="n"/>
      <c r="G2018" s="46" t="n">
        <v>8425</v>
      </c>
      <c r="H2018" s="46" t="n">
        <v>0</v>
      </c>
      <c r="I2018" s="46" t="n">
        <v>0</v>
      </c>
      <c r="J2018" s="44" t="n">
        <v>7.4222</v>
      </c>
      <c r="K2018" s="43" t="inlineStr">
        <is>
          <t>Open</t>
        </is>
      </c>
      <c r="L2018" s="17">
        <f>INDEX(Items!$C$2:$C$117,MATCH(B2018,Items!$A$2:$A$117,0))</f>
        <v/>
      </c>
      <c r="M2018" s="49">
        <f>INDEX(Items!$E$2:$E$117,MATCH(B2018,Items!$A$2:$A$117,0))</f>
        <v/>
      </c>
      <c r="N2018" s="17">
        <f>TEXT(D2018,"yyyy-mm")</f>
        <v/>
      </c>
      <c r="O2018" s="50">
        <f>G2018*J2018</f>
        <v/>
      </c>
      <c r="P2018" s="50">
        <f>(J2018-M2018)*G2018</f>
        <v/>
      </c>
      <c r="Q2018" s="51">
        <f>IF(K2018="Received",1,0)</f>
        <v/>
      </c>
      <c r="R2018" s="51">
        <f>IF(Q2018=1,F2018-D2018,0)</f>
        <v/>
      </c>
      <c r="S2018" s="51">
        <f>IF(Q2018=1,IF(F2018&lt;=E2018,1,0),0)</f>
        <v/>
      </c>
      <c r="T2018" s="51">
        <f>IF(Q2018=1,IF(H2018&gt;=G2018,1,0),0)</f>
        <v/>
      </c>
      <c r="U2018" s="51">
        <f>S2018*T2018</f>
        <v/>
      </c>
      <c r="V2018" s="51">
        <f>IF(Q2018=1,MAX(0,F2018-E2018),0)</f>
        <v/>
      </c>
    </row>
    <row r="2019">
      <c r="A2019" s="43" t="inlineStr">
        <is>
          <t>PO100721</t>
        </is>
      </c>
      <c r="B2019" s="43" t="inlineStr">
        <is>
          <t>CMD-0032</t>
        </is>
      </c>
      <c r="C2019" s="43" t="inlineStr">
        <is>
          <t>S01</t>
        </is>
      </c>
      <c r="D2019" s="47" t="n">
        <v>46289</v>
      </c>
      <c r="E2019" s="47" t="n">
        <v>46317</v>
      </c>
      <c r="F2019" s="47" t="n"/>
      <c r="G2019" s="46" t="n">
        <v>1005</v>
      </c>
      <c r="H2019" s="46" t="n">
        <v>0</v>
      </c>
      <c r="I2019" s="46" t="n">
        <v>0</v>
      </c>
      <c r="J2019" s="44" t="n">
        <v>5.3045</v>
      </c>
      <c r="K2019" s="43" t="inlineStr">
        <is>
          <t>Open</t>
        </is>
      </c>
      <c r="L2019" s="17">
        <f>INDEX(Items!$C$2:$C$117,MATCH(B2019,Items!$A$2:$A$117,0))</f>
        <v/>
      </c>
      <c r="M2019" s="49">
        <f>INDEX(Items!$E$2:$E$117,MATCH(B2019,Items!$A$2:$A$117,0))</f>
        <v/>
      </c>
      <c r="N2019" s="17">
        <f>TEXT(D2019,"yyyy-mm")</f>
        <v/>
      </c>
      <c r="O2019" s="50">
        <f>G2019*J2019</f>
        <v/>
      </c>
      <c r="P2019" s="50">
        <f>(J2019-M2019)*G2019</f>
        <v/>
      </c>
      <c r="Q2019" s="51">
        <f>IF(K2019="Received",1,0)</f>
        <v/>
      </c>
      <c r="R2019" s="51">
        <f>IF(Q2019=1,F2019-D2019,0)</f>
        <v/>
      </c>
      <c r="S2019" s="51">
        <f>IF(Q2019=1,IF(F2019&lt;=E2019,1,0),0)</f>
        <v/>
      </c>
      <c r="T2019" s="51">
        <f>IF(Q2019=1,IF(H2019&gt;=G2019,1,0),0)</f>
        <v/>
      </c>
      <c r="U2019" s="51">
        <f>S2019*T2019</f>
        <v/>
      </c>
      <c r="V2019" s="51">
        <f>IF(Q2019=1,MAX(0,F2019-E2019),0)</f>
        <v/>
      </c>
    </row>
    <row r="2020">
      <c r="A2020" s="43" t="inlineStr">
        <is>
          <t>PO101989</t>
        </is>
      </c>
      <c r="B2020" s="43" t="inlineStr">
        <is>
          <t>CMD-0110</t>
        </is>
      </c>
      <c r="C2020" s="43" t="inlineStr">
        <is>
          <t>S12</t>
        </is>
      </c>
      <c r="D2020" s="47" t="n">
        <v>46289</v>
      </c>
      <c r="E2020" s="47" t="n">
        <v>46296</v>
      </c>
      <c r="F2020" s="47" t="n">
        <v>46293</v>
      </c>
      <c r="G2020" s="46" t="n">
        <v>26363</v>
      </c>
      <c r="H2020" s="46" t="n">
        <v>26363</v>
      </c>
      <c r="I2020" s="46" t="n">
        <v>27</v>
      </c>
      <c r="J2020" s="44" t="n">
        <v>0.1978</v>
      </c>
      <c r="K2020" s="43" t="inlineStr">
        <is>
          <t>Received</t>
        </is>
      </c>
      <c r="L2020" s="17">
        <f>INDEX(Items!$C$2:$C$117,MATCH(B2020,Items!$A$2:$A$117,0))</f>
        <v/>
      </c>
      <c r="M2020" s="49">
        <f>INDEX(Items!$E$2:$E$117,MATCH(B2020,Items!$A$2:$A$117,0))</f>
        <v/>
      </c>
      <c r="N2020" s="17">
        <f>TEXT(D2020,"yyyy-mm")</f>
        <v/>
      </c>
      <c r="O2020" s="50">
        <f>G2020*J2020</f>
        <v/>
      </c>
      <c r="P2020" s="50">
        <f>(J2020-M2020)*G2020</f>
        <v/>
      </c>
      <c r="Q2020" s="51">
        <f>IF(K2020="Received",1,0)</f>
        <v/>
      </c>
      <c r="R2020" s="51">
        <f>IF(Q2020=1,F2020-D2020,0)</f>
        <v/>
      </c>
      <c r="S2020" s="51">
        <f>IF(Q2020=1,IF(F2020&lt;=E2020,1,0),0)</f>
        <v/>
      </c>
      <c r="T2020" s="51">
        <f>IF(Q2020=1,IF(H2020&gt;=G2020,1,0),0)</f>
        <v/>
      </c>
      <c r="U2020" s="51">
        <f>S2020*T2020</f>
        <v/>
      </c>
      <c r="V2020" s="51">
        <f>IF(Q2020=1,MAX(0,F2020-E2020),0)</f>
        <v/>
      </c>
    </row>
    <row r="2021">
      <c r="A2021" s="43" t="inlineStr">
        <is>
          <t>PO100387</t>
        </is>
      </c>
      <c r="B2021" s="43" t="inlineStr">
        <is>
          <t>CMD-0017</t>
        </is>
      </c>
      <c r="C2021" s="43" t="inlineStr">
        <is>
          <t>S11</t>
        </is>
      </c>
      <c r="D2021" s="47" t="n">
        <v>46289</v>
      </c>
      <c r="E2021" s="47" t="n">
        <v>46366</v>
      </c>
      <c r="F2021" s="47" t="n"/>
      <c r="G2021" s="46" t="n">
        <v>6849</v>
      </c>
      <c r="H2021" s="46" t="n">
        <v>0</v>
      </c>
      <c r="I2021" s="46" t="n">
        <v>0</v>
      </c>
      <c r="J2021" s="44" t="n">
        <v>13.0707</v>
      </c>
      <c r="K2021" s="43" t="inlineStr">
        <is>
          <t>Open</t>
        </is>
      </c>
      <c r="L2021" s="17">
        <f>INDEX(Items!$C$2:$C$117,MATCH(B2021,Items!$A$2:$A$117,0))</f>
        <v/>
      </c>
      <c r="M2021" s="49">
        <f>INDEX(Items!$E$2:$E$117,MATCH(B2021,Items!$A$2:$A$117,0))</f>
        <v/>
      </c>
      <c r="N2021" s="17">
        <f>TEXT(D2021,"yyyy-mm")</f>
        <v/>
      </c>
      <c r="O2021" s="50">
        <f>G2021*J2021</f>
        <v/>
      </c>
      <c r="P2021" s="50">
        <f>(J2021-M2021)*G2021</f>
        <v/>
      </c>
      <c r="Q2021" s="51">
        <f>IF(K2021="Received",1,0)</f>
        <v/>
      </c>
      <c r="R2021" s="51">
        <f>IF(Q2021=1,F2021-D2021,0)</f>
        <v/>
      </c>
      <c r="S2021" s="51">
        <f>IF(Q2021=1,IF(F2021&lt;=E2021,1,0),0)</f>
        <v/>
      </c>
      <c r="T2021" s="51">
        <f>IF(Q2021=1,IF(H2021&gt;=G2021,1,0),0)</f>
        <v/>
      </c>
      <c r="U2021" s="51">
        <f>S2021*T2021</f>
        <v/>
      </c>
      <c r="V2021" s="51">
        <f>IF(Q2021=1,MAX(0,F2021-E2021),0)</f>
        <v/>
      </c>
    </row>
    <row r="2022">
      <c r="A2022" s="43" t="inlineStr">
        <is>
          <t>PO101425</t>
        </is>
      </c>
      <c r="B2022" s="43" t="inlineStr">
        <is>
          <t>CMD-0075</t>
        </is>
      </c>
      <c r="C2022" s="43" t="inlineStr">
        <is>
          <t>S10</t>
        </is>
      </c>
      <c r="D2022" s="47" t="n">
        <v>46289</v>
      </c>
      <c r="E2022" s="47" t="n">
        <v>46317</v>
      </c>
      <c r="F2022" s="47" t="n"/>
      <c r="G2022" s="46" t="n">
        <v>370254</v>
      </c>
      <c r="H2022" s="46" t="n">
        <v>0</v>
      </c>
      <c r="I2022" s="46" t="n">
        <v>0</v>
      </c>
      <c r="J2022" s="44" t="n">
        <v>0.0157</v>
      </c>
      <c r="K2022" s="43" t="inlineStr">
        <is>
          <t>Open</t>
        </is>
      </c>
      <c r="L2022" s="17">
        <f>INDEX(Items!$C$2:$C$117,MATCH(B2022,Items!$A$2:$A$117,0))</f>
        <v/>
      </c>
      <c r="M2022" s="49">
        <f>INDEX(Items!$E$2:$E$117,MATCH(B2022,Items!$A$2:$A$117,0))</f>
        <v/>
      </c>
      <c r="N2022" s="17">
        <f>TEXT(D2022,"yyyy-mm")</f>
        <v/>
      </c>
      <c r="O2022" s="50">
        <f>G2022*J2022</f>
        <v/>
      </c>
      <c r="P2022" s="50">
        <f>(J2022-M2022)*G2022</f>
        <v/>
      </c>
      <c r="Q2022" s="51">
        <f>IF(K2022="Received",1,0)</f>
        <v/>
      </c>
      <c r="R2022" s="51">
        <f>IF(Q2022=1,F2022-D2022,0)</f>
        <v/>
      </c>
      <c r="S2022" s="51">
        <f>IF(Q2022=1,IF(F2022&lt;=E2022,1,0),0)</f>
        <v/>
      </c>
      <c r="T2022" s="51">
        <f>IF(Q2022=1,IF(H2022&gt;=G2022,1,0),0)</f>
        <v/>
      </c>
      <c r="U2022" s="51">
        <f>S2022*T2022</f>
        <v/>
      </c>
      <c r="V2022" s="51">
        <f>IF(Q2022=1,MAX(0,F2022-E2022),0)</f>
        <v/>
      </c>
    </row>
    <row r="2023">
      <c r="A2023" s="43" t="inlineStr">
        <is>
          <t>PO101917</t>
        </is>
      </c>
      <c r="B2023" s="43" t="inlineStr">
        <is>
          <t>CMD-0105</t>
        </is>
      </c>
      <c r="C2023" s="43" t="inlineStr">
        <is>
          <t>S09</t>
        </is>
      </c>
      <c r="D2023" s="47" t="n">
        <v>46289</v>
      </c>
      <c r="E2023" s="47" t="n">
        <v>46310</v>
      </c>
      <c r="F2023" s="47" t="n"/>
      <c r="G2023" s="46" t="n">
        <v>2706</v>
      </c>
      <c r="H2023" s="46" t="n">
        <v>0</v>
      </c>
      <c r="I2023" s="46" t="n">
        <v>0</v>
      </c>
      <c r="J2023" s="44" t="n">
        <v>2.1424</v>
      </c>
      <c r="K2023" s="43" t="inlineStr">
        <is>
          <t>Open</t>
        </is>
      </c>
      <c r="L2023" s="17">
        <f>INDEX(Items!$C$2:$C$117,MATCH(B2023,Items!$A$2:$A$117,0))</f>
        <v/>
      </c>
      <c r="M2023" s="49">
        <f>INDEX(Items!$E$2:$E$117,MATCH(B2023,Items!$A$2:$A$117,0))</f>
        <v/>
      </c>
      <c r="N2023" s="17">
        <f>TEXT(D2023,"yyyy-mm")</f>
        <v/>
      </c>
      <c r="O2023" s="50">
        <f>G2023*J2023</f>
        <v/>
      </c>
      <c r="P2023" s="50">
        <f>(J2023-M2023)*G2023</f>
        <v/>
      </c>
      <c r="Q2023" s="51">
        <f>IF(K2023="Received",1,0)</f>
        <v/>
      </c>
      <c r="R2023" s="51">
        <f>IF(Q2023=1,F2023-D2023,0)</f>
        <v/>
      </c>
      <c r="S2023" s="51">
        <f>IF(Q2023=1,IF(F2023&lt;=E2023,1,0),0)</f>
        <v/>
      </c>
      <c r="T2023" s="51">
        <f>IF(Q2023=1,IF(H2023&gt;=G2023,1,0),0)</f>
        <v/>
      </c>
      <c r="U2023" s="51">
        <f>S2023*T2023</f>
        <v/>
      </c>
      <c r="V2023" s="51">
        <f>IF(Q2023=1,MAX(0,F2023-E2023),0)</f>
        <v/>
      </c>
    </row>
    <row r="2024">
      <c r="A2024" s="43" t="inlineStr">
        <is>
          <t>PO101761</t>
        </is>
      </c>
      <c r="B2024" s="43" t="inlineStr">
        <is>
          <t>CMD-0095</t>
        </is>
      </c>
      <c r="C2024" s="43" t="inlineStr">
        <is>
          <t>S08</t>
        </is>
      </c>
      <c r="D2024" s="47" t="n">
        <v>46289</v>
      </c>
      <c r="E2024" s="47" t="n">
        <v>46366</v>
      </c>
      <c r="F2024" s="47" t="n"/>
      <c r="G2024" s="46" t="n">
        <v>367</v>
      </c>
      <c r="H2024" s="46" t="n">
        <v>0</v>
      </c>
      <c r="I2024" s="46" t="n">
        <v>0</v>
      </c>
      <c r="J2024" s="44" t="n">
        <v>94.5849</v>
      </c>
      <c r="K2024" s="43" t="inlineStr">
        <is>
          <t>Open</t>
        </is>
      </c>
      <c r="L2024" s="17">
        <f>INDEX(Items!$C$2:$C$117,MATCH(B2024,Items!$A$2:$A$117,0))</f>
        <v/>
      </c>
      <c r="M2024" s="49">
        <f>INDEX(Items!$E$2:$E$117,MATCH(B2024,Items!$A$2:$A$117,0))</f>
        <v/>
      </c>
      <c r="N2024" s="17">
        <f>TEXT(D2024,"yyyy-mm")</f>
        <v/>
      </c>
      <c r="O2024" s="50">
        <f>G2024*J2024</f>
        <v/>
      </c>
      <c r="P2024" s="50">
        <f>(J2024-M2024)*G2024</f>
        <v/>
      </c>
      <c r="Q2024" s="51">
        <f>IF(K2024="Received",1,0)</f>
        <v/>
      </c>
      <c r="R2024" s="51">
        <f>IF(Q2024=1,F2024-D2024,0)</f>
        <v/>
      </c>
      <c r="S2024" s="51">
        <f>IF(Q2024=1,IF(F2024&lt;=E2024,1,0),0)</f>
        <v/>
      </c>
      <c r="T2024" s="51">
        <f>IF(Q2024=1,IF(H2024&gt;=G2024,1,0),0)</f>
        <v/>
      </c>
      <c r="U2024" s="51">
        <f>S2024*T2024</f>
        <v/>
      </c>
      <c r="V2024" s="51">
        <f>IF(Q2024=1,MAX(0,F2024-E2024),0)</f>
        <v/>
      </c>
    </row>
    <row r="2025">
      <c r="A2025" s="43" t="inlineStr">
        <is>
          <t>PO100981</t>
        </is>
      </c>
      <c r="B2025" s="43" t="inlineStr">
        <is>
          <t>CMD-0044</t>
        </is>
      </c>
      <c r="C2025" s="43" t="inlineStr">
        <is>
          <t>S05</t>
        </is>
      </c>
      <c r="D2025" s="47" t="n">
        <v>46289</v>
      </c>
      <c r="E2025" s="47" t="n">
        <v>46394</v>
      </c>
      <c r="F2025" s="47" t="n"/>
      <c r="G2025" s="46" t="n">
        <v>7826</v>
      </c>
      <c r="H2025" s="46" t="n">
        <v>0</v>
      </c>
      <c r="I2025" s="46" t="n">
        <v>0</v>
      </c>
      <c r="J2025" s="44" t="n">
        <v>11.9171</v>
      </c>
      <c r="K2025" s="43" t="inlineStr">
        <is>
          <t>Open</t>
        </is>
      </c>
      <c r="L2025" s="17">
        <f>INDEX(Items!$C$2:$C$117,MATCH(B2025,Items!$A$2:$A$117,0))</f>
        <v/>
      </c>
      <c r="M2025" s="49">
        <f>INDEX(Items!$E$2:$E$117,MATCH(B2025,Items!$A$2:$A$117,0))</f>
        <v/>
      </c>
      <c r="N2025" s="17">
        <f>TEXT(D2025,"yyyy-mm")</f>
        <v/>
      </c>
      <c r="O2025" s="50">
        <f>G2025*J2025</f>
        <v/>
      </c>
      <c r="P2025" s="50">
        <f>(J2025-M2025)*G2025</f>
        <v/>
      </c>
      <c r="Q2025" s="51">
        <f>IF(K2025="Received",1,0)</f>
        <v/>
      </c>
      <c r="R2025" s="51">
        <f>IF(Q2025=1,F2025-D2025,0)</f>
        <v/>
      </c>
      <c r="S2025" s="51">
        <f>IF(Q2025=1,IF(F2025&lt;=E2025,1,0),0)</f>
        <v/>
      </c>
      <c r="T2025" s="51">
        <f>IF(Q2025=1,IF(H2025&gt;=G2025,1,0),0)</f>
        <v/>
      </c>
      <c r="U2025" s="51">
        <f>S2025*T2025</f>
        <v/>
      </c>
      <c r="V2025" s="51">
        <f>IF(Q2025=1,MAX(0,F2025-E2025),0)</f>
        <v/>
      </c>
    </row>
  </sheetData>
  <autoFilter ref="A1:V2025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2026-10-27T16:43:55Z</dcterms:created>
  <dcterms:modified xmlns:dcterms="http://purl.org/dc/terms/" xmlns:xsi="http://www.w3.org/2001/XMLSchema-instance" xsi:type="dcterms:W3CDTF">2026-10-27T16:43:56Z</dcterms:modified>
</cp:coreProperties>
</file>